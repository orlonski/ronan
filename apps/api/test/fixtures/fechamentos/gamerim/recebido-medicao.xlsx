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usto\OneDrive\Documents\MANUTENÇÃO\MEDIÇÃO POR PRODUÇÃO\GAMERIM\EVENTO\"/>
    </mc:Choice>
  </mc:AlternateContent>
  <xr:revisionPtr revIDLastSave="0" documentId="13_ncr:1_{289C8454-0768-4A12-9533-9BB5CA5E3655}" xr6:coauthVersionLast="47" xr6:coauthVersionMax="47" xr10:uidLastSave="{00000000-0000-0000-0000-000000000000}"/>
  <bookViews>
    <workbookView xWindow="-108" yWindow="-108" windowWidth="23256" windowHeight="12456" tabRatio="900" firstSheet="4" activeTab="7" xr2:uid="{CBB2F978-FE4B-43B1-AE66-0589D4DF183B}"/>
  </bookViews>
  <sheets>
    <sheet name="1ª MEDIÇÃO EV - GAMERIM " sheetId="1" state="hidden" r:id="rId1"/>
    <sheet name="REL. CAMIN. 1ª MED EV - GAMERIM" sheetId="2" state="hidden" r:id="rId2"/>
    <sheet name="RELAÇÃO PEDÁGIO 1ª EV - GAMERIM" sheetId="3" state="hidden" r:id="rId3"/>
    <sheet name="DESCONTO 1ª MEDIÇÃO EV- GAMERIM" sheetId="4" state="hidden" r:id="rId4"/>
    <sheet name="2ª MEDIÇÃO EV - GAMERIM " sheetId="5" r:id="rId5"/>
    <sheet name="REL. CAMIN. 2ª MED EV - GAMERIM" sheetId="6" r:id="rId6"/>
    <sheet name="RELAÇÃO PEDÁGIO 2ª EV - GAMERIM" sheetId="7" r:id="rId7"/>
    <sheet name="DESCONTO 2ª MEDIÇÃO EV- GAMERIM" sheetId="8" r:id="rId8"/>
  </sheets>
  <externalReferences>
    <externalReference r:id="rId9"/>
  </externalReferences>
  <definedNames>
    <definedName name="\0" localSheetId="4">#REF!</definedName>
    <definedName name="\0" localSheetId="7">#REF!</definedName>
    <definedName name="\0" localSheetId="5">#REF!</definedName>
    <definedName name="\0" localSheetId="2">#REF!</definedName>
    <definedName name="\0" localSheetId="6">#REF!</definedName>
    <definedName name="\0">#REF!</definedName>
    <definedName name="\a" localSheetId="4">#REF!</definedName>
    <definedName name="\a" localSheetId="7">#REF!</definedName>
    <definedName name="\a" localSheetId="5">#REF!</definedName>
    <definedName name="\a" localSheetId="2">#REF!</definedName>
    <definedName name="\a" localSheetId="6">#REF!</definedName>
    <definedName name="\a">#REF!</definedName>
    <definedName name="\e" localSheetId="4">#REF!</definedName>
    <definedName name="\e" localSheetId="7">#REF!</definedName>
    <definedName name="\e" localSheetId="5">#REF!</definedName>
    <definedName name="\e" localSheetId="2">#REF!</definedName>
    <definedName name="\e" localSheetId="6">#REF!</definedName>
    <definedName name="\e">#REF!</definedName>
    <definedName name="\p" localSheetId="4">#REF!</definedName>
    <definedName name="\p" localSheetId="7">#REF!</definedName>
    <definedName name="\p" localSheetId="5">#REF!</definedName>
    <definedName name="\p" localSheetId="2">#REF!</definedName>
    <definedName name="\p" localSheetId="6">#REF!</definedName>
    <definedName name="\p">#REF!</definedName>
    <definedName name="_______MA0001" localSheetId="4">#REF!</definedName>
    <definedName name="_______MA0001" localSheetId="7">#REF!</definedName>
    <definedName name="_______MA0001" localSheetId="5">#REF!</definedName>
    <definedName name="_______MA0001" localSheetId="2">#REF!</definedName>
    <definedName name="_______MA0001" localSheetId="6">#REF!</definedName>
    <definedName name="_______MA0001">#REF!</definedName>
    <definedName name="_______MO0001" localSheetId="4">#REF!</definedName>
    <definedName name="_______MO0001" localSheetId="7">#REF!</definedName>
    <definedName name="_______MO0001" localSheetId="5">#REF!</definedName>
    <definedName name="_______MO0001" localSheetId="2">#REF!</definedName>
    <definedName name="_______MO0001" localSheetId="6">#REF!</definedName>
    <definedName name="_______MO0001">#REF!</definedName>
    <definedName name="_______MO0002" localSheetId="4">#REF!</definedName>
    <definedName name="_______MO0002" localSheetId="7">#REF!</definedName>
    <definedName name="_______MO0002" localSheetId="5">#REF!</definedName>
    <definedName name="_______MO0002" localSheetId="2">#REF!</definedName>
    <definedName name="_______MO0002" localSheetId="6">#REF!</definedName>
    <definedName name="_______MO0002">#REF!</definedName>
    <definedName name="_______MO0003" localSheetId="4">#REF!</definedName>
    <definedName name="_______MO0003" localSheetId="7">#REF!</definedName>
    <definedName name="_______MO0003" localSheetId="5">#REF!</definedName>
    <definedName name="_______MO0003" localSheetId="2">#REF!</definedName>
    <definedName name="_______MO0003" localSheetId="6">#REF!</definedName>
    <definedName name="_______MO0003">#REF!</definedName>
    <definedName name="_______MO0004" localSheetId="4">#REF!</definedName>
    <definedName name="_______MO0004" localSheetId="7">#REF!</definedName>
    <definedName name="_______MO0004" localSheetId="5">#REF!</definedName>
    <definedName name="_______MO0004" localSheetId="2">#REF!</definedName>
    <definedName name="_______MO0004" localSheetId="6">#REF!</definedName>
    <definedName name="_______MO0004">#REF!</definedName>
    <definedName name="______AUX1" localSheetId="4">#REF!</definedName>
    <definedName name="______AUX1" localSheetId="7">#REF!</definedName>
    <definedName name="______AUX1" localSheetId="5">#REF!</definedName>
    <definedName name="______AUX1" localSheetId="2">#REF!</definedName>
    <definedName name="______AUX1" localSheetId="6">#REF!</definedName>
    <definedName name="______AUX1">#REF!</definedName>
    <definedName name="______MA0001" localSheetId="4">#REF!</definedName>
    <definedName name="______MA0001" localSheetId="7">#REF!</definedName>
    <definedName name="______MA0001" localSheetId="5">#REF!</definedName>
    <definedName name="______MA0001" localSheetId="2">#REF!</definedName>
    <definedName name="______MA0001" localSheetId="6">#REF!</definedName>
    <definedName name="______MA0001">#REF!</definedName>
    <definedName name="______MO0001" localSheetId="4">#REF!</definedName>
    <definedName name="______MO0001" localSheetId="7">#REF!</definedName>
    <definedName name="______MO0001" localSheetId="5">#REF!</definedName>
    <definedName name="______MO0001" localSheetId="2">#REF!</definedName>
    <definedName name="______MO0001" localSheetId="6">#REF!</definedName>
    <definedName name="______MO0001">#REF!</definedName>
    <definedName name="______MO0002" localSheetId="4">#REF!</definedName>
    <definedName name="______MO0002" localSheetId="7">#REF!</definedName>
    <definedName name="______MO0002" localSheetId="5">#REF!</definedName>
    <definedName name="______MO0002" localSheetId="2">#REF!</definedName>
    <definedName name="______MO0002" localSheetId="6">#REF!</definedName>
    <definedName name="______MO0002">#REF!</definedName>
    <definedName name="______MO0003" localSheetId="4">#REF!</definedName>
    <definedName name="______MO0003" localSheetId="7">#REF!</definedName>
    <definedName name="______MO0003" localSheetId="5">#REF!</definedName>
    <definedName name="______MO0003" localSheetId="2">#REF!</definedName>
    <definedName name="______MO0003" localSheetId="6">#REF!</definedName>
    <definedName name="______MO0003">#REF!</definedName>
    <definedName name="______MO0004" localSheetId="4">#REF!</definedName>
    <definedName name="______MO0004" localSheetId="7">#REF!</definedName>
    <definedName name="______MO0004" localSheetId="5">#REF!</definedName>
    <definedName name="______MO0004" localSheetId="2">#REF!</definedName>
    <definedName name="______MO0004" localSheetId="6">#REF!</definedName>
    <definedName name="______MO0004">#REF!</definedName>
    <definedName name="_____MA0001" localSheetId="4">#REF!</definedName>
    <definedName name="_____MA0001" localSheetId="7">#REF!</definedName>
    <definedName name="_____MA0001" localSheetId="5">#REF!</definedName>
    <definedName name="_____MA0001" localSheetId="2">#REF!</definedName>
    <definedName name="_____MA0001" localSheetId="6">#REF!</definedName>
    <definedName name="_____MA0001">#REF!</definedName>
    <definedName name="_____MO0001" localSheetId="4">#REF!</definedName>
    <definedName name="_____MO0001" localSheetId="7">#REF!</definedName>
    <definedName name="_____MO0001" localSheetId="5">#REF!</definedName>
    <definedName name="_____MO0001" localSheetId="2">#REF!</definedName>
    <definedName name="_____MO0001" localSheetId="6">#REF!</definedName>
    <definedName name="_____MO0001">#REF!</definedName>
    <definedName name="_____MO0002" localSheetId="4">#REF!</definedName>
    <definedName name="_____MO0002" localSheetId="7">#REF!</definedName>
    <definedName name="_____MO0002" localSheetId="5">#REF!</definedName>
    <definedName name="_____MO0002" localSheetId="2">#REF!</definedName>
    <definedName name="_____MO0002" localSheetId="6">#REF!</definedName>
    <definedName name="_____MO0002">#REF!</definedName>
    <definedName name="_____MO0003" localSheetId="4">#REF!</definedName>
    <definedName name="_____MO0003" localSheetId="7">#REF!</definedName>
    <definedName name="_____MO0003" localSheetId="5">#REF!</definedName>
    <definedName name="_____MO0003" localSheetId="2">#REF!</definedName>
    <definedName name="_____MO0003" localSheetId="6">#REF!</definedName>
    <definedName name="_____MO0003">#REF!</definedName>
    <definedName name="_____MO0004" localSheetId="4">#REF!</definedName>
    <definedName name="_____MO0004" localSheetId="7">#REF!</definedName>
    <definedName name="_____MO0004" localSheetId="5">#REF!</definedName>
    <definedName name="_____MO0004" localSheetId="2">#REF!</definedName>
    <definedName name="_____MO0004" localSheetId="6">#REF!</definedName>
    <definedName name="_____MO0004">#REF!</definedName>
    <definedName name="_____SE2" localSheetId="4">#REF!</definedName>
    <definedName name="_____SE2" localSheetId="7">#REF!</definedName>
    <definedName name="_____SE2" localSheetId="5">#REF!</definedName>
    <definedName name="_____SE2" localSheetId="2">#REF!</definedName>
    <definedName name="_____SE2" localSheetId="6">#REF!</definedName>
    <definedName name="_____SE2">#REF!</definedName>
    <definedName name="____ano1" localSheetId="4">#REF!</definedName>
    <definedName name="____ano1" localSheetId="7">#REF!</definedName>
    <definedName name="____ano1" localSheetId="1">#REF!</definedName>
    <definedName name="____ano1" localSheetId="5">#REF!</definedName>
    <definedName name="____ano1" localSheetId="2">#REF!</definedName>
    <definedName name="____ano1" localSheetId="6">#REF!</definedName>
    <definedName name="____ano1">#REF!</definedName>
    <definedName name="____AUX1" localSheetId="4">#REF!</definedName>
    <definedName name="____AUX1" localSheetId="7">#REF!</definedName>
    <definedName name="____AUX1" localSheetId="5">#REF!</definedName>
    <definedName name="____AUX1" localSheetId="2">#REF!</definedName>
    <definedName name="____AUX1" localSheetId="6">#REF!</definedName>
    <definedName name="____AUX1">#REF!</definedName>
    <definedName name="____aux2" localSheetId="4">#REF!</definedName>
    <definedName name="____aux2" localSheetId="7">#REF!</definedName>
    <definedName name="____aux2" localSheetId="5">#REF!</definedName>
    <definedName name="____aux2" localSheetId="2">#REF!</definedName>
    <definedName name="____aux2" localSheetId="6">#REF!</definedName>
    <definedName name="____aux2">#REF!</definedName>
    <definedName name="____dre1" localSheetId="4">#REF!</definedName>
    <definedName name="____dre1" localSheetId="7">#REF!</definedName>
    <definedName name="____dre1" localSheetId="5">#REF!</definedName>
    <definedName name="____dre1" localSheetId="2">#REF!</definedName>
    <definedName name="____dre1" localSheetId="6">#REF!</definedName>
    <definedName name="____dre1">#REF!</definedName>
    <definedName name="____MA0001" localSheetId="4">#REF!</definedName>
    <definedName name="____MA0001" localSheetId="7">#REF!</definedName>
    <definedName name="____MA0001" localSheetId="5">#REF!</definedName>
    <definedName name="____MA0001" localSheetId="2">#REF!</definedName>
    <definedName name="____MA0001" localSheetId="6">#REF!</definedName>
    <definedName name="____MA0001">#REF!</definedName>
    <definedName name="____MO0001" localSheetId="4">#REF!</definedName>
    <definedName name="____MO0001" localSheetId="7">#REF!</definedName>
    <definedName name="____MO0001" localSheetId="5">#REF!</definedName>
    <definedName name="____MO0001" localSheetId="2">#REF!</definedName>
    <definedName name="____MO0001" localSheetId="6">#REF!</definedName>
    <definedName name="____MO0001">#REF!</definedName>
    <definedName name="____MO0002" localSheetId="4">#REF!</definedName>
    <definedName name="____MO0002" localSheetId="7">#REF!</definedName>
    <definedName name="____MO0002" localSheetId="5">#REF!</definedName>
    <definedName name="____MO0002" localSheetId="2">#REF!</definedName>
    <definedName name="____MO0002" localSheetId="6">#REF!</definedName>
    <definedName name="____MO0002">#REF!</definedName>
    <definedName name="____MO0003" localSheetId="4">#REF!</definedName>
    <definedName name="____MO0003" localSheetId="7">#REF!</definedName>
    <definedName name="____MO0003" localSheetId="5">#REF!</definedName>
    <definedName name="____MO0003" localSheetId="2">#REF!</definedName>
    <definedName name="____MO0003" localSheetId="6">#REF!</definedName>
    <definedName name="____MO0003">#REF!</definedName>
    <definedName name="____MO0004" localSheetId="4">#REF!</definedName>
    <definedName name="____MO0004" localSheetId="7">#REF!</definedName>
    <definedName name="____MO0004" localSheetId="5">#REF!</definedName>
    <definedName name="____MO0004" localSheetId="2">#REF!</definedName>
    <definedName name="____MO0004" localSheetId="6">#REF!</definedName>
    <definedName name="____MO0004">#REF!</definedName>
    <definedName name="____oae1" localSheetId="4">#REF!</definedName>
    <definedName name="____oae1" localSheetId="7">#REF!</definedName>
    <definedName name="____oae1" localSheetId="5">#REF!</definedName>
    <definedName name="____oae1" localSheetId="2">#REF!</definedName>
    <definedName name="____oae1" localSheetId="6">#REF!</definedName>
    <definedName name="____oae1">#REF!</definedName>
    <definedName name="____Pav1" localSheetId="4">#REF!</definedName>
    <definedName name="____Pav1" localSheetId="7">#REF!</definedName>
    <definedName name="____Pav1" localSheetId="5">#REF!</definedName>
    <definedName name="____Pav1" localSheetId="2">#REF!</definedName>
    <definedName name="____Pav1" localSheetId="6">#REF!</definedName>
    <definedName name="____Pav1">#REF!</definedName>
    <definedName name="____pre1" localSheetId="4">#REF!</definedName>
    <definedName name="____pre1" localSheetId="7">#REF!</definedName>
    <definedName name="____pre1" localSheetId="5">#REF!</definedName>
    <definedName name="____pre1" localSheetId="2">#REF!</definedName>
    <definedName name="____pre1" localSheetId="6">#REF!</definedName>
    <definedName name="____pre1">#REF!</definedName>
    <definedName name="____REV1" localSheetId="4">#REF!</definedName>
    <definedName name="____REV1" localSheetId="7">#REF!</definedName>
    <definedName name="____REV1" localSheetId="5">#REF!</definedName>
    <definedName name="____REV1" localSheetId="2">#REF!</definedName>
    <definedName name="____REV1" localSheetId="6">#REF!</definedName>
    <definedName name="____REV1">#REF!</definedName>
    <definedName name="____SEG1" localSheetId="4">#REF!</definedName>
    <definedName name="____SEG1" localSheetId="7">#REF!</definedName>
    <definedName name="____SEG1" localSheetId="5">#REF!</definedName>
    <definedName name="____SEG1" localSheetId="2">#REF!</definedName>
    <definedName name="____SEG1" localSheetId="6">#REF!</definedName>
    <definedName name="____SEG1">#REF!</definedName>
    <definedName name="____sih1" localSheetId="4">#REF!</definedName>
    <definedName name="____sih1" localSheetId="7">#REF!</definedName>
    <definedName name="____sih1" localSheetId="5">#REF!</definedName>
    <definedName name="____sih1" localSheetId="2">#REF!</definedName>
    <definedName name="____sih1" localSheetId="6">#REF!</definedName>
    <definedName name="____sih1">#REF!</definedName>
    <definedName name="____tab1" localSheetId="4">#REF!</definedName>
    <definedName name="____tab1" localSheetId="7">#REF!</definedName>
    <definedName name="____tab1" localSheetId="1">#REF!</definedName>
    <definedName name="____tab1" localSheetId="5">#REF!</definedName>
    <definedName name="____tab1" localSheetId="2">#REF!</definedName>
    <definedName name="____tab1" localSheetId="6">#REF!</definedName>
    <definedName name="____tab1">#REF!</definedName>
    <definedName name="____tex1" localSheetId="4">#REF!</definedName>
    <definedName name="____tex1" localSheetId="7">#REF!</definedName>
    <definedName name="____tex1" localSheetId="1">#REF!</definedName>
    <definedName name="____tex1" localSheetId="5">#REF!</definedName>
    <definedName name="____tex1" localSheetId="2">#REF!</definedName>
    <definedName name="____tex1" localSheetId="6">#REF!</definedName>
    <definedName name="____tex1">#REF!</definedName>
    <definedName name="____tex10" localSheetId="0">#REF!</definedName>
    <definedName name="____tex10" localSheetId="4">#REF!</definedName>
    <definedName name="____tex10" localSheetId="7">#REF!</definedName>
    <definedName name="____tex10" localSheetId="5">#REF!</definedName>
    <definedName name="____tex10" localSheetId="2">#REF!</definedName>
    <definedName name="____tex10" localSheetId="6">#REF!</definedName>
    <definedName name="____tex10">#REF!</definedName>
    <definedName name="____tex11" localSheetId="0">#REF!</definedName>
    <definedName name="____tex11" localSheetId="4">#REF!</definedName>
    <definedName name="____tex11" localSheetId="7">#REF!</definedName>
    <definedName name="____tex11" localSheetId="5">#REF!</definedName>
    <definedName name="____tex11" localSheetId="2">#REF!</definedName>
    <definedName name="____tex11" localSheetId="6">#REF!</definedName>
    <definedName name="____tex11">#REF!</definedName>
    <definedName name="____tex12" localSheetId="0">#REF!</definedName>
    <definedName name="____tex12" localSheetId="4">#REF!</definedName>
    <definedName name="____tex12" localSheetId="7">#REF!</definedName>
    <definedName name="____tex12" localSheetId="5">#REF!</definedName>
    <definedName name="____tex12" localSheetId="2">#REF!</definedName>
    <definedName name="____tex12" localSheetId="6">#REF!</definedName>
    <definedName name="____tex12">#REF!</definedName>
    <definedName name="____tex13" localSheetId="0">#REF!</definedName>
    <definedName name="____tex13" localSheetId="4">#REF!</definedName>
    <definedName name="____tex13" localSheetId="7">#REF!</definedName>
    <definedName name="____tex13" localSheetId="5">#REF!</definedName>
    <definedName name="____tex13" localSheetId="2">#REF!</definedName>
    <definedName name="____tex13" localSheetId="6">#REF!</definedName>
    <definedName name="____tex13">#REF!</definedName>
    <definedName name="____tex14" localSheetId="0">#REF!</definedName>
    <definedName name="____tex14" localSheetId="4">#REF!</definedName>
    <definedName name="____tex14" localSheetId="7">#REF!</definedName>
    <definedName name="____tex14" localSheetId="5">#REF!</definedName>
    <definedName name="____tex14" localSheetId="2">#REF!</definedName>
    <definedName name="____tex14" localSheetId="6">#REF!</definedName>
    <definedName name="____tex14">#REF!</definedName>
    <definedName name="____tex15" localSheetId="0">#REF!</definedName>
    <definedName name="____tex15" localSheetId="4">#REF!</definedName>
    <definedName name="____tex15" localSheetId="7">#REF!</definedName>
    <definedName name="____tex15" localSheetId="5">#REF!</definedName>
    <definedName name="____tex15" localSheetId="2">#REF!</definedName>
    <definedName name="____tex15" localSheetId="6">#REF!</definedName>
    <definedName name="____tex15">#REF!</definedName>
    <definedName name="____tex16" localSheetId="0">#REF!</definedName>
    <definedName name="____tex16" localSheetId="4">#REF!</definedName>
    <definedName name="____tex16" localSheetId="7">#REF!</definedName>
    <definedName name="____tex16" localSheetId="5">#REF!</definedName>
    <definedName name="____tex16" localSheetId="2">#REF!</definedName>
    <definedName name="____tex16" localSheetId="6">#REF!</definedName>
    <definedName name="____tex16">#REF!</definedName>
    <definedName name="____tex17" localSheetId="0">#REF!</definedName>
    <definedName name="____tex17" localSheetId="4">#REF!</definedName>
    <definedName name="____tex17" localSheetId="7">#REF!</definedName>
    <definedName name="____tex17" localSheetId="5">#REF!</definedName>
    <definedName name="____tex17" localSheetId="2">#REF!</definedName>
    <definedName name="____tex17" localSheetId="6">#REF!</definedName>
    <definedName name="____tex17">#REF!</definedName>
    <definedName name="____tex18" localSheetId="0">#REF!</definedName>
    <definedName name="____tex18" localSheetId="4">#REF!</definedName>
    <definedName name="____tex18" localSheetId="7">#REF!</definedName>
    <definedName name="____tex18" localSheetId="5">#REF!</definedName>
    <definedName name="____tex18" localSheetId="2">#REF!</definedName>
    <definedName name="____tex18" localSheetId="6">#REF!</definedName>
    <definedName name="____tex18">#REF!</definedName>
    <definedName name="____tex19" localSheetId="0">#REF!</definedName>
    <definedName name="____tex19" localSheetId="4">#REF!</definedName>
    <definedName name="____tex19" localSheetId="7">#REF!</definedName>
    <definedName name="____tex19" localSheetId="5">#REF!</definedName>
    <definedName name="____tex19" localSheetId="2">#REF!</definedName>
    <definedName name="____tex19" localSheetId="6">#REF!</definedName>
    <definedName name="____tex19">#REF!</definedName>
    <definedName name="____tex2" localSheetId="0">#REF!</definedName>
    <definedName name="____tex2" localSheetId="4">#REF!</definedName>
    <definedName name="____tex2" localSheetId="7">#REF!</definedName>
    <definedName name="____tex2" localSheetId="5">#REF!</definedName>
    <definedName name="____tex2" localSheetId="2">#REF!</definedName>
    <definedName name="____tex2" localSheetId="6">#REF!</definedName>
    <definedName name="____tex2">#REF!</definedName>
    <definedName name="____tex20" localSheetId="0">#REF!</definedName>
    <definedName name="____tex20" localSheetId="4">#REF!</definedName>
    <definedName name="____tex20" localSheetId="7">#REF!</definedName>
    <definedName name="____tex20" localSheetId="5">#REF!</definedName>
    <definedName name="____tex20" localSheetId="2">#REF!</definedName>
    <definedName name="____tex20" localSheetId="6">#REF!</definedName>
    <definedName name="____tex20">#REF!</definedName>
    <definedName name="____tex21" localSheetId="0">#REF!</definedName>
    <definedName name="____tex21" localSheetId="4">#REF!</definedName>
    <definedName name="____tex21" localSheetId="7">#REF!</definedName>
    <definedName name="____tex21" localSheetId="5">#REF!</definedName>
    <definedName name="____tex21" localSheetId="2">#REF!</definedName>
    <definedName name="____tex21" localSheetId="6">#REF!</definedName>
    <definedName name="____tex21">#REF!</definedName>
    <definedName name="____tex22" localSheetId="0">#REF!</definedName>
    <definedName name="____tex22" localSheetId="4">#REF!</definedName>
    <definedName name="____tex22" localSheetId="7">#REF!</definedName>
    <definedName name="____tex22" localSheetId="5">#REF!</definedName>
    <definedName name="____tex22" localSheetId="2">#REF!</definedName>
    <definedName name="____tex22" localSheetId="6">#REF!</definedName>
    <definedName name="____tex22">#REF!</definedName>
    <definedName name="____tex23" localSheetId="0">#REF!</definedName>
    <definedName name="____tex23" localSheetId="4">#REF!</definedName>
    <definedName name="____tex23" localSheetId="7">#REF!</definedName>
    <definedName name="____tex23" localSheetId="5">#REF!</definedName>
    <definedName name="____tex23" localSheetId="2">#REF!</definedName>
    <definedName name="____tex23" localSheetId="6">#REF!</definedName>
    <definedName name="____tex23">#REF!</definedName>
    <definedName name="____tex24" localSheetId="0">#REF!</definedName>
    <definedName name="____tex24" localSheetId="4">#REF!</definedName>
    <definedName name="____tex24" localSheetId="7">#REF!</definedName>
    <definedName name="____tex24" localSheetId="5">#REF!</definedName>
    <definedName name="____tex24" localSheetId="2">#REF!</definedName>
    <definedName name="____tex24" localSheetId="6">#REF!</definedName>
    <definedName name="____tex24">#REF!</definedName>
    <definedName name="____tex25" localSheetId="0">#REF!</definedName>
    <definedName name="____tex25" localSheetId="4">#REF!</definedName>
    <definedName name="____tex25" localSheetId="7">#REF!</definedName>
    <definedName name="____tex25" localSheetId="5">#REF!</definedName>
    <definedName name="____tex25" localSheetId="2">#REF!</definedName>
    <definedName name="____tex25" localSheetId="6">#REF!</definedName>
    <definedName name="____tex25">#REF!</definedName>
    <definedName name="____tex3" localSheetId="0">#REF!</definedName>
    <definedName name="____tex3" localSheetId="4">#REF!</definedName>
    <definedName name="____tex3" localSheetId="7">#REF!</definedName>
    <definedName name="____tex3" localSheetId="5">#REF!</definedName>
    <definedName name="____tex3" localSheetId="2">#REF!</definedName>
    <definedName name="____tex3" localSheetId="6">#REF!</definedName>
    <definedName name="____tex3">#REF!</definedName>
    <definedName name="____tex4" localSheetId="0">#REF!</definedName>
    <definedName name="____tex4" localSheetId="4">#REF!</definedName>
    <definedName name="____tex4" localSheetId="7">#REF!</definedName>
    <definedName name="____tex4" localSheetId="5">#REF!</definedName>
    <definedName name="____tex4" localSheetId="2">#REF!</definedName>
    <definedName name="____tex4" localSheetId="6">#REF!</definedName>
    <definedName name="____tex4">#REF!</definedName>
    <definedName name="____tex5" localSheetId="0">#REF!</definedName>
    <definedName name="____tex5" localSheetId="4">#REF!</definedName>
    <definedName name="____tex5" localSheetId="7">#REF!</definedName>
    <definedName name="____tex5" localSheetId="5">#REF!</definedName>
    <definedName name="____tex5" localSheetId="2">#REF!</definedName>
    <definedName name="____tex5" localSheetId="6">#REF!</definedName>
    <definedName name="____tex5">#REF!</definedName>
    <definedName name="____tex6" localSheetId="0">#REF!</definedName>
    <definedName name="____tex6" localSheetId="4">#REF!</definedName>
    <definedName name="____tex6" localSheetId="7">#REF!</definedName>
    <definedName name="____tex6" localSheetId="5">#REF!</definedName>
    <definedName name="____tex6" localSheetId="2">#REF!</definedName>
    <definedName name="____tex6" localSheetId="6">#REF!</definedName>
    <definedName name="____tex6">#REF!</definedName>
    <definedName name="____tex7" localSheetId="0">#REF!</definedName>
    <definedName name="____tex7" localSheetId="4">#REF!</definedName>
    <definedName name="____tex7" localSheetId="7">#REF!</definedName>
    <definedName name="____tex7" localSheetId="5">#REF!</definedName>
    <definedName name="____tex7" localSheetId="2">#REF!</definedName>
    <definedName name="____tex7" localSheetId="6">#REF!</definedName>
    <definedName name="____tex7">#REF!</definedName>
    <definedName name="____tex8" localSheetId="0">#REF!</definedName>
    <definedName name="____tex8" localSheetId="4">#REF!</definedName>
    <definedName name="____tex8" localSheetId="7">#REF!</definedName>
    <definedName name="____tex8" localSheetId="5">#REF!</definedName>
    <definedName name="____tex8" localSheetId="2">#REF!</definedName>
    <definedName name="____tex8" localSheetId="6">#REF!</definedName>
    <definedName name="____tex8">#REF!</definedName>
    <definedName name="____tex9" localSheetId="0">#REF!</definedName>
    <definedName name="____tex9" localSheetId="4">#REF!</definedName>
    <definedName name="____tex9" localSheetId="7">#REF!</definedName>
    <definedName name="____tex9" localSheetId="5">#REF!</definedName>
    <definedName name="____tex9" localSheetId="2">#REF!</definedName>
    <definedName name="____tex9" localSheetId="6">#REF!</definedName>
    <definedName name="____tex9">#REF!</definedName>
    <definedName name="___ano1" localSheetId="4">#REF!</definedName>
    <definedName name="___ano1" localSheetId="7">#REF!</definedName>
    <definedName name="___ano1" localSheetId="1">#REF!</definedName>
    <definedName name="___ano1" localSheetId="5">#REF!</definedName>
    <definedName name="___ano1" localSheetId="2">#REF!</definedName>
    <definedName name="___ano1" localSheetId="6">#REF!</definedName>
    <definedName name="___ano1">#REF!</definedName>
    <definedName name="___AUX1" localSheetId="4">#REF!</definedName>
    <definedName name="___AUX1" localSheetId="7">#REF!</definedName>
    <definedName name="___AUX1" localSheetId="5">#REF!</definedName>
    <definedName name="___AUX1" localSheetId="2">#REF!</definedName>
    <definedName name="___AUX1" localSheetId="6">#REF!</definedName>
    <definedName name="___AUX1">#REF!</definedName>
    <definedName name="___aux2" localSheetId="4">#REF!</definedName>
    <definedName name="___aux2" localSheetId="7">#REF!</definedName>
    <definedName name="___aux2" localSheetId="5">#REF!</definedName>
    <definedName name="___aux2" localSheetId="2">#REF!</definedName>
    <definedName name="___aux2" localSheetId="6">#REF!</definedName>
    <definedName name="___aux2">#REF!</definedName>
    <definedName name="___CTD1" localSheetId="4">#REF!</definedName>
    <definedName name="___CTD1" localSheetId="7">#REF!</definedName>
    <definedName name="___CTD1" localSheetId="5">#REF!</definedName>
    <definedName name="___CTD1" localSheetId="2">#REF!</definedName>
    <definedName name="___CTD1" localSheetId="6">#REF!</definedName>
    <definedName name="___CTD1">#REF!</definedName>
    <definedName name="___dre1" localSheetId="4">#REF!</definedName>
    <definedName name="___dre1" localSheetId="7">#REF!</definedName>
    <definedName name="___dre1" localSheetId="5">#REF!</definedName>
    <definedName name="___dre1" localSheetId="2">#REF!</definedName>
    <definedName name="___dre1" localSheetId="6">#REF!</definedName>
    <definedName name="___dre1">#REF!</definedName>
    <definedName name="___MA0001" localSheetId="4">#REF!</definedName>
    <definedName name="___MA0001" localSheetId="7">#REF!</definedName>
    <definedName name="___MA0001" localSheetId="5">#REF!</definedName>
    <definedName name="___MA0001" localSheetId="2">#REF!</definedName>
    <definedName name="___MA0001" localSheetId="6">#REF!</definedName>
    <definedName name="___MA0001">#REF!</definedName>
    <definedName name="___MLH1" localSheetId="4">#REF!</definedName>
    <definedName name="___MLH1" localSheetId="7">#REF!</definedName>
    <definedName name="___MLH1" localSheetId="5">#REF!</definedName>
    <definedName name="___MLH1" localSheetId="2">#REF!</definedName>
    <definedName name="___MLH1" localSheetId="6">#REF!</definedName>
    <definedName name="___MLH1">#REF!</definedName>
    <definedName name="___MLH2" localSheetId="4">#REF!</definedName>
    <definedName name="___MLH2" localSheetId="7">#REF!</definedName>
    <definedName name="___MLH2" localSheetId="5">#REF!</definedName>
    <definedName name="___MLH2" localSheetId="2">#REF!</definedName>
    <definedName name="___MLH2" localSheetId="6">#REF!</definedName>
    <definedName name="___MLH2">#REF!</definedName>
    <definedName name="___MLH3" localSheetId="4">#REF!</definedName>
    <definedName name="___MLH3" localSheetId="7">#REF!</definedName>
    <definedName name="___MLH3" localSheetId="5">#REF!</definedName>
    <definedName name="___MLH3" localSheetId="2">#REF!</definedName>
    <definedName name="___MLH3" localSheetId="6">#REF!</definedName>
    <definedName name="___MLH3">#REF!</definedName>
    <definedName name="___MO0001" localSheetId="4">#REF!</definedName>
    <definedName name="___MO0001" localSheetId="7">#REF!</definedName>
    <definedName name="___MO0001" localSheetId="5">#REF!</definedName>
    <definedName name="___MO0001" localSheetId="2">#REF!</definedName>
    <definedName name="___MO0001" localSheetId="6">#REF!</definedName>
    <definedName name="___MO0001">#REF!</definedName>
    <definedName name="___MO0002" localSheetId="4">#REF!</definedName>
    <definedName name="___MO0002" localSheetId="7">#REF!</definedName>
    <definedName name="___MO0002" localSheetId="5">#REF!</definedName>
    <definedName name="___MO0002" localSheetId="2">#REF!</definedName>
    <definedName name="___MO0002" localSheetId="6">#REF!</definedName>
    <definedName name="___MO0002">#REF!</definedName>
    <definedName name="___MO0003" localSheetId="4">#REF!</definedName>
    <definedName name="___MO0003" localSheetId="7">#REF!</definedName>
    <definedName name="___MO0003" localSheetId="5">#REF!</definedName>
    <definedName name="___MO0003" localSheetId="2">#REF!</definedName>
    <definedName name="___MO0003" localSheetId="6">#REF!</definedName>
    <definedName name="___MO0003">#REF!</definedName>
    <definedName name="___MO0004" localSheetId="4">#REF!</definedName>
    <definedName name="___MO0004" localSheetId="7">#REF!</definedName>
    <definedName name="___MO0004" localSheetId="5">#REF!</definedName>
    <definedName name="___MO0004" localSheetId="2">#REF!</definedName>
    <definedName name="___MO0004" localSheetId="6">#REF!</definedName>
    <definedName name="___MO0004">#REF!</definedName>
    <definedName name="___MP100" localSheetId="4">#REF!</definedName>
    <definedName name="___MP100" localSheetId="7">#REF!</definedName>
    <definedName name="___MP100" localSheetId="5">#REF!</definedName>
    <definedName name="___MP100" localSheetId="2">#REF!</definedName>
    <definedName name="___MP100" localSheetId="6">#REF!</definedName>
    <definedName name="___MP100">#REF!</definedName>
    <definedName name="___oae1" localSheetId="4">#REF!</definedName>
    <definedName name="___oae1" localSheetId="7">#REF!</definedName>
    <definedName name="___oae1" localSheetId="5">#REF!</definedName>
    <definedName name="___oae1" localSheetId="2">#REF!</definedName>
    <definedName name="___oae1" localSheetId="6">#REF!</definedName>
    <definedName name="___oae1">#REF!</definedName>
    <definedName name="___Pav1" localSheetId="4">#REF!</definedName>
    <definedName name="___Pav1" localSheetId="7">#REF!</definedName>
    <definedName name="___Pav1" localSheetId="5">#REF!</definedName>
    <definedName name="___Pav1" localSheetId="2">#REF!</definedName>
    <definedName name="___Pav1" localSheetId="6">#REF!</definedName>
    <definedName name="___Pav1">#REF!</definedName>
    <definedName name="___PL1" localSheetId="4">#REF!</definedName>
    <definedName name="___PL1" localSheetId="7">#REF!</definedName>
    <definedName name="___PL1" localSheetId="5">#REF!</definedName>
    <definedName name="___PL1" localSheetId="2">#REF!</definedName>
    <definedName name="___PL1" localSheetId="6">#REF!</definedName>
    <definedName name="___PL1">#REF!</definedName>
    <definedName name="___pre1" localSheetId="4">#REF!</definedName>
    <definedName name="___pre1" localSheetId="7">#REF!</definedName>
    <definedName name="___pre1" localSheetId="5">#REF!</definedName>
    <definedName name="___pre1" localSheetId="2">#REF!</definedName>
    <definedName name="___pre1" localSheetId="6">#REF!</definedName>
    <definedName name="___pre1">#REF!</definedName>
    <definedName name="___REV1" localSheetId="4">#REF!</definedName>
    <definedName name="___REV1" localSheetId="7">#REF!</definedName>
    <definedName name="___REV1" localSheetId="5">#REF!</definedName>
    <definedName name="___REV1" localSheetId="2">#REF!</definedName>
    <definedName name="___REV1" localSheetId="6">#REF!</definedName>
    <definedName name="___REV1">#REF!</definedName>
    <definedName name="___SE2" localSheetId="4">#REF!</definedName>
    <definedName name="___SE2" localSheetId="7">#REF!</definedName>
    <definedName name="___SE2" localSheetId="5">#REF!</definedName>
    <definedName name="___SE2" localSheetId="2">#REF!</definedName>
    <definedName name="___SE2" localSheetId="6">#REF!</definedName>
    <definedName name="___SE2">#REF!</definedName>
    <definedName name="___SEG1" localSheetId="4">#REF!</definedName>
    <definedName name="___SEG1" localSheetId="7">#REF!</definedName>
    <definedName name="___SEG1" localSheetId="5">#REF!</definedName>
    <definedName name="___SEG1" localSheetId="2">#REF!</definedName>
    <definedName name="___SEG1" localSheetId="6">#REF!</definedName>
    <definedName name="___SEG1">#REF!</definedName>
    <definedName name="___sih1" localSheetId="4">#REF!</definedName>
    <definedName name="___sih1" localSheetId="7">#REF!</definedName>
    <definedName name="___sih1" localSheetId="5">#REF!</definedName>
    <definedName name="___sih1" localSheetId="2">#REF!</definedName>
    <definedName name="___sih1" localSheetId="6">#REF!</definedName>
    <definedName name="___sih1">#REF!</definedName>
    <definedName name="___tab0198" localSheetId="4">#REF!</definedName>
    <definedName name="___tab0198" localSheetId="7">#REF!</definedName>
    <definedName name="___tab0198" localSheetId="5">#REF!</definedName>
    <definedName name="___tab0198" localSheetId="2">#REF!</definedName>
    <definedName name="___tab0198" localSheetId="6">#REF!</definedName>
    <definedName name="___tab0198">#REF!</definedName>
    <definedName name="___tab1" localSheetId="4">#REF!</definedName>
    <definedName name="___tab1" localSheetId="7">#REF!</definedName>
    <definedName name="___tab1" localSheetId="1">#REF!</definedName>
    <definedName name="___tab1" localSheetId="5">#REF!</definedName>
    <definedName name="___tab1" localSheetId="2">#REF!</definedName>
    <definedName name="___tab1" localSheetId="6">#REF!</definedName>
    <definedName name="___tab1">#REF!</definedName>
    <definedName name="___tex1" localSheetId="4">#REF!</definedName>
    <definedName name="___tex1" localSheetId="7">#REF!</definedName>
    <definedName name="___tex1" localSheetId="1">#REF!</definedName>
    <definedName name="___tex1" localSheetId="5">#REF!</definedName>
    <definedName name="___tex1" localSheetId="2">#REF!</definedName>
    <definedName name="___tex1" localSheetId="6">#REF!</definedName>
    <definedName name="___tex1">#REF!</definedName>
    <definedName name="___tex10" localSheetId="0">#REF!</definedName>
    <definedName name="___tex10" localSheetId="4">#REF!</definedName>
    <definedName name="___tex10" localSheetId="7">#REF!</definedName>
    <definedName name="___tex10" localSheetId="5">#REF!</definedName>
    <definedName name="___tex10" localSheetId="2">#REF!</definedName>
    <definedName name="___tex10" localSheetId="6">#REF!</definedName>
    <definedName name="___tex10">#REF!</definedName>
    <definedName name="___tex11" localSheetId="0">#REF!</definedName>
    <definedName name="___tex11" localSheetId="4">#REF!</definedName>
    <definedName name="___tex11" localSheetId="7">#REF!</definedName>
    <definedName name="___tex11" localSheetId="5">#REF!</definedName>
    <definedName name="___tex11" localSheetId="2">#REF!</definedName>
    <definedName name="___tex11" localSheetId="6">#REF!</definedName>
    <definedName name="___tex11">#REF!</definedName>
    <definedName name="___tex12" localSheetId="0">#REF!</definedName>
    <definedName name="___tex12" localSheetId="4">#REF!</definedName>
    <definedName name="___tex12" localSheetId="7">#REF!</definedName>
    <definedName name="___tex12" localSheetId="5">#REF!</definedName>
    <definedName name="___tex12" localSheetId="2">#REF!</definedName>
    <definedName name="___tex12" localSheetId="6">#REF!</definedName>
    <definedName name="___tex12">#REF!</definedName>
    <definedName name="___tex13" localSheetId="0">#REF!</definedName>
    <definedName name="___tex13" localSheetId="4">#REF!</definedName>
    <definedName name="___tex13" localSheetId="7">#REF!</definedName>
    <definedName name="___tex13" localSheetId="5">#REF!</definedName>
    <definedName name="___tex13" localSheetId="2">#REF!</definedName>
    <definedName name="___tex13" localSheetId="6">#REF!</definedName>
    <definedName name="___tex13">#REF!</definedName>
    <definedName name="___tex14" localSheetId="0">#REF!</definedName>
    <definedName name="___tex14" localSheetId="4">#REF!</definedName>
    <definedName name="___tex14" localSheetId="7">#REF!</definedName>
    <definedName name="___tex14" localSheetId="5">#REF!</definedName>
    <definedName name="___tex14" localSheetId="2">#REF!</definedName>
    <definedName name="___tex14" localSheetId="6">#REF!</definedName>
    <definedName name="___tex14">#REF!</definedName>
    <definedName name="___tex15" localSheetId="0">#REF!</definedName>
    <definedName name="___tex15" localSheetId="4">#REF!</definedName>
    <definedName name="___tex15" localSheetId="7">#REF!</definedName>
    <definedName name="___tex15" localSheetId="5">#REF!</definedName>
    <definedName name="___tex15" localSheetId="2">#REF!</definedName>
    <definedName name="___tex15" localSheetId="6">#REF!</definedName>
    <definedName name="___tex15">#REF!</definedName>
    <definedName name="___tex16" localSheetId="0">#REF!</definedName>
    <definedName name="___tex16" localSheetId="4">#REF!</definedName>
    <definedName name="___tex16" localSheetId="7">#REF!</definedName>
    <definedName name="___tex16" localSheetId="5">#REF!</definedName>
    <definedName name="___tex16" localSheetId="2">#REF!</definedName>
    <definedName name="___tex16" localSheetId="6">#REF!</definedName>
    <definedName name="___tex16">#REF!</definedName>
    <definedName name="___tex17" localSheetId="0">#REF!</definedName>
    <definedName name="___tex17" localSheetId="4">#REF!</definedName>
    <definedName name="___tex17" localSheetId="7">#REF!</definedName>
    <definedName name="___tex17" localSheetId="5">#REF!</definedName>
    <definedName name="___tex17" localSheetId="2">#REF!</definedName>
    <definedName name="___tex17" localSheetId="6">#REF!</definedName>
    <definedName name="___tex17">#REF!</definedName>
    <definedName name="___tex18" localSheetId="0">#REF!</definedName>
    <definedName name="___tex18" localSheetId="4">#REF!</definedName>
    <definedName name="___tex18" localSheetId="7">#REF!</definedName>
    <definedName name="___tex18" localSheetId="5">#REF!</definedName>
    <definedName name="___tex18" localSheetId="2">#REF!</definedName>
    <definedName name="___tex18" localSheetId="6">#REF!</definedName>
    <definedName name="___tex18">#REF!</definedName>
    <definedName name="___tex19" localSheetId="0">#REF!</definedName>
    <definedName name="___tex19" localSheetId="4">#REF!</definedName>
    <definedName name="___tex19" localSheetId="7">#REF!</definedName>
    <definedName name="___tex19" localSheetId="5">#REF!</definedName>
    <definedName name="___tex19" localSheetId="2">#REF!</definedName>
    <definedName name="___tex19" localSheetId="6">#REF!</definedName>
    <definedName name="___tex19">#REF!</definedName>
    <definedName name="___tex2" localSheetId="0">#REF!</definedName>
    <definedName name="___tex2" localSheetId="4">#REF!</definedName>
    <definedName name="___tex2" localSheetId="7">#REF!</definedName>
    <definedName name="___tex2" localSheetId="5">#REF!</definedName>
    <definedName name="___tex2" localSheetId="2">#REF!</definedName>
    <definedName name="___tex2" localSheetId="6">#REF!</definedName>
    <definedName name="___tex2">#REF!</definedName>
    <definedName name="___tex20" localSheetId="0">#REF!</definedName>
    <definedName name="___tex20" localSheetId="4">#REF!</definedName>
    <definedName name="___tex20" localSheetId="7">#REF!</definedName>
    <definedName name="___tex20" localSheetId="5">#REF!</definedName>
    <definedName name="___tex20" localSheetId="2">#REF!</definedName>
    <definedName name="___tex20" localSheetId="6">#REF!</definedName>
    <definedName name="___tex20">#REF!</definedName>
    <definedName name="___tex21" localSheetId="0">#REF!</definedName>
    <definedName name="___tex21" localSheetId="4">#REF!</definedName>
    <definedName name="___tex21" localSheetId="7">#REF!</definedName>
    <definedName name="___tex21" localSheetId="5">#REF!</definedName>
    <definedName name="___tex21" localSheetId="2">#REF!</definedName>
    <definedName name="___tex21" localSheetId="6">#REF!</definedName>
    <definedName name="___tex21">#REF!</definedName>
    <definedName name="___tex22" localSheetId="0">#REF!</definedName>
    <definedName name="___tex22" localSheetId="4">#REF!</definedName>
    <definedName name="___tex22" localSheetId="7">#REF!</definedName>
    <definedName name="___tex22" localSheetId="5">#REF!</definedName>
    <definedName name="___tex22" localSheetId="2">#REF!</definedName>
    <definedName name="___tex22" localSheetId="6">#REF!</definedName>
    <definedName name="___tex22">#REF!</definedName>
    <definedName name="___tex23" localSheetId="0">#REF!</definedName>
    <definedName name="___tex23" localSheetId="4">#REF!</definedName>
    <definedName name="___tex23" localSheetId="7">#REF!</definedName>
    <definedName name="___tex23" localSheetId="5">#REF!</definedName>
    <definedName name="___tex23" localSheetId="2">#REF!</definedName>
    <definedName name="___tex23" localSheetId="6">#REF!</definedName>
    <definedName name="___tex23">#REF!</definedName>
    <definedName name="___tex24" localSheetId="0">#REF!</definedName>
    <definedName name="___tex24" localSheetId="4">#REF!</definedName>
    <definedName name="___tex24" localSheetId="7">#REF!</definedName>
    <definedName name="___tex24" localSheetId="5">#REF!</definedName>
    <definedName name="___tex24" localSheetId="2">#REF!</definedName>
    <definedName name="___tex24" localSheetId="6">#REF!</definedName>
    <definedName name="___tex24">#REF!</definedName>
    <definedName name="___tex25" localSheetId="0">#REF!</definedName>
    <definedName name="___tex25" localSheetId="4">#REF!</definedName>
    <definedName name="___tex25" localSheetId="7">#REF!</definedName>
    <definedName name="___tex25" localSheetId="5">#REF!</definedName>
    <definedName name="___tex25" localSheetId="2">#REF!</definedName>
    <definedName name="___tex25" localSheetId="6">#REF!</definedName>
    <definedName name="___tex25">#REF!</definedName>
    <definedName name="___tex3" localSheetId="0">#REF!</definedName>
    <definedName name="___tex3" localSheetId="4">#REF!</definedName>
    <definedName name="___tex3" localSheetId="7">#REF!</definedName>
    <definedName name="___tex3" localSheetId="5">#REF!</definedName>
    <definedName name="___tex3" localSheetId="2">#REF!</definedName>
    <definedName name="___tex3" localSheetId="6">#REF!</definedName>
    <definedName name="___tex3">#REF!</definedName>
    <definedName name="___tex4" localSheetId="0">#REF!</definedName>
    <definedName name="___tex4" localSheetId="4">#REF!</definedName>
    <definedName name="___tex4" localSheetId="7">#REF!</definedName>
    <definedName name="___tex4" localSheetId="5">#REF!</definedName>
    <definedName name="___tex4" localSheetId="2">#REF!</definedName>
    <definedName name="___tex4" localSheetId="6">#REF!</definedName>
    <definedName name="___tex4">#REF!</definedName>
    <definedName name="___tex5" localSheetId="0">#REF!</definedName>
    <definedName name="___tex5" localSheetId="4">#REF!</definedName>
    <definedName name="___tex5" localSheetId="7">#REF!</definedName>
    <definedName name="___tex5" localSheetId="5">#REF!</definedName>
    <definedName name="___tex5" localSheetId="2">#REF!</definedName>
    <definedName name="___tex5" localSheetId="6">#REF!</definedName>
    <definedName name="___tex5">#REF!</definedName>
    <definedName name="___tex6" localSheetId="0">#REF!</definedName>
    <definedName name="___tex6" localSheetId="4">#REF!</definedName>
    <definedName name="___tex6" localSheetId="7">#REF!</definedName>
    <definedName name="___tex6" localSheetId="5">#REF!</definedName>
    <definedName name="___tex6" localSheetId="2">#REF!</definedName>
    <definedName name="___tex6" localSheetId="6">#REF!</definedName>
    <definedName name="___tex6">#REF!</definedName>
    <definedName name="___tex7" localSheetId="0">#REF!</definedName>
    <definedName name="___tex7" localSheetId="4">#REF!</definedName>
    <definedName name="___tex7" localSheetId="7">#REF!</definedName>
    <definedName name="___tex7" localSheetId="5">#REF!</definedName>
    <definedName name="___tex7" localSheetId="2">#REF!</definedName>
    <definedName name="___tex7" localSheetId="6">#REF!</definedName>
    <definedName name="___tex7">#REF!</definedName>
    <definedName name="___tex8" localSheetId="0">#REF!</definedName>
    <definedName name="___tex8" localSheetId="4">#REF!</definedName>
    <definedName name="___tex8" localSheetId="7">#REF!</definedName>
    <definedName name="___tex8" localSheetId="5">#REF!</definedName>
    <definedName name="___tex8" localSheetId="2">#REF!</definedName>
    <definedName name="___tex8" localSheetId="6">#REF!</definedName>
    <definedName name="___tex8">#REF!</definedName>
    <definedName name="___tex9" localSheetId="0">#REF!</definedName>
    <definedName name="___tex9" localSheetId="4">#REF!</definedName>
    <definedName name="___tex9" localSheetId="7">#REF!</definedName>
    <definedName name="___tex9" localSheetId="5">#REF!</definedName>
    <definedName name="___tex9" localSheetId="2">#REF!</definedName>
    <definedName name="___tex9" localSheetId="6">#REF!</definedName>
    <definedName name="___tex9">#REF!</definedName>
    <definedName name="___VAX1" localSheetId="4">#REF!</definedName>
    <definedName name="___VAX1" localSheetId="7">#REF!</definedName>
    <definedName name="___VAX1" localSheetId="5">#REF!</definedName>
    <definedName name="___VAX1" localSheetId="2">#REF!</definedName>
    <definedName name="___VAX1" localSheetId="6">#REF!</definedName>
    <definedName name="___VAX1">#REF!</definedName>
    <definedName name="___VAX2" localSheetId="4">#REF!</definedName>
    <definedName name="___VAX2" localSheetId="7">#REF!</definedName>
    <definedName name="___VAX2" localSheetId="5">#REF!</definedName>
    <definedName name="___VAX2" localSheetId="2">#REF!</definedName>
    <definedName name="___VAX2" localSheetId="6">#REF!</definedName>
    <definedName name="___VAX2">#REF!</definedName>
    <definedName name="___VRL1" localSheetId="4">#REF!</definedName>
    <definedName name="___VRL1" localSheetId="7">#REF!</definedName>
    <definedName name="___VRL1" localSheetId="5">#REF!</definedName>
    <definedName name="___VRL1" localSheetId="2">#REF!</definedName>
    <definedName name="___VRL1" localSheetId="6">#REF!</definedName>
    <definedName name="___VRL1">#REF!</definedName>
    <definedName name="___VRL2" localSheetId="4">#REF!</definedName>
    <definedName name="___VRL2" localSheetId="7">#REF!</definedName>
    <definedName name="___VRL2" localSheetId="5">#REF!</definedName>
    <definedName name="___VRL2" localSheetId="2">#REF!</definedName>
    <definedName name="___VRL2" localSheetId="6">#REF!</definedName>
    <definedName name="___VRL2">#REF!</definedName>
    <definedName name="___VRL3" localSheetId="4">#REF!</definedName>
    <definedName name="___VRL3" localSheetId="7">#REF!</definedName>
    <definedName name="___VRL3" localSheetId="5">#REF!</definedName>
    <definedName name="___VRL3" localSheetId="2">#REF!</definedName>
    <definedName name="___VRL3" localSheetId="6">#REF!</definedName>
    <definedName name="___VRL3">#REF!</definedName>
    <definedName name="__1ESQ_MADEIRA">#N/A</definedName>
    <definedName name="__2ESQ_METÁL">#N/A</definedName>
    <definedName name="__3REV_PAREDES">#N/A</definedName>
    <definedName name="__4REV_PISOS">#N/A</definedName>
    <definedName name="__ano1" localSheetId="4">#REF!</definedName>
    <definedName name="__ano1" localSheetId="7">#REF!</definedName>
    <definedName name="__ano1" localSheetId="1">#REF!</definedName>
    <definedName name="__ano1" localSheetId="5">#REF!</definedName>
    <definedName name="__ano1" localSheetId="2">#REF!</definedName>
    <definedName name="__ano1" localSheetId="6">#REF!</definedName>
    <definedName name="__ano1">#REF!</definedName>
    <definedName name="__AUX1" localSheetId="4">#REF!</definedName>
    <definedName name="__AUX1" localSheetId="7">#REF!</definedName>
    <definedName name="__AUX1" localSheetId="5">#REF!</definedName>
    <definedName name="__AUX1" localSheetId="2">#REF!</definedName>
    <definedName name="__AUX1" localSheetId="6">#REF!</definedName>
    <definedName name="__AUX1">#REF!</definedName>
    <definedName name="__aux2" localSheetId="4">#REF!</definedName>
    <definedName name="__aux2" localSheetId="7">#REF!</definedName>
    <definedName name="__aux2" localSheetId="5">#REF!</definedName>
    <definedName name="__aux2" localSheetId="2">#REF!</definedName>
    <definedName name="__aux2" localSheetId="6">#REF!</definedName>
    <definedName name="__aux2">#REF!</definedName>
    <definedName name="__aux9000" localSheetId="4">#REF!</definedName>
    <definedName name="__aux9000" localSheetId="7">#REF!</definedName>
    <definedName name="__aux9000" localSheetId="5">#REF!</definedName>
    <definedName name="__aux9000" localSheetId="2">#REF!</definedName>
    <definedName name="__aux9000" localSheetId="6">#REF!</definedName>
    <definedName name="__aux9000">#REF!</definedName>
    <definedName name="__CPU04" localSheetId="4">#REF!</definedName>
    <definedName name="__CPU04" localSheetId="7">#REF!</definedName>
    <definedName name="__CPU04" localSheetId="5">#REF!</definedName>
    <definedName name="__CPU04" localSheetId="2">#REF!</definedName>
    <definedName name="__CPU04" localSheetId="6">#REF!</definedName>
    <definedName name="__CPU04">#REF!</definedName>
    <definedName name="__CTD1" localSheetId="4">#REF!</definedName>
    <definedName name="__CTD1" localSheetId="7">#REF!</definedName>
    <definedName name="__CTD1" localSheetId="5">#REF!</definedName>
    <definedName name="__CTD1" localSheetId="2">#REF!</definedName>
    <definedName name="__CTD1" localSheetId="6">#REF!</definedName>
    <definedName name="__CTD1">#REF!</definedName>
    <definedName name="__dre1" localSheetId="4">#REF!</definedName>
    <definedName name="__dre1" localSheetId="7">#REF!</definedName>
    <definedName name="__dre1" localSheetId="5">#REF!</definedName>
    <definedName name="__dre1" localSheetId="2">#REF!</definedName>
    <definedName name="__dre1" localSheetId="6">#REF!</definedName>
    <definedName name="__dre1">#REF!</definedName>
    <definedName name="__IntlFixup" hidden="1">TRUE</definedName>
    <definedName name="__MA0001" localSheetId="4">#REF!</definedName>
    <definedName name="__MA0001" localSheetId="7">#REF!</definedName>
    <definedName name="__MA0001" localSheetId="5">#REF!</definedName>
    <definedName name="__MA0001" localSheetId="2">#REF!</definedName>
    <definedName name="__MA0001" localSheetId="6">#REF!</definedName>
    <definedName name="__MA0001">#REF!</definedName>
    <definedName name="__MLH1" localSheetId="4">#REF!</definedName>
    <definedName name="__MLH1" localSheetId="7">#REF!</definedName>
    <definedName name="__MLH1" localSheetId="5">#REF!</definedName>
    <definedName name="__MLH1" localSheetId="2">#REF!</definedName>
    <definedName name="__MLH1" localSheetId="6">#REF!</definedName>
    <definedName name="__MLH1">#REF!</definedName>
    <definedName name="__MLH2" localSheetId="4">#REF!</definedName>
    <definedName name="__MLH2" localSheetId="7">#REF!</definedName>
    <definedName name="__MLH2" localSheetId="5">#REF!</definedName>
    <definedName name="__MLH2" localSheetId="2">#REF!</definedName>
    <definedName name="__MLH2" localSheetId="6">#REF!</definedName>
    <definedName name="__MLH2">#REF!</definedName>
    <definedName name="__MLH3" localSheetId="4">#REF!</definedName>
    <definedName name="__MLH3" localSheetId="7">#REF!</definedName>
    <definedName name="__MLH3" localSheetId="5">#REF!</definedName>
    <definedName name="__MLH3" localSheetId="2">#REF!</definedName>
    <definedName name="__MLH3" localSheetId="6">#REF!</definedName>
    <definedName name="__MLH3">#REF!</definedName>
    <definedName name="__MO0001" localSheetId="4">#REF!</definedName>
    <definedName name="__MO0001" localSheetId="7">#REF!</definedName>
    <definedName name="__MO0001" localSheetId="5">#REF!</definedName>
    <definedName name="__MO0001" localSheetId="2">#REF!</definedName>
    <definedName name="__MO0001" localSheetId="6">#REF!</definedName>
    <definedName name="__MO0001">#REF!</definedName>
    <definedName name="__MO0002" localSheetId="4">#REF!</definedName>
    <definedName name="__MO0002" localSheetId="7">#REF!</definedName>
    <definedName name="__MO0002" localSheetId="5">#REF!</definedName>
    <definedName name="__MO0002" localSheetId="2">#REF!</definedName>
    <definedName name="__MO0002" localSheetId="6">#REF!</definedName>
    <definedName name="__MO0002">#REF!</definedName>
    <definedName name="__MO0003" localSheetId="4">#REF!</definedName>
    <definedName name="__MO0003" localSheetId="7">#REF!</definedName>
    <definedName name="__MO0003" localSheetId="5">#REF!</definedName>
    <definedName name="__MO0003" localSheetId="2">#REF!</definedName>
    <definedName name="__MO0003" localSheetId="6">#REF!</definedName>
    <definedName name="__MO0003">#REF!</definedName>
    <definedName name="__MO0004" localSheetId="4">#REF!</definedName>
    <definedName name="__MO0004" localSheetId="7">#REF!</definedName>
    <definedName name="__MO0004" localSheetId="5">#REF!</definedName>
    <definedName name="__MO0004" localSheetId="2">#REF!</definedName>
    <definedName name="__MO0004" localSheetId="6">#REF!</definedName>
    <definedName name="__MO0004">#REF!</definedName>
    <definedName name="__MO1" localSheetId="4">#REF!</definedName>
    <definedName name="__MO1" localSheetId="7">#REF!</definedName>
    <definedName name="__MO1" localSheetId="5">#REF!</definedName>
    <definedName name="__MO1" localSheetId="2">#REF!</definedName>
    <definedName name="__MO1" localSheetId="6">#REF!</definedName>
    <definedName name="__MO1">#REF!</definedName>
    <definedName name="__MO2" localSheetId="4">#REF!</definedName>
    <definedName name="__MO2" localSheetId="7">#REF!</definedName>
    <definedName name="__MO2" localSheetId="5">#REF!</definedName>
    <definedName name="__MO2" localSheetId="2">#REF!</definedName>
    <definedName name="__MO2" localSheetId="6">#REF!</definedName>
    <definedName name="__MO2">#REF!</definedName>
    <definedName name="__MO3" localSheetId="4">#REF!</definedName>
    <definedName name="__MO3" localSheetId="7">#REF!</definedName>
    <definedName name="__MO3" localSheetId="5">#REF!</definedName>
    <definedName name="__MO3" localSheetId="2">#REF!</definedName>
    <definedName name="__MO3" localSheetId="6">#REF!</definedName>
    <definedName name="__MO3">#REF!</definedName>
    <definedName name="__MP100" localSheetId="4">#REF!</definedName>
    <definedName name="__MP100" localSheetId="7">#REF!</definedName>
    <definedName name="__MP100" localSheetId="5">#REF!</definedName>
    <definedName name="__MP100" localSheetId="2">#REF!</definedName>
    <definedName name="__MP100" localSheetId="6">#REF!</definedName>
    <definedName name="__MP100">#REF!</definedName>
    <definedName name="__NUM1" localSheetId="4">#REF!</definedName>
    <definedName name="__NUM1" localSheetId="7">#REF!</definedName>
    <definedName name="__NUM1" localSheetId="5">#REF!</definedName>
    <definedName name="__NUM1" localSheetId="2">#REF!</definedName>
    <definedName name="__NUM1" localSheetId="6">#REF!</definedName>
    <definedName name="__NUM1">#REF!</definedName>
    <definedName name="__NUM2" localSheetId="4">#REF!</definedName>
    <definedName name="__NUM2" localSheetId="7">#REF!</definedName>
    <definedName name="__NUM2" localSheetId="5">#REF!</definedName>
    <definedName name="__NUM2" localSheetId="2">#REF!</definedName>
    <definedName name="__NUM2" localSheetId="6">#REF!</definedName>
    <definedName name="__NUM2">#REF!</definedName>
    <definedName name="__NUM3" localSheetId="4">#REF!</definedName>
    <definedName name="__NUM3" localSheetId="7">#REF!</definedName>
    <definedName name="__NUM3" localSheetId="5">#REF!</definedName>
    <definedName name="__NUM3" localSheetId="2">#REF!</definedName>
    <definedName name="__NUM3" localSheetId="6">#REF!</definedName>
    <definedName name="__NUM3">#REF!</definedName>
    <definedName name="__oae1" localSheetId="4">#REF!</definedName>
    <definedName name="__oae1" localSheetId="7">#REF!</definedName>
    <definedName name="__oae1" localSheetId="5">#REF!</definedName>
    <definedName name="__oae1" localSheetId="2">#REF!</definedName>
    <definedName name="__oae1" localSheetId="6">#REF!</definedName>
    <definedName name="__oae1">#REF!</definedName>
    <definedName name="__Pav1" localSheetId="4">#REF!</definedName>
    <definedName name="__Pav1" localSheetId="7">#REF!</definedName>
    <definedName name="__Pav1" localSheetId="5">#REF!</definedName>
    <definedName name="__Pav1" localSheetId="2">#REF!</definedName>
    <definedName name="__Pav1" localSheetId="6">#REF!</definedName>
    <definedName name="__Pav1">#REF!</definedName>
    <definedName name="__PER2" localSheetId="4">#REF!</definedName>
    <definedName name="__PER2" localSheetId="7">#REF!</definedName>
    <definedName name="__PER2" localSheetId="5">#REF!</definedName>
    <definedName name="__PER2" localSheetId="2">#REF!</definedName>
    <definedName name="__PER2" localSheetId="6">#REF!</definedName>
    <definedName name="__PER2">#REF!</definedName>
    <definedName name="__PER3" localSheetId="4">#REF!</definedName>
    <definedName name="__PER3" localSheetId="7">#REF!</definedName>
    <definedName name="__PER3" localSheetId="5">#REF!</definedName>
    <definedName name="__PER3" localSheetId="2">#REF!</definedName>
    <definedName name="__PER3" localSheetId="6">#REF!</definedName>
    <definedName name="__PER3">#REF!</definedName>
    <definedName name="__PL1" localSheetId="4">#REF!</definedName>
    <definedName name="__PL1" localSheetId="7">#REF!</definedName>
    <definedName name="__PL1" localSheetId="5">#REF!</definedName>
    <definedName name="__PL1" localSheetId="2">#REF!</definedName>
    <definedName name="__PL1" localSheetId="6">#REF!</definedName>
    <definedName name="__PL1">#REF!</definedName>
    <definedName name="__pre1" localSheetId="4">#REF!</definedName>
    <definedName name="__pre1" localSheetId="7">#REF!</definedName>
    <definedName name="__pre1" localSheetId="5">#REF!</definedName>
    <definedName name="__pre1" localSheetId="2">#REF!</definedName>
    <definedName name="__pre1" localSheetId="6">#REF!</definedName>
    <definedName name="__pre1">#REF!</definedName>
    <definedName name="__REV1" localSheetId="4">#REF!</definedName>
    <definedName name="__REV1" localSheetId="7">#REF!</definedName>
    <definedName name="__REV1" localSheetId="5">#REF!</definedName>
    <definedName name="__REV1" localSheetId="2">#REF!</definedName>
    <definedName name="__REV1" localSheetId="6">#REF!</definedName>
    <definedName name="__REV1">#REF!</definedName>
    <definedName name="__SE2" localSheetId="4">#REF!</definedName>
    <definedName name="__SE2" localSheetId="7">#REF!</definedName>
    <definedName name="__SE2" localSheetId="5">#REF!</definedName>
    <definedName name="__SE2" localSheetId="2">#REF!</definedName>
    <definedName name="__SE2" localSheetId="6">#REF!</definedName>
    <definedName name="__SE2">#REF!</definedName>
    <definedName name="__SEG1" localSheetId="4">#REF!</definedName>
    <definedName name="__SEG1" localSheetId="7">#REF!</definedName>
    <definedName name="__SEG1" localSheetId="5">#REF!</definedName>
    <definedName name="__SEG1" localSheetId="2">#REF!</definedName>
    <definedName name="__SEG1" localSheetId="6">#REF!</definedName>
    <definedName name="__SEG1">#REF!</definedName>
    <definedName name="__sih1" localSheetId="4">#REF!</definedName>
    <definedName name="__sih1" localSheetId="7">#REF!</definedName>
    <definedName name="__sih1" localSheetId="5">#REF!</definedName>
    <definedName name="__sih1" localSheetId="2">#REF!</definedName>
    <definedName name="__sih1" localSheetId="6">#REF!</definedName>
    <definedName name="__sih1">#REF!</definedName>
    <definedName name="__siv1" localSheetId="4">#REF!</definedName>
    <definedName name="__siv1" localSheetId="7">#REF!</definedName>
    <definedName name="__siv1" localSheetId="5">#REF!</definedName>
    <definedName name="__siv1" localSheetId="2">#REF!</definedName>
    <definedName name="__siv1" localSheetId="6">#REF!</definedName>
    <definedName name="__siv1">#REF!</definedName>
    <definedName name="__tab0198" localSheetId="4">#REF!</definedName>
    <definedName name="__tab0198" localSheetId="7">#REF!</definedName>
    <definedName name="__tab0198" localSheetId="5">#REF!</definedName>
    <definedName name="__tab0198" localSheetId="2">#REF!</definedName>
    <definedName name="__tab0198" localSheetId="6">#REF!</definedName>
    <definedName name="__tab0198">#REF!</definedName>
    <definedName name="__tab1" localSheetId="4">#REF!</definedName>
    <definedName name="__tab1" localSheetId="7">#REF!</definedName>
    <definedName name="__tab1" localSheetId="1">#REF!</definedName>
    <definedName name="__tab1" localSheetId="5">#REF!</definedName>
    <definedName name="__tab1" localSheetId="2">#REF!</definedName>
    <definedName name="__tab1" localSheetId="6">#REF!</definedName>
    <definedName name="__tab1">#REF!</definedName>
    <definedName name="__tab2" localSheetId="4">#REF!</definedName>
    <definedName name="__tab2" localSheetId="7">#REF!</definedName>
    <definedName name="__tab2" localSheetId="5">#REF!</definedName>
    <definedName name="__tab2" localSheetId="2">#REF!</definedName>
    <definedName name="__tab2" localSheetId="6">#REF!</definedName>
    <definedName name="__tab2">#REF!</definedName>
    <definedName name="__TAB4" localSheetId="4">#REF!</definedName>
    <definedName name="__TAB4" localSheetId="7">#REF!</definedName>
    <definedName name="__TAB4" localSheetId="5">#REF!</definedName>
    <definedName name="__TAB4" localSheetId="2">#REF!</definedName>
    <definedName name="__TAB4" localSheetId="6">#REF!</definedName>
    <definedName name="__TAB4">#REF!</definedName>
    <definedName name="__tex1" localSheetId="4">#REF!</definedName>
    <definedName name="__tex1" localSheetId="7">#REF!</definedName>
    <definedName name="__tex1" localSheetId="1">#REF!</definedName>
    <definedName name="__tex1" localSheetId="5">#REF!</definedName>
    <definedName name="__tex1" localSheetId="2">#REF!</definedName>
    <definedName name="__tex1" localSheetId="6">#REF!</definedName>
    <definedName name="__tex1">#REF!</definedName>
    <definedName name="__tex10" localSheetId="0">#REF!</definedName>
    <definedName name="__tex10" localSheetId="4">#REF!</definedName>
    <definedName name="__tex10" localSheetId="7">#REF!</definedName>
    <definedName name="__tex10" localSheetId="5">#REF!</definedName>
    <definedName name="__tex10" localSheetId="2">#REF!</definedName>
    <definedName name="__tex10" localSheetId="6">#REF!</definedName>
    <definedName name="__tex10">#REF!</definedName>
    <definedName name="__tex11" localSheetId="0">#REF!</definedName>
    <definedName name="__tex11" localSheetId="4">#REF!</definedName>
    <definedName name="__tex11" localSheetId="7">#REF!</definedName>
    <definedName name="__tex11" localSheetId="5">#REF!</definedName>
    <definedName name="__tex11" localSheetId="2">#REF!</definedName>
    <definedName name="__tex11" localSheetId="6">#REF!</definedName>
    <definedName name="__tex11">#REF!</definedName>
    <definedName name="__tex12" localSheetId="0">#REF!</definedName>
    <definedName name="__tex12" localSheetId="4">#REF!</definedName>
    <definedName name="__tex12" localSheetId="7">#REF!</definedName>
    <definedName name="__tex12" localSheetId="5">#REF!</definedName>
    <definedName name="__tex12" localSheetId="2">#REF!</definedName>
    <definedName name="__tex12" localSheetId="6">#REF!</definedName>
    <definedName name="__tex12">#REF!</definedName>
    <definedName name="__tex13" localSheetId="0">#REF!</definedName>
    <definedName name="__tex13" localSheetId="4">#REF!</definedName>
    <definedName name="__tex13" localSheetId="7">#REF!</definedName>
    <definedName name="__tex13" localSheetId="5">#REF!</definedName>
    <definedName name="__tex13" localSheetId="2">#REF!</definedName>
    <definedName name="__tex13" localSheetId="6">#REF!</definedName>
    <definedName name="__tex13">#REF!</definedName>
    <definedName name="__tex14" localSheetId="0">#REF!</definedName>
    <definedName name="__tex14" localSheetId="4">#REF!</definedName>
    <definedName name="__tex14" localSheetId="7">#REF!</definedName>
    <definedName name="__tex14" localSheetId="5">#REF!</definedName>
    <definedName name="__tex14" localSheetId="2">#REF!</definedName>
    <definedName name="__tex14" localSheetId="6">#REF!</definedName>
    <definedName name="__tex14">#REF!</definedName>
    <definedName name="__tex15" localSheetId="0">#REF!</definedName>
    <definedName name="__tex15" localSheetId="4">#REF!</definedName>
    <definedName name="__tex15" localSheetId="7">#REF!</definedName>
    <definedName name="__tex15" localSheetId="5">#REF!</definedName>
    <definedName name="__tex15" localSheetId="2">#REF!</definedName>
    <definedName name="__tex15" localSheetId="6">#REF!</definedName>
    <definedName name="__tex15">#REF!</definedName>
    <definedName name="__tex16" localSheetId="0">#REF!</definedName>
    <definedName name="__tex16" localSheetId="4">#REF!</definedName>
    <definedName name="__tex16" localSheetId="7">#REF!</definedName>
    <definedName name="__tex16" localSheetId="5">#REF!</definedName>
    <definedName name="__tex16" localSheetId="2">#REF!</definedName>
    <definedName name="__tex16" localSheetId="6">#REF!</definedName>
    <definedName name="__tex16">#REF!</definedName>
    <definedName name="__tex17" localSheetId="0">#REF!</definedName>
    <definedName name="__tex17" localSheetId="4">#REF!</definedName>
    <definedName name="__tex17" localSheetId="7">#REF!</definedName>
    <definedName name="__tex17" localSheetId="5">#REF!</definedName>
    <definedName name="__tex17" localSheetId="2">#REF!</definedName>
    <definedName name="__tex17" localSheetId="6">#REF!</definedName>
    <definedName name="__tex17">#REF!</definedName>
    <definedName name="__tex18" localSheetId="0">#REF!</definedName>
    <definedName name="__tex18" localSheetId="4">#REF!</definedName>
    <definedName name="__tex18" localSheetId="7">#REF!</definedName>
    <definedName name="__tex18" localSheetId="5">#REF!</definedName>
    <definedName name="__tex18" localSheetId="2">#REF!</definedName>
    <definedName name="__tex18" localSheetId="6">#REF!</definedName>
    <definedName name="__tex18">#REF!</definedName>
    <definedName name="__tex19" localSheetId="0">#REF!</definedName>
    <definedName name="__tex19" localSheetId="4">#REF!</definedName>
    <definedName name="__tex19" localSheetId="7">#REF!</definedName>
    <definedName name="__tex19" localSheetId="5">#REF!</definedName>
    <definedName name="__tex19" localSheetId="2">#REF!</definedName>
    <definedName name="__tex19" localSheetId="6">#REF!</definedName>
    <definedName name="__tex19">#REF!</definedName>
    <definedName name="__tex2" localSheetId="0">#REF!</definedName>
    <definedName name="__tex2" localSheetId="4">#REF!</definedName>
    <definedName name="__tex2" localSheetId="7">#REF!</definedName>
    <definedName name="__tex2" localSheetId="5">#REF!</definedName>
    <definedName name="__tex2" localSheetId="2">#REF!</definedName>
    <definedName name="__tex2" localSheetId="6">#REF!</definedName>
    <definedName name="__tex2">#REF!</definedName>
    <definedName name="__tex20" localSheetId="0">#REF!</definedName>
    <definedName name="__tex20" localSheetId="4">#REF!</definedName>
    <definedName name="__tex20" localSheetId="7">#REF!</definedName>
    <definedName name="__tex20" localSheetId="5">#REF!</definedName>
    <definedName name="__tex20" localSheetId="2">#REF!</definedName>
    <definedName name="__tex20" localSheetId="6">#REF!</definedName>
    <definedName name="__tex20">#REF!</definedName>
    <definedName name="__tex21" localSheetId="0">#REF!</definedName>
    <definedName name="__tex21" localSheetId="4">#REF!</definedName>
    <definedName name="__tex21" localSheetId="7">#REF!</definedName>
    <definedName name="__tex21" localSheetId="5">#REF!</definedName>
    <definedName name="__tex21" localSheetId="2">#REF!</definedName>
    <definedName name="__tex21" localSheetId="6">#REF!</definedName>
    <definedName name="__tex21">#REF!</definedName>
    <definedName name="__tex22" localSheetId="0">#REF!</definedName>
    <definedName name="__tex22" localSheetId="4">#REF!</definedName>
    <definedName name="__tex22" localSheetId="7">#REF!</definedName>
    <definedName name="__tex22" localSheetId="5">#REF!</definedName>
    <definedName name="__tex22" localSheetId="2">#REF!</definedName>
    <definedName name="__tex22" localSheetId="6">#REF!</definedName>
    <definedName name="__tex22">#REF!</definedName>
    <definedName name="__tex23" localSheetId="0">#REF!</definedName>
    <definedName name="__tex23" localSheetId="4">#REF!</definedName>
    <definedName name="__tex23" localSheetId="7">#REF!</definedName>
    <definedName name="__tex23" localSheetId="5">#REF!</definedName>
    <definedName name="__tex23" localSheetId="2">#REF!</definedName>
    <definedName name="__tex23" localSheetId="6">#REF!</definedName>
    <definedName name="__tex23">#REF!</definedName>
    <definedName name="__tex24" localSheetId="0">#REF!</definedName>
    <definedName name="__tex24" localSheetId="4">#REF!</definedName>
    <definedName name="__tex24" localSheetId="7">#REF!</definedName>
    <definedName name="__tex24" localSheetId="5">#REF!</definedName>
    <definedName name="__tex24" localSheetId="2">#REF!</definedName>
    <definedName name="__tex24" localSheetId="6">#REF!</definedName>
    <definedName name="__tex24">#REF!</definedName>
    <definedName name="__tex25" localSheetId="0">#REF!</definedName>
    <definedName name="__tex25" localSheetId="4">#REF!</definedName>
    <definedName name="__tex25" localSheetId="7">#REF!</definedName>
    <definedName name="__tex25" localSheetId="5">#REF!</definedName>
    <definedName name="__tex25" localSheetId="2">#REF!</definedName>
    <definedName name="__tex25" localSheetId="6">#REF!</definedName>
    <definedName name="__tex25">#REF!</definedName>
    <definedName name="__tex3" localSheetId="0">#REF!</definedName>
    <definedName name="__tex3" localSheetId="4">#REF!</definedName>
    <definedName name="__tex3" localSheetId="7">#REF!</definedName>
    <definedName name="__tex3" localSheetId="5">#REF!</definedName>
    <definedName name="__tex3" localSheetId="2">#REF!</definedName>
    <definedName name="__tex3" localSheetId="6">#REF!</definedName>
    <definedName name="__tex3">#REF!</definedName>
    <definedName name="__tex4" localSheetId="0">#REF!</definedName>
    <definedName name="__tex4" localSheetId="4">#REF!</definedName>
    <definedName name="__tex4" localSheetId="7">#REF!</definedName>
    <definedName name="__tex4" localSheetId="5">#REF!</definedName>
    <definedName name="__tex4" localSheetId="2">#REF!</definedName>
    <definedName name="__tex4" localSheetId="6">#REF!</definedName>
    <definedName name="__tex4">#REF!</definedName>
    <definedName name="__tex5" localSheetId="0">#REF!</definedName>
    <definedName name="__tex5" localSheetId="4">#REF!</definedName>
    <definedName name="__tex5" localSheetId="7">#REF!</definedName>
    <definedName name="__tex5" localSheetId="5">#REF!</definedName>
    <definedName name="__tex5" localSheetId="2">#REF!</definedName>
    <definedName name="__tex5" localSheetId="6">#REF!</definedName>
    <definedName name="__tex5">#REF!</definedName>
    <definedName name="__tex6" localSheetId="0">#REF!</definedName>
    <definedName name="__tex6" localSheetId="4">#REF!</definedName>
    <definedName name="__tex6" localSheetId="7">#REF!</definedName>
    <definedName name="__tex6" localSheetId="5">#REF!</definedName>
    <definedName name="__tex6" localSheetId="2">#REF!</definedName>
    <definedName name="__tex6" localSheetId="6">#REF!</definedName>
    <definedName name="__tex6">#REF!</definedName>
    <definedName name="__tex7" localSheetId="0">#REF!</definedName>
    <definedName name="__tex7" localSheetId="4">#REF!</definedName>
    <definedName name="__tex7" localSheetId="7">#REF!</definedName>
    <definedName name="__tex7" localSheetId="5">#REF!</definedName>
    <definedName name="__tex7" localSheetId="2">#REF!</definedName>
    <definedName name="__tex7" localSheetId="6">#REF!</definedName>
    <definedName name="__tex7">#REF!</definedName>
    <definedName name="__tex8" localSheetId="0">#REF!</definedName>
    <definedName name="__tex8" localSheetId="4">#REF!</definedName>
    <definedName name="__tex8" localSheetId="7">#REF!</definedName>
    <definedName name="__tex8" localSheetId="5">#REF!</definedName>
    <definedName name="__tex8" localSheetId="2">#REF!</definedName>
    <definedName name="__tex8" localSheetId="6">#REF!</definedName>
    <definedName name="__tex8">#REF!</definedName>
    <definedName name="__tex9" localSheetId="0">#REF!</definedName>
    <definedName name="__tex9" localSheetId="4">#REF!</definedName>
    <definedName name="__tex9" localSheetId="7">#REF!</definedName>
    <definedName name="__tex9" localSheetId="5">#REF!</definedName>
    <definedName name="__tex9" localSheetId="2">#REF!</definedName>
    <definedName name="__tex9" localSheetId="6">#REF!</definedName>
    <definedName name="__tex9">#REF!</definedName>
    <definedName name="__VAX1" localSheetId="4">#REF!</definedName>
    <definedName name="__VAX1" localSheetId="7">#REF!</definedName>
    <definedName name="__VAX1" localSheetId="5">#REF!</definedName>
    <definedName name="__VAX1" localSheetId="2">#REF!</definedName>
    <definedName name="__VAX1" localSheetId="6">#REF!</definedName>
    <definedName name="__VAX1">#REF!</definedName>
    <definedName name="__VAX2" localSheetId="4">#REF!</definedName>
    <definedName name="__VAX2" localSheetId="7">#REF!</definedName>
    <definedName name="__VAX2" localSheetId="5">#REF!</definedName>
    <definedName name="__VAX2" localSheetId="2">#REF!</definedName>
    <definedName name="__VAX2" localSheetId="6">#REF!</definedName>
    <definedName name="__VAX2">#REF!</definedName>
    <definedName name="__VRL1" localSheetId="4">#REF!</definedName>
    <definedName name="__VRL1" localSheetId="7">#REF!</definedName>
    <definedName name="__VRL1" localSheetId="5">#REF!</definedName>
    <definedName name="__VRL1" localSheetId="2">#REF!</definedName>
    <definedName name="__VRL1" localSheetId="6">#REF!</definedName>
    <definedName name="__VRL1">#REF!</definedName>
    <definedName name="__VRL2" localSheetId="4">#REF!</definedName>
    <definedName name="__VRL2" localSheetId="7">#REF!</definedName>
    <definedName name="__VRL2" localSheetId="5">#REF!</definedName>
    <definedName name="__VRL2" localSheetId="2">#REF!</definedName>
    <definedName name="__VRL2" localSheetId="6">#REF!</definedName>
    <definedName name="__VRL2">#REF!</definedName>
    <definedName name="__VRL3" localSheetId="4">#REF!</definedName>
    <definedName name="__VRL3" localSheetId="7">#REF!</definedName>
    <definedName name="__VRL3" localSheetId="5">#REF!</definedName>
    <definedName name="__VRL3" localSheetId="2">#REF!</definedName>
    <definedName name="__VRL3" localSheetId="6">#REF!</definedName>
    <definedName name="__VRL3">#REF!</definedName>
    <definedName name="_0" localSheetId="4">#REF!</definedName>
    <definedName name="_0" localSheetId="7">#REF!</definedName>
    <definedName name="_0" localSheetId="5">#REF!</definedName>
    <definedName name="_0" localSheetId="2">#REF!</definedName>
    <definedName name="_0" localSheetId="6">#REF!</definedName>
    <definedName name="_0">#REF!</definedName>
    <definedName name="_10___________0S" localSheetId="4">#REF!</definedName>
    <definedName name="_10___________0S" localSheetId="7">#REF!</definedName>
    <definedName name="_10___________0S" localSheetId="1">#REF!</definedName>
    <definedName name="_10___________0S" localSheetId="5">#REF!</definedName>
    <definedName name="_10___________0S" localSheetId="2">#REF!</definedName>
    <definedName name="_10___________0S" localSheetId="6">#REF!</definedName>
    <definedName name="_10___________0S">#REF!</definedName>
    <definedName name="_12_________0S" localSheetId="4">#REF!</definedName>
    <definedName name="_12_________0S" localSheetId="7">#REF!</definedName>
    <definedName name="_12_________0S" localSheetId="1">#REF!</definedName>
    <definedName name="_12_________0S" localSheetId="5">#REF!</definedName>
    <definedName name="_12_________0S" localSheetId="2">#REF!</definedName>
    <definedName name="_12_________0S" localSheetId="6">#REF!</definedName>
    <definedName name="_12_________0S">#REF!</definedName>
    <definedName name="_13_______ESQ_MADEIRA">#N/A</definedName>
    <definedName name="_14_______ESQ_METÁL">#N/A</definedName>
    <definedName name="_15_______REV_PAREDES">#N/A</definedName>
    <definedName name="_16_______REV_PISOS">#N/A</definedName>
    <definedName name="_17______ESQ_MADEIRA">#N/A</definedName>
    <definedName name="_18______ESQ_METÁL">#N/A</definedName>
    <definedName name="_19______REV_PAREDES">#N/A</definedName>
    <definedName name="_1ESQ_MADEIRA">#N/A</definedName>
    <definedName name="_1Excel_BuiltIn_Print_Area_1_1" localSheetId="4">#REF!</definedName>
    <definedName name="_1Excel_BuiltIn_Print_Area_1_1" localSheetId="7">#REF!</definedName>
    <definedName name="_1Excel_BuiltIn_Print_Area_1_1" localSheetId="5">#REF!</definedName>
    <definedName name="_1Excel_BuiltIn_Print_Area_1_1" localSheetId="2">#REF!</definedName>
    <definedName name="_1Excel_BuiltIn_Print_Area_1_1" localSheetId="6">#REF!</definedName>
    <definedName name="_1Excel_BuiltIn_Print_Area_1_1">#REF!</definedName>
    <definedName name="_2_________0Área_de_extra" localSheetId="4">#REF!</definedName>
    <definedName name="_2_________0Área_de_extra" localSheetId="7">#REF!</definedName>
    <definedName name="_2_________0Área_de_extra" localSheetId="1">#REF!</definedName>
    <definedName name="_2_________0Área_de_extra" localSheetId="5">#REF!</definedName>
    <definedName name="_2_________0Área_de_extra" localSheetId="2">#REF!</definedName>
    <definedName name="_2_________0Área_de_extra" localSheetId="6">#REF!</definedName>
    <definedName name="_2_________0Área_de_extra">#REF!</definedName>
    <definedName name="_20______REV_PISOS">#N/A</definedName>
    <definedName name="_21_Excel_BuiltIn_Print_Area_1_1" localSheetId="4">#REF!</definedName>
    <definedName name="_21_Excel_BuiltIn_Print_Area_1_1" localSheetId="7">#REF!</definedName>
    <definedName name="_21_Excel_BuiltIn_Print_Area_1_1" localSheetId="5">#REF!</definedName>
    <definedName name="_21_Excel_BuiltIn_Print_Area_1_1" localSheetId="2">#REF!</definedName>
    <definedName name="_21_Excel_BuiltIn_Print_Area_1_1" localSheetId="6">#REF!</definedName>
    <definedName name="_21_Excel_BuiltIn_Print_Area_1_1">#REF!</definedName>
    <definedName name="_22_Excel_BuiltIn_Print_Area_1_1_1_1_1" localSheetId="4">#REF!</definedName>
    <definedName name="_22_Excel_BuiltIn_Print_Area_1_1_1_1_1" localSheetId="7">#REF!</definedName>
    <definedName name="_22_Excel_BuiltIn_Print_Area_1_1_1_1_1" localSheetId="5">#REF!</definedName>
    <definedName name="_22_Excel_BuiltIn_Print_Area_1_1_1_1_1" localSheetId="2">#REF!</definedName>
    <definedName name="_22_Excel_BuiltIn_Print_Area_1_1_1_1_1" localSheetId="6">#REF!</definedName>
    <definedName name="_22_Excel_BuiltIn_Print_Area_1_1_1_1_1">#REF!</definedName>
    <definedName name="_23_Excel_BuiltIn_Print_Area_1_1_1_1_1_1" localSheetId="4">#REF!</definedName>
    <definedName name="_23_Excel_BuiltIn_Print_Area_1_1_1_1_1_1" localSheetId="7">#REF!</definedName>
    <definedName name="_23_Excel_BuiltIn_Print_Area_1_1_1_1_1_1" localSheetId="5">#REF!</definedName>
    <definedName name="_23_Excel_BuiltIn_Print_Area_1_1_1_1_1_1" localSheetId="2">#REF!</definedName>
    <definedName name="_23_Excel_BuiltIn_Print_Area_1_1_1_1_1_1" localSheetId="6">#REF!</definedName>
    <definedName name="_23_Excel_BuiltIn_Print_Area_1_1_1_1_1_1">#REF!</definedName>
    <definedName name="_24_Excel_BuiltIn_Print_Area_2_1_1" localSheetId="4">#REF!</definedName>
    <definedName name="_24_Excel_BuiltIn_Print_Area_2_1_1" localSheetId="7">#REF!</definedName>
    <definedName name="_24_Excel_BuiltIn_Print_Area_2_1_1" localSheetId="5">#REF!</definedName>
    <definedName name="_24_Excel_BuiltIn_Print_Area_2_1_1" localSheetId="2">#REF!</definedName>
    <definedName name="_24_Excel_BuiltIn_Print_Area_2_1_1" localSheetId="6">#REF!</definedName>
    <definedName name="_24_Excel_BuiltIn_Print_Area_2_1_1">#REF!</definedName>
    <definedName name="_25_Excel_BuiltIn_Print_Area_23_1_1" localSheetId="4">#REF!</definedName>
    <definedName name="_25_Excel_BuiltIn_Print_Area_23_1_1" localSheetId="7">#REF!</definedName>
    <definedName name="_25_Excel_BuiltIn_Print_Area_23_1_1" localSheetId="5">#REF!</definedName>
    <definedName name="_25_Excel_BuiltIn_Print_Area_23_1_1" localSheetId="2">#REF!</definedName>
    <definedName name="_25_Excel_BuiltIn_Print_Area_23_1_1" localSheetId="6">#REF!</definedName>
    <definedName name="_25_Excel_BuiltIn_Print_Area_23_1_1">#REF!</definedName>
    <definedName name="_26_Excel_BuiltIn_Print_Area_3_1_1" localSheetId="4">#REF!</definedName>
    <definedName name="_26_Excel_BuiltIn_Print_Area_3_1_1" localSheetId="7">#REF!</definedName>
    <definedName name="_26_Excel_BuiltIn_Print_Area_3_1_1" localSheetId="5">#REF!</definedName>
    <definedName name="_26_Excel_BuiltIn_Print_Area_3_1_1" localSheetId="2">#REF!</definedName>
    <definedName name="_26_Excel_BuiltIn_Print_Area_3_1_1" localSheetId="6">#REF!</definedName>
    <definedName name="_26_Excel_BuiltIn_Print_Area_3_1_1">#REF!</definedName>
    <definedName name="_27_Excel_BuiltIn_Print_Area_4_1" localSheetId="4">#REF!</definedName>
    <definedName name="_27_Excel_BuiltIn_Print_Area_4_1" localSheetId="7">#REF!</definedName>
    <definedName name="_27_Excel_BuiltIn_Print_Area_4_1" localSheetId="5">#REF!</definedName>
    <definedName name="_27_Excel_BuiltIn_Print_Area_4_1" localSheetId="2">#REF!</definedName>
    <definedName name="_27_Excel_BuiltIn_Print_Area_4_1" localSheetId="6">#REF!</definedName>
    <definedName name="_27_Excel_BuiltIn_Print_Area_4_1">#REF!</definedName>
    <definedName name="_2ESQ_METÁL">#N/A</definedName>
    <definedName name="_3º_Linha" localSheetId="0">#REF!</definedName>
    <definedName name="_3º_Linha" localSheetId="4">#REF!</definedName>
    <definedName name="_3º_Linha" localSheetId="7">#REF!</definedName>
    <definedName name="_3º_Linha" localSheetId="1">#REF!</definedName>
    <definedName name="_3º_Linha" localSheetId="5">#REF!</definedName>
    <definedName name="_3º_Linha" localSheetId="2">#REF!</definedName>
    <definedName name="_3º_Linha" localSheetId="6">#REF!</definedName>
    <definedName name="_3º_Linha">#REF!</definedName>
    <definedName name="_3REV_PAREDES">#N/A</definedName>
    <definedName name="_4_________0Critér" localSheetId="4">#REF!</definedName>
    <definedName name="_4_________0Critér" localSheetId="7">#REF!</definedName>
    <definedName name="_4_________0Critér" localSheetId="1">#REF!</definedName>
    <definedName name="_4_________0Critér" localSheetId="5">#REF!</definedName>
    <definedName name="_4_________0Critér" localSheetId="2">#REF!</definedName>
    <definedName name="_4_________0Critér" localSheetId="6">#REF!</definedName>
    <definedName name="_4_________0Critér">#REF!</definedName>
    <definedName name="_4REV_PISOS">#N/A</definedName>
    <definedName name="_6___________0Área_de_extra" localSheetId="4">#REF!</definedName>
    <definedName name="_6___________0Área_de_extra" localSheetId="7">#REF!</definedName>
    <definedName name="_6___________0Área_de_extra" localSheetId="1">#REF!</definedName>
    <definedName name="_6___________0Área_de_extra" localSheetId="5">#REF!</definedName>
    <definedName name="_6___________0Área_de_extra" localSheetId="2">#REF!</definedName>
    <definedName name="_6___________0Área_de_extra" localSheetId="6">#REF!</definedName>
    <definedName name="_6___________0Área_de_extra">#REF!</definedName>
    <definedName name="_8___________0Critér" localSheetId="4">#REF!</definedName>
    <definedName name="_8___________0Critér" localSheetId="7">#REF!</definedName>
    <definedName name="_8___________0Critér" localSheetId="1">#REF!</definedName>
    <definedName name="_8___________0Critér" localSheetId="5">#REF!</definedName>
    <definedName name="_8___________0Critér" localSheetId="2">#REF!</definedName>
    <definedName name="_8___________0Critér" localSheetId="6">#REF!</definedName>
    <definedName name="_8___________0Critér">#REF!</definedName>
    <definedName name="_a" localSheetId="4">#REF!</definedName>
    <definedName name="_a" localSheetId="7">#REF!</definedName>
    <definedName name="_a" localSheetId="5">#REF!</definedName>
    <definedName name="_a" localSheetId="2">#REF!</definedName>
    <definedName name="_a" localSheetId="6">#REF!</definedName>
    <definedName name="_a">#REF!</definedName>
    <definedName name="_ano1" localSheetId="4">#REF!</definedName>
    <definedName name="_ano1" localSheetId="7">#REF!</definedName>
    <definedName name="_ano1" localSheetId="1">#REF!</definedName>
    <definedName name="_ano1" localSheetId="5">#REF!</definedName>
    <definedName name="_ano1" localSheetId="2">#REF!</definedName>
    <definedName name="_ano1" localSheetId="6">#REF!</definedName>
    <definedName name="_ano1">#REF!</definedName>
    <definedName name="_AUX1" localSheetId="4">#REF!</definedName>
    <definedName name="_AUX1" localSheetId="7">#REF!</definedName>
    <definedName name="_AUX1" localSheetId="5">#REF!</definedName>
    <definedName name="_AUX1" localSheetId="2">#REF!</definedName>
    <definedName name="_AUX1" localSheetId="6">#REF!</definedName>
    <definedName name="_AUX1">#REF!</definedName>
    <definedName name="_AUX1_2" localSheetId="4">#REF!</definedName>
    <definedName name="_AUX1_2" localSheetId="7">#REF!</definedName>
    <definedName name="_AUX1_2" localSheetId="5">#REF!</definedName>
    <definedName name="_AUX1_2" localSheetId="2">#REF!</definedName>
    <definedName name="_AUX1_2" localSheetId="6">#REF!</definedName>
    <definedName name="_AUX1_2">#REF!</definedName>
    <definedName name="_aux2" localSheetId="4">#REF!</definedName>
    <definedName name="_aux2" localSheetId="7">#REF!</definedName>
    <definedName name="_aux2" localSheetId="5">#REF!</definedName>
    <definedName name="_aux2" localSheetId="2">#REF!</definedName>
    <definedName name="_aux2" localSheetId="6">#REF!</definedName>
    <definedName name="_aux2">#REF!</definedName>
    <definedName name="_aux2_2" localSheetId="4">#REF!</definedName>
    <definedName name="_aux2_2" localSheetId="7">#REF!</definedName>
    <definedName name="_aux2_2" localSheetId="5">#REF!</definedName>
    <definedName name="_aux2_2" localSheetId="2">#REF!</definedName>
    <definedName name="_aux2_2" localSheetId="6">#REF!</definedName>
    <definedName name="_aux2_2">#REF!</definedName>
    <definedName name="_aux9000" localSheetId="4">#REF!</definedName>
    <definedName name="_aux9000" localSheetId="7">#REF!</definedName>
    <definedName name="_aux9000" localSheetId="5">#REF!</definedName>
    <definedName name="_aux9000" localSheetId="2">#REF!</definedName>
    <definedName name="_aux9000" localSheetId="6">#REF!</definedName>
    <definedName name="_aux9000">#REF!</definedName>
    <definedName name="_aux9000_2" localSheetId="4">#REF!</definedName>
    <definedName name="_aux9000_2" localSheetId="7">#REF!</definedName>
    <definedName name="_aux9000_2" localSheetId="5">#REF!</definedName>
    <definedName name="_aux9000_2" localSheetId="2">#REF!</definedName>
    <definedName name="_aux9000_2" localSheetId="6">#REF!</definedName>
    <definedName name="_aux9000_2">#REF!</definedName>
    <definedName name="_Brz1" localSheetId="4">#REF!</definedName>
    <definedName name="_Brz1" localSheetId="7">#REF!</definedName>
    <definedName name="_Brz1" localSheetId="1">#REF!</definedName>
    <definedName name="_Brz1" localSheetId="5">#REF!</definedName>
    <definedName name="_Brz1" localSheetId="2">#REF!</definedName>
    <definedName name="_Brz1" localSheetId="6">#REF!</definedName>
    <definedName name="_Brz1">#REF!</definedName>
    <definedName name="_Brz2" localSheetId="4">#REF!</definedName>
    <definedName name="_Brz2" localSheetId="7">#REF!</definedName>
    <definedName name="_Brz2" localSheetId="1">#REF!</definedName>
    <definedName name="_Brz2" localSheetId="5">#REF!</definedName>
    <definedName name="_Brz2" localSheetId="2">#REF!</definedName>
    <definedName name="_Brz2" localSheetId="6">#REF!</definedName>
    <definedName name="_Brz2">#REF!</definedName>
    <definedName name="_cod021" localSheetId="0">#REF!</definedName>
    <definedName name="_cod021" localSheetId="4">#REF!</definedName>
    <definedName name="_cod021" localSheetId="7">#REF!</definedName>
    <definedName name="_cod021" localSheetId="5">#REF!</definedName>
    <definedName name="_cod021" localSheetId="2">#REF!</definedName>
    <definedName name="_cod021" localSheetId="6">#REF!</definedName>
    <definedName name="_cod021">#REF!</definedName>
    <definedName name="_cod022" localSheetId="0">#REF!</definedName>
    <definedName name="_cod022" localSheetId="4">#REF!</definedName>
    <definedName name="_cod022" localSheetId="7">#REF!</definedName>
    <definedName name="_cod022" localSheetId="5">#REF!</definedName>
    <definedName name="_cod022" localSheetId="2">#REF!</definedName>
    <definedName name="_cod022" localSheetId="6">#REF!</definedName>
    <definedName name="_cod022">#REF!</definedName>
    <definedName name="_cod023" localSheetId="0">#REF!</definedName>
    <definedName name="_cod023" localSheetId="4">#REF!</definedName>
    <definedName name="_cod023" localSheetId="7">#REF!</definedName>
    <definedName name="_cod023" localSheetId="5">#REF!</definedName>
    <definedName name="_cod023" localSheetId="2">#REF!</definedName>
    <definedName name="_cod023" localSheetId="6">#REF!</definedName>
    <definedName name="_cod023">#REF!</definedName>
    <definedName name="_cod024" localSheetId="0">#REF!</definedName>
    <definedName name="_cod024" localSheetId="4">#REF!</definedName>
    <definedName name="_cod024" localSheetId="7">#REF!</definedName>
    <definedName name="_cod024" localSheetId="5">#REF!</definedName>
    <definedName name="_cod024" localSheetId="2">#REF!</definedName>
    <definedName name="_cod024" localSheetId="6">#REF!</definedName>
    <definedName name="_cod024">#REF!</definedName>
    <definedName name="_cod025" localSheetId="0">#REF!</definedName>
    <definedName name="_cod025" localSheetId="4">#REF!</definedName>
    <definedName name="_cod025" localSheetId="7">#REF!</definedName>
    <definedName name="_cod025" localSheetId="5">#REF!</definedName>
    <definedName name="_cod025" localSheetId="2">#REF!</definedName>
    <definedName name="_cod025" localSheetId="6">#REF!</definedName>
    <definedName name="_cod025">#REF!</definedName>
    <definedName name="_cod026" localSheetId="0">#REF!</definedName>
    <definedName name="_cod026" localSheetId="4">#REF!</definedName>
    <definedName name="_cod026" localSheetId="7">#REF!</definedName>
    <definedName name="_cod026" localSheetId="5">#REF!</definedName>
    <definedName name="_cod026" localSheetId="2">#REF!</definedName>
    <definedName name="_cod026" localSheetId="6">#REF!</definedName>
    <definedName name="_cod026">#REF!</definedName>
    <definedName name="_cod027" localSheetId="0">#REF!</definedName>
    <definedName name="_cod027" localSheetId="4">#REF!</definedName>
    <definedName name="_cod027" localSheetId="7">#REF!</definedName>
    <definedName name="_cod027" localSheetId="5">#REF!</definedName>
    <definedName name="_cod027" localSheetId="2">#REF!</definedName>
    <definedName name="_cod027" localSheetId="6">#REF!</definedName>
    <definedName name="_cod027">#REF!</definedName>
    <definedName name="_cod028" localSheetId="0">#REF!</definedName>
    <definedName name="_cod028" localSheetId="4">#REF!</definedName>
    <definedName name="_cod028" localSheetId="7">#REF!</definedName>
    <definedName name="_cod028" localSheetId="5">#REF!</definedName>
    <definedName name="_cod028" localSheetId="2">#REF!</definedName>
    <definedName name="_cod028" localSheetId="6">#REF!</definedName>
    <definedName name="_cod028">#REF!</definedName>
    <definedName name="_cod030" localSheetId="0">#REF!</definedName>
    <definedName name="_cod030" localSheetId="4">#REF!</definedName>
    <definedName name="_cod030" localSheetId="7">#REF!</definedName>
    <definedName name="_cod030" localSheetId="5">#REF!</definedName>
    <definedName name="_cod030" localSheetId="2">#REF!</definedName>
    <definedName name="_cod030" localSheetId="6">#REF!</definedName>
    <definedName name="_cod030">#REF!</definedName>
    <definedName name="_cod036" localSheetId="0">#REF!</definedName>
    <definedName name="_cod036" localSheetId="4">#REF!</definedName>
    <definedName name="_cod036" localSheetId="7">#REF!</definedName>
    <definedName name="_cod036" localSheetId="5">#REF!</definedName>
    <definedName name="_cod036" localSheetId="2">#REF!</definedName>
    <definedName name="_cod036" localSheetId="6">#REF!</definedName>
    <definedName name="_cod036">#REF!</definedName>
    <definedName name="_COD21" localSheetId="0">#REF!</definedName>
    <definedName name="_COD21" localSheetId="4">#REF!</definedName>
    <definedName name="_COD21" localSheetId="7">#REF!</definedName>
    <definedName name="_COD21" localSheetId="5">#REF!</definedName>
    <definedName name="_COD21" localSheetId="2">#REF!</definedName>
    <definedName name="_COD21" localSheetId="6">#REF!</definedName>
    <definedName name="_COD21">#REF!</definedName>
    <definedName name="_COD22" localSheetId="0">#REF!</definedName>
    <definedName name="_COD22" localSheetId="4">#REF!</definedName>
    <definedName name="_COD22" localSheetId="7">#REF!</definedName>
    <definedName name="_COD22" localSheetId="5">#REF!</definedName>
    <definedName name="_COD22" localSheetId="2">#REF!</definedName>
    <definedName name="_COD22" localSheetId="6">#REF!</definedName>
    <definedName name="_COD22">#REF!</definedName>
    <definedName name="_COD23" localSheetId="0">#REF!</definedName>
    <definedName name="_COD23" localSheetId="4">#REF!</definedName>
    <definedName name="_COD23" localSheetId="7">#REF!</definedName>
    <definedName name="_COD23" localSheetId="5">#REF!</definedName>
    <definedName name="_COD23" localSheetId="2">#REF!</definedName>
    <definedName name="_COD23" localSheetId="6">#REF!</definedName>
    <definedName name="_COD23">#REF!</definedName>
    <definedName name="_COD25" localSheetId="0">#REF!</definedName>
    <definedName name="_COD25" localSheetId="4">#REF!</definedName>
    <definedName name="_COD25" localSheetId="7">#REF!</definedName>
    <definedName name="_COD25" localSheetId="5">#REF!</definedName>
    <definedName name="_COD25" localSheetId="2">#REF!</definedName>
    <definedName name="_COD25" localSheetId="6">#REF!</definedName>
    <definedName name="_COD25">#REF!</definedName>
    <definedName name="_COD26" localSheetId="0">#REF!</definedName>
    <definedName name="_COD26" localSheetId="4">#REF!</definedName>
    <definedName name="_COD26" localSheetId="7">#REF!</definedName>
    <definedName name="_COD26" localSheetId="5">#REF!</definedName>
    <definedName name="_COD26" localSheetId="2">#REF!</definedName>
    <definedName name="_COD26" localSheetId="6">#REF!</definedName>
    <definedName name="_COD26">#REF!</definedName>
    <definedName name="_COD27" localSheetId="0">#REF!</definedName>
    <definedName name="_COD27" localSheetId="4">#REF!</definedName>
    <definedName name="_COD27" localSheetId="7">#REF!</definedName>
    <definedName name="_COD27" localSheetId="5">#REF!</definedName>
    <definedName name="_COD27" localSheetId="2">#REF!</definedName>
    <definedName name="_COD27" localSheetId="6">#REF!</definedName>
    <definedName name="_COD27">#REF!</definedName>
    <definedName name="_COD28" localSheetId="0">#REF!</definedName>
    <definedName name="_COD28" localSheetId="4">#REF!</definedName>
    <definedName name="_COD28" localSheetId="7">#REF!</definedName>
    <definedName name="_COD28" localSheetId="5">#REF!</definedName>
    <definedName name="_COD28" localSheetId="2">#REF!</definedName>
    <definedName name="_COD28" localSheetId="6">#REF!</definedName>
    <definedName name="_COD28">#REF!</definedName>
    <definedName name="_COD30" localSheetId="0">#REF!</definedName>
    <definedName name="_COD30" localSheetId="4">#REF!</definedName>
    <definedName name="_COD30" localSheetId="7">#REF!</definedName>
    <definedName name="_COD30" localSheetId="5">#REF!</definedName>
    <definedName name="_COD30" localSheetId="2">#REF!</definedName>
    <definedName name="_COD30" localSheetId="6">#REF!</definedName>
    <definedName name="_COD30">#REF!</definedName>
    <definedName name="_COD36" localSheetId="0">#REF!</definedName>
    <definedName name="_COD36" localSheetId="4">#REF!</definedName>
    <definedName name="_COD36" localSheetId="7">#REF!</definedName>
    <definedName name="_COD36" localSheetId="5">#REF!</definedName>
    <definedName name="_COD36" localSheetId="2">#REF!</definedName>
    <definedName name="_COD36" localSheetId="6">#REF!</definedName>
    <definedName name="_COD36">#REF!</definedName>
    <definedName name="_COD37" localSheetId="0">#REF!</definedName>
    <definedName name="_COD37" localSheetId="4">#REF!</definedName>
    <definedName name="_COD37" localSheetId="7">#REF!</definedName>
    <definedName name="_COD37" localSheetId="5">#REF!</definedName>
    <definedName name="_COD37" localSheetId="2">#REF!</definedName>
    <definedName name="_COD37" localSheetId="6">#REF!</definedName>
    <definedName name="_COD37">#REF!</definedName>
    <definedName name="_CPU04" localSheetId="4">#REF!</definedName>
    <definedName name="_CPU04" localSheetId="7">#REF!</definedName>
    <definedName name="_CPU04" localSheetId="5">#REF!</definedName>
    <definedName name="_CPU04" localSheetId="2">#REF!</definedName>
    <definedName name="_CPU04" localSheetId="6">#REF!</definedName>
    <definedName name="_CPU04">#REF!</definedName>
    <definedName name="_CPU04_2" localSheetId="4">#REF!</definedName>
    <definedName name="_CPU04_2" localSheetId="7">#REF!</definedName>
    <definedName name="_CPU04_2" localSheetId="5">#REF!</definedName>
    <definedName name="_CPU04_2" localSheetId="2">#REF!</definedName>
    <definedName name="_CPU04_2" localSheetId="6">#REF!</definedName>
    <definedName name="_CPU04_2">#REF!</definedName>
    <definedName name="_CTD1" localSheetId="4">#REF!</definedName>
    <definedName name="_CTD1" localSheetId="7">#REF!</definedName>
    <definedName name="_CTD1" localSheetId="5">#REF!</definedName>
    <definedName name="_CTD1" localSheetId="2">#REF!</definedName>
    <definedName name="_CTD1" localSheetId="6">#REF!</definedName>
    <definedName name="_CTD1">#REF!</definedName>
    <definedName name="_CTD1_2" localSheetId="4">#REF!</definedName>
    <definedName name="_CTD1_2" localSheetId="7">#REF!</definedName>
    <definedName name="_CTD1_2" localSheetId="5">#REF!</definedName>
    <definedName name="_CTD1_2" localSheetId="2">#REF!</definedName>
    <definedName name="_CTD1_2" localSheetId="6">#REF!</definedName>
    <definedName name="_CTD1_2">#REF!</definedName>
    <definedName name="_dre1" localSheetId="4">#REF!</definedName>
    <definedName name="_dre1" localSheetId="7">#REF!</definedName>
    <definedName name="_dre1" localSheetId="5">#REF!</definedName>
    <definedName name="_dre1" localSheetId="2">#REF!</definedName>
    <definedName name="_dre1" localSheetId="6">#REF!</definedName>
    <definedName name="_dre1">#REF!</definedName>
    <definedName name="_dre1_2" localSheetId="4">#REF!</definedName>
    <definedName name="_dre1_2" localSheetId="7">#REF!</definedName>
    <definedName name="_dre1_2" localSheetId="5">#REF!</definedName>
    <definedName name="_dre1_2" localSheetId="2">#REF!</definedName>
    <definedName name="_dre1_2" localSheetId="6">#REF!</definedName>
    <definedName name="_dre1_2">#REF!</definedName>
    <definedName name="_e" localSheetId="4">#REF!</definedName>
    <definedName name="_e" localSheetId="7">#REF!</definedName>
    <definedName name="_e" localSheetId="5">#REF!</definedName>
    <definedName name="_e" localSheetId="2">#REF!</definedName>
    <definedName name="_e" localSheetId="6">#REF!</definedName>
    <definedName name="_e">#REF!</definedName>
    <definedName name="_e_2" localSheetId="4">#REF!</definedName>
    <definedName name="_e_2" localSheetId="7">#REF!</definedName>
    <definedName name="_e_2" localSheetId="5">#REF!</definedName>
    <definedName name="_e_2" localSheetId="2">#REF!</definedName>
    <definedName name="_e_2" localSheetId="6">#REF!</definedName>
    <definedName name="_e_2">#REF!</definedName>
    <definedName name="_Fill" localSheetId="0" hidden="1">#REF!</definedName>
    <definedName name="_Fill" localSheetId="4" hidden="1">#REF!</definedName>
    <definedName name="_Fill" localSheetId="7" hidden="1">#REF!</definedName>
    <definedName name="_Fill" localSheetId="5" hidden="1">#REF!</definedName>
    <definedName name="_Fill" localSheetId="2" hidden="1">#REF!</definedName>
    <definedName name="_Fill" localSheetId="6" hidden="1">#REF!</definedName>
    <definedName name="_Fill" hidden="1">#REF!</definedName>
    <definedName name="_fill1" localSheetId="4" hidden="1">#REF!</definedName>
    <definedName name="_fill1" localSheetId="7" hidden="1">#REF!</definedName>
    <definedName name="_fill1" localSheetId="5" hidden="1">#REF!</definedName>
    <definedName name="_fill1" localSheetId="2" hidden="1">#REF!</definedName>
    <definedName name="_fill1" localSheetId="6" hidden="1">#REF!</definedName>
    <definedName name="_fill1" hidden="1">#REF!</definedName>
    <definedName name="_xlnm._FilterDatabase" localSheetId="4" hidden="1">#REF!</definedName>
    <definedName name="_xlnm._FilterDatabase" localSheetId="3" hidden="1">'DESCONTO 1ª MEDIÇÃO EV- GAMERIM'!$B$5:$P$5</definedName>
    <definedName name="_xlnm._FilterDatabase" localSheetId="7" hidden="1">'DESCONTO 2ª MEDIÇÃO EV- GAMERIM'!$B$10:$P$57</definedName>
    <definedName name="_xlnm._FilterDatabase" localSheetId="1" hidden="1">'REL. CAMIN. 1ª MED EV - GAMERIM'!$C$5:$N$76</definedName>
    <definedName name="_xlnm._FilterDatabase" localSheetId="5" hidden="1">'REL. CAMIN. 2ª MED EV - GAMERIM'!$C$10:$N$163</definedName>
    <definedName name="_xlnm._FilterDatabase" localSheetId="2" hidden="1">'RELAÇÃO PEDÁGIO 1ª EV - GAMERIM'!$C$5:$L$36</definedName>
    <definedName name="_xlnm._FilterDatabase" localSheetId="6" hidden="1">'RELAÇÃO PEDÁGIO 2ª EV - GAMERIM'!$B$5:$K$95</definedName>
    <definedName name="_xlnm._FilterDatabase" hidden="1">#REF!</definedName>
    <definedName name="_jUNIOR" localSheetId="0">#REF!</definedName>
    <definedName name="_jUNIOR" localSheetId="4">#REF!</definedName>
    <definedName name="_jUNIOR" localSheetId="7">#REF!</definedName>
    <definedName name="_jUNIOR" localSheetId="5">#REF!</definedName>
    <definedName name="_jUNIOR" localSheetId="2">#REF!</definedName>
    <definedName name="_jUNIOR" localSheetId="6">#REF!</definedName>
    <definedName name="_jUNIOR">#REF!</definedName>
    <definedName name="_Key1" localSheetId="4" hidden="1">#REF!</definedName>
    <definedName name="_Key1" localSheetId="7" hidden="1">#REF!</definedName>
    <definedName name="_Key1" localSheetId="5" hidden="1">#REF!</definedName>
    <definedName name="_Key1" localSheetId="2" hidden="1">#REF!</definedName>
    <definedName name="_Key1" localSheetId="6" hidden="1">#REF!</definedName>
    <definedName name="_Key1" hidden="1">#REF!</definedName>
    <definedName name="_Key2" localSheetId="4" hidden="1">#REF!</definedName>
    <definedName name="_Key2" localSheetId="7" hidden="1">#REF!</definedName>
    <definedName name="_Key2" localSheetId="5" hidden="1">#REF!</definedName>
    <definedName name="_Key2" localSheetId="2" hidden="1">#REF!</definedName>
    <definedName name="_Key2" localSheetId="6" hidden="1">#REF!</definedName>
    <definedName name="_Key2" hidden="1">#REF!</definedName>
    <definedName name="_MA0001" localSheetId="4">#REF!</definedName>
    <definedName name="_MA0001" localSheetId="7">#REF!</definedName>
    <definedName name="_MA0001" localSheetId="5">#REF!</definedName>
    <definedName name="_MA0001" localSheetId="2">#REF!</definedName>
    <definedName name="_MA0001" localSheetId="6">#REF!</definedName>
    <definedName name="_MA0001">#REF!</definedName>
    <definedName name="_MAT2" localSheetId="4">#REF!</definedName>
    <definedName name="_MAT2" localSheetId="7">#REF!</definedName>
    <definedName name="_MAT2" localSheetId="1">#REF!</definedName>
    <definedName name="_MAT2" localSheetId="5">#REF!</definedName>
    <definedName name="_MAT2" localSheetId="2">#REF!</definedName>
    <definedName name="_MAT2" localSheetId="6">#REF!</definedName>
    <definedName name="_MAT2">#REF!</definedName>
    <definedName name="_MatMult_A" localSheetId="4" hidden="1">#REF!</definedName>
    <definedName name="_MatMult_A" localSheetId="7" hidden="1">#REF!</definedName>
    <definedName name="_MatMult_A" localSheetId="5" hidden="1">#REF!</definedName>
    <definedName name="_MatMult_A" localSheetId="2" hidden="1">#REF!</definedName>
    <definedName name="_MatMult_A" localSheetId="6" hidden="1">#REF!</definedName>
    <definedName name="_MatMult_A" hidden="1">#REF!</definedName>
    <definedName name="_MLH1" localSheetId="4">#REF!</definedName>
    <definedName name="_MLH1" localSheetId="7">#REF!</definedName>
    <definedName name="_MLH1" localSheetId="5">#REF!</definedName>
    <definedName name="_MLH1" localSheetId="2">#REF!</definedName>
    <definedName name="_MLH1" localSheetId="6">#REF!</definedName>
    <definedName name="_MLH1">#REF!</definedName>
    <definedName name="_MLH1_2" localSheetId="4">#REF!</definedName>
    <definedName name="_MLH1_2" localSheetId="7">#REF!</definedName>
    <definedName name="_MLH1_2" localSheetId="5">#REF!</definedName>
    <definedName name="_MLH1_2" localSheetId="2">#REF!</definedName>
    <definedName name="_MLH1_2" localSheetId="6">#REF!</definedName>
    <definedName name="_MLH1_2">#REF!</definedName>
    <definedName name="_MLH2" localSheetId="4">#REF!</definedName>
    <definedName name="_MLH2" localSheetId="7">#REF!</definedName>
    <definedName name="_MLH2" localSheetId="5">#REF!</definedName>
    <definedName name="_MLH2" localSheetId="2">#REF!</definedName>
    <definedName name="_MLH2" localSheetId="6">#REF!</definedName>
    <definedName name="_MLH2">#REF!</definedName>
    <definedName name="_MLH2_2" localSheetId="4">#REF!</definedName>
    <definedName name="_MLH2_2" localSheetId="7">#REF!</definedName>
    <definedName name="_MLH2_2" localSheetId="5">#REF!</definedName>
    <definedName name="_MLH2_2" localSheetId="2">#REF!</definedName>
    <definedName name="_MLH2_2" localSheetId="6">#REF!</definedName>
    <definedName name="_MLH2_2">#REF!</definedName>
    <definedName name="_MLH3" localSheetId="4">#REF!</definedName>
    <definedName name="_MLH3" localSheetId="7">#REF!</definedName>
    <definedName name="_MLH3" localSheetId="5">#REF!</definedName>
    <definedName name="_MLH3" localSheetId="2">#REF!</definedName>
    <definedName name="_MLH3" localSheetId="6">#REF!</definedName>
    <definedName name="_MLH3">#REF!</definedName>
    <definedName name="_MLH3_2" localSheetId="4">#REF!</definedName>
    <definedName name="_MLH3_2" localSheetId="7">#REF!</definedName>
    <definedName name="_MLH3_2" localSheetId="5">#REF!</definedName>
    <definedName name="_MLH3_2" localSheetId="2">#REF!</definedName>
    <definedName name="_MLH3_2" localSheetId="6">#REF!</definedName>
    <definedName name="_MLH3_2">#REF!</definedName>
    <definedName name="_MO0001" localSheetId="4">#REF!</definedName>
    <definedName name="_MO0001" localSheetId="7">#REF!</definedName>
    <definedName name="_MO0001" localSheetId="5">#REF!</definedName>
    <definedName name="_MO0001" localSheetId="2">#REF!</definedName>
    <definedName name="_MO0001" localSheetId="6">#REF!</definedName>
    <definedName name="_MO0001">#REF!</definedName>
    <definedName name="_MO0002" localSheetId="4">#REF!</definedName>
    <definedName name="_MO0002" localSheetId="7">#REF!</definedName>
    <definedName name="_MO0002" localSheetId="5">#REF!</definedName>
    <definedName name="_MO0002" localSheetId="2">#REF!</definedName>
    <definedName name="_MO0002" localSheetId="6">#REF!</definedName>
    <definedName name="_MO0002">#REF!</definedName>
    <definedName name="_MO0003" localSheetId="4">#REF!</definedName>
    <definedName name="_MO0003" localSheetId="7">#REF!</definedName>
    <definedName name="_MO0003" localSheetId="5">#REF!</definedName>
    <definedName name="_MO0003" localSheetId="2">#REF!</definedName>
    <definedName name="_MO0003" localSheetId="6">#REF!</definedName>
    <definedName name="_MO0003">#REF!</definedName>
    <definedName name="_MO0004" localSheetId="4">#REF!</definedName>
    <definedName name="_MO0004" localSheetId="7">#REF!</definedName>
    <definedName name="_MO0004" localSheetId="5">#REF!</definedName>
    <definedName name="_MO0004" localSheetId="2">#REF!</definedName>
    <definedName name="_MO0004" localSheetId="6">#REF!</definedName>
    <definedName name="_MO0004">#REF!</definedName>
    <definedName name="_MO1" localSheetId="4">#REF!</definedName>
    <definedName name="_MO1" localSheetId="7">#REF!</definedName>
    <definedName name="_MO1" localSheetId="5">#REF!</definedName>
    <definedName name="_MO1" localSheetId="2">#REF!</definedName>
    <definedName name="_MO1" localSheetId="6">#REF!</definedName>
    <definedName name="_MO1">#REF!</definedName>
    <definedName name="_MO2" localSheetId="4">#REF!</definedName>
    <definedName name="_MO2" localSheetId="7">#REF!</definedName>
    <definedName name="_MO2" localSheetId="5">#REF!</definedName>
    <definedName name="_MO2" localSheetId="2">#REF!</definedName>
    <definedName name="_MO2" localSheetId="6">#REF!</definedName>
    <definedName name="_MO2">#REF!</definedName>
    <definedName name="_MO3" localSheetId="4">#REF!</definedName>
    <definedName name="_MO3" localSheetId="7">#REF!</definedName>
    <definedName name="_MO3" localSheetId="5">#REF!</definedName>
    <definedName name="_MO3" localSheetId="2">#REF!</definedName>
    <definedName name="_MO3" localSheetId="6">#REF!</definedName>
    <definedName name="_MO3">#REF!</definedName>
    <definedName name="_MP100" localSheetId="4">#REF!</definedName>
    <definedName name="_MP100" localSheetId="7">#REF!</definedName>
    <definedName name="_MP100" localSheetId="5">#REF!</definedName>
    <definedName name="_MP100" localSheetId="2">#REF!</definedName>
    <definedName name="_MP100" localSheetId="6">#REF!</definedName>
    <definedName name="_MP100">#REF!</definedName>
    <definedName name="_NUM1" localSheetId="4">#REF!</definedName>
    <definedName name="_NUM1" localSheetId="7">#REF!</definedName>
    <definedName name="_NUM1" localSheetId="5">#REF!</definedName>
    <definedName name="_NUM1" localSheetId="2">#REF!</definedName>
    <definedName name="_NUM1" localSheetId="6">#REF!</definedName>
    <definedName name="_NUM1">#REF!</definedName>
    <definedName name="_NUM2" localSheetId="4">#REF!</definedName>
    <definedName name="_NUM2" localSheetId="7">#REF!</definedName>
    <definedName name="_NUM2" localSheetId="5">#REF!</definedName>
    <definedName name="_NUM2" localSheetId="2">#REF!</definedName>
    <definedName name="_NUM2" localSheetId="6">#REF!</definedName>
    <definedName name="_NUM2">#REF!</definedName>
    <definedName name="_NUM3" localSheetId="4">#REF!</definedName>
    <definedName name="_NUM3" localSheetId="7">#REF!</definedName>
    <definedName name="_NUM3" localSheetId="5">#REF!</definedName>
    <definedName name="_NUM3" localSheetId="2">#REF!</definedName>
    <definedName name="_NUM3" localSheetId="6">#REF!</definedName>
    <definedName name="_NUM3">#REF!</definedName>
    <definedName name="_oae1" localSheetId="4">#REF!</definedName>
    <definedName name="_oae1" localSheetId="7">#REF!</definedName>
    <definedName name="_oae1" localSheetId="5">#REF!</definedName>
    <definedName name="_oae1" localSheetId="2">#REF!</definedName>
    <definedName name="_oae1" localSheetId="6">#REF!</definedName>
    <definedName name="_oae1">#REF!</definedName>
    <definedName name="_oae1_2" localSheetId="4">#REF!</definedName>
    <definedName name="_oae1_2" localSheetId="7">#REF!</definedName>
    <definedName name="_oae1_2" localSheetId="5">#REF!</definedName>
    <definedName name="_oae1_2" localSheetId="2">#REF!</definedName>
    <definedName name="_oae1_2" localSheetId="6">#REF!</definedName>
    <definedName name="_oae1_2">#REF!</definedName>
    <definedName name="_Order1" hidden="1">255</definedName>
    <definedName name="_Order2" hidden="1">255</definedName>
    <definedName name="_p" localSheetId="4">#REF!</definedName>
    <definedName name="_p" localSheetId="7">#REF!</definedName>
    <definedName name="_p" localSheetId="5">#REF!</definedName>
    <definedName name="_p" localSheetId="2">#REF!</definedName>
    <definedName name="_p" localSheetId="6">#REF!</definedName>
    <definedName name="_p">#REF!</definedName>
    <definedName name="_p_2" localSheetId="4">#REF!</definedName>
    <definedName name="_p_2" localSheetId="7">#REF!</definedName>
    <definedName name="_p_2" localSheetId="5">#REF!</definedName>
    <definedName name="_p_2" localSheetId="2">#REF!</definedName>
    <definedName name="_p_2" localSheetId="6">#REF!</definedName>
    <definedName name="_p_2">#REF!</definedName>
    <definedName name="_Parse_Out" localSheetId="0" hidden="1">#REF!</definedName>
    <definedName name="_Parse_Out" localSheetId="4" hidden="1">#REF!</definedName>
    <definedName name="_Parse_Out" localSheetId="7" hidden="1">#REF!</definedName>
    <definedName name="_Parse_Out" localSheetId="5" hidden="1">#REF!</definedName>
    <definedName name="_Parse_Out" localSheetId="2" hidden="1">#REF!</definedName>
    <definedName name="_Parse_Out" localSheetId="6" hidden="1">#REF!</definedName>
    <definedName name="_Parse_Out" hidden="1">#REF!</definedName>
    <definedName name="_pav1" localSheetId="4">#REF!</definedName>
    <definedName name="_pav1" localSheetId="7">#REF!</definedName>
    <definedName name="_pav1" localSheetId="5">#REF!</definedName>
    <definedName name="_pav1" localSheetId="2">#REF!</definedName>
    <definedName name="_pav1" localSheetId="6">#REF!</definedName>
    <definedName name="_pav1">#REF!</definedName>
    <definedName name="_pav1_2" localSheetId="4">#REF!</definedName>
    <definedName name="_pav1_2" localSheetId="7">#REF!</definedName>
    <definedName name="_pav1_2" localSheetId="5">#REF!</definedName>
    <definedName name="_pav1_2" localSheetId="2">#REF!</definedName>
    <definedName name="_pav1_2" localSheetId="6">#REF!</definedName>
    <definedName name="_pav1_2">#REF!</definedName>
    <definedName name="_PER2" localSheetId="4">#REF!</definedName>
    <definedName name="_PER2" localSheetId="7">#REF!</definedName>
    <definedName name="_PER2" localSheetId="5">#REF!</definedName>
    <definedName name="_PER2" localSheetId="2">#REF!</definedName>
    <definedName name="_PER2" localSheetId="6">#REF!</definedName>
    <definedName name="_PER2">#REF!</definedName>
    <definedName name="_PER3" localSheetId="4">#REF!</definedName>
    <definedName name="_PER3" localSheetId="7">#REF!</definedName>
    <definedName name="_PER3" localSheetId="5">#REF!</definedName>
    <definedName name="_PER3" localSheetId="2">#REF!</definedName>
    <definedName name="_PER3" localSheetId="6">#REF!</definedName>
    <definedName name="_PER3">#REF!</definedName>
    <definedName name="_PL1" localSheetId="4">#REF!</definedName>
    <definedName name="_PL1" localSheetId="7">#REF!</definedName>
    <definedName name="_PL1" localSheetId="5">#REF!</definedName>
    <definedName name="_PL1" localSheetId="2">#REF!</definedName>
    <definedName name="_PL1" localSheetId="6">#REF!</definedName>
    <definedName name="_PL1">#REF!</definedName>
    <definedName name="_pre1" localSheetId="4">#REF!</definedName>
    <definedName name="_pre1" localSheetId="7">#REF!</definedName>
    <definedName name="_pre1" localSheetId="5">#REF!</definedName>
    <definedName name="_pre1" localSheetId="2">#REF!</definedName>
    <definedName name="_pre1" localSheetId="6">#REF!</definedName>
    <definedName name="_pre1">#REF!</definedName>
    <definedName name="_pre1_2" localSheetId="4">#REF!</definedName>
    <definedName name="_pre1_2" localSheetId="7">#REF!</definedName>
    <definedName name="_pre1_2" localSheetId="5">#REF!</definedName>
    <definedName name="_pre1_2" localSheetId="2">#REF!</definedName>
    <definedName name="_pre1_2" localSheetId="6">#REF!</definedName>
    <definedName name="_pre1_2">#REF!</definedName>
    <definedName name="_qtd21" localSheetId="0">#REF!</definedName>
    <definedName name="_qtd21" localSheetId="4">#REF!</definedName>
    <definedName name="_qtd21" localSheetId="7">#REF!</definedName>
    <definedName name="_qtd21" localSheetId="5">#REF!</definedName>
    <definedName name="_qtd21" localSheetId="2">#REF!</definedName>
    <definedName name="_qtd21" localSheetId="6">#REF!</definedName>
    <definedName name="_qtd21">#REF!</definedName>
    <definedName name="_QTD22" localSheetId="0">#REF!</definedName>
    <definedName name="_QTD22" localSheetId="4">#REF!</definedName>
    <definedName name="_QTD22" localSheetId="7">#REF!</definedName>
    <definedName name="_QTD22" localSheetId="5">#REF!</definedName>
    <definedName name="_QTD22" localSheetId="2">#REF!</definedName>
    <definedName name="_QTD22" localSheetId="6">#REF!</definedName>
    <definedName name="_QTD22">#REF!</definedName>
    <definedName name="_QTD23" localSheetId="0">#REF!</definedName>
    <definedName name="_QTD23" localSheetId="4">#REF!</definedName>
    <definedName name="_QTD23" localSheetId="7">#REF!</definedName>
    <definedName name="_QTD23" localSheetId="5">#REF!</definedName>
    <definedName name="_QTD23" localSheetId="2">#REF!</definedName>
    <definedName name="_QTD23" localSheetId="6">#REF!</definedName>
    <definedName name="_QTD23">#REF!</definedName>
    <definedName name="_QTD25" localSheetId="0">#REF!</definedName>
    <definedName name="_QTD25" localSheetId="4">#REF!</definedName>
    <definedName name="_QTD25" localSheetId="7">#REF!</definedName>
    <definedName name="_QTD25" localSheetId="5">#REF!</definedName>
    <definedName name="_QTD25" localSheetId="2">#REF!</definedName>
    <definedName name="_QTD25" localSheetId="6">#REF!</definedName>
    <definedName name="_QTD25">#REF!</definedName>
    <definedName name="_QTD26" localSheetId="0">#REF!</definedName>
    <definedName name="_QTD26" localSheetId="4">#REF!</definedName>
    <definedName name="_QTD26" localSheetId="7">#REF!</definedName>
    <definedName name="_QTD26" localSheetId="5">#REF!</definedName>
    <definedName name="_QTD26" localSheetId="2">#REF!</definedName>
    <definedName name="_QTD26" localSheetId="6">#REF!</definedName>
    <definedName name="_QTD26">#REF!</definedName>
    <definedName name="_QTD27" localSheetId="0">#REF!</definedName>
    <definedName name="_QTD27" localSheetId="4">#REF!</definedName>
    <definedName name="_QTD27" localSheetId="7">#REF!</definedName>
    <definedName name="_QTD27" localSheetId="5">#REF!</definedName>
    <definedName name="_QTD27" localSheetId="2">#REF!</definedName>
    <definedName name="_QTD27" localSheetId="6">#REF!</definedName>
    <definedName name="_QTD27">#REF!</definedName>
    <definedName name="_QTD28" localSheetId="0">#REF!</definedName>
    <definedName name="_QTD28" localSheetId="4">#REF!</definedName>
    <definedName name="_QTD28" localSheetId="7">#REF!</definedName>
    <definedName name="_QTD28" localSheetId="5">#REF!</definedName>
    <definedName name="_QTD28" localSheetId="2">#REF!</definedName>
    <definedName name="_QTD28" localSheetId="6">#REF!</definedName>
    <definedName name="_QTD28">#REF!</definedName>
    <definedName name="_QTD30" localSheetId="0">#REF!</definedName>
    <definedName name="_QTD30" localSheetId="4">#REF!</definedName>
    <definedName name="_QTD30" localSheetId="7">#REF!</definedName>
    <definedName name="_QTD30" localSheetId="5">#REF!</definedName>
    <definedName name="_QTD30" localSheetId="2">#REF!</definedName>
    <definedName name="_QTD30" localSheetId="6">#REF!</definedName>
    <definedName name="_QTD30">#REF!</definedName>
    <definedName name="_QTD301" localSheetId="0">#REF!</definedName>
    <definedName name="_QTD301" localSheetId="4">#REF!</definedName>
    <definedName name="_QTD301" localSheetId="7">#REF!</definedName>
    <definedName name="_QTD301" localSheetId="5">#REF!</definedName>
    <definedName name="_QTD301" localSheetId="2">#REF!</definedName>
    <definedName name="_QTD301" localSheetId="6">#REF!</definedName>
    <definedName name="_QTD301">#REF!</definedName>
    <definedName name="_QTD36" localSheetId="0">#REF!</definedName>
    <definedName name="_QTD36" localSheetId="4">#REF!</definedName>
    <definedName name="_QTD36" localSheetId="7">#REF!</definedName>
    <definedName name="_QTD36" localSheetId="5">#REF!</definedName>
    <definedName name="_QTD36" localSheetId="2">#REF!</definedName>
    <definedName name="_QTD36" localSheetId="6">#REF!</definedName>
    <definedName name="_QTD36">#REF!</definedName>
    <definedName name="_Regression_Int" hidden="1">1</definedName>
    <definedName name="_rev1" localSheetId="4">#REF!</definedName>
    <definedName name="_rev1" localSheetId="7">#REF!</definedName>
    <definedName name="_rev1" localSheetId="5">#REF!</definedName>
    <definedName name="_rev1" localSheetId="2">#REF!</definedName>
    <definedName name="_rev1" localSheetId="6">#REF!</definedName>
    <definedName name="_rev1">#REF!</definedName>
    <definedName name="_rev1_2" localSheetId="4">#REF!</definedName>
    <definedName name="_rev1_2" localSheetId="7">#REF!</definedName>
    <definedName name="_rev1_2" localSheetId="5">#REF!</definedName>
    <definedName name="_rev1_2" localSheetId="2">#REF!</definedName>
    <definedName name="_rev1_2" localSheetId="6">#REF!</definedName>
    <definedName name="_rev1_2">#REF!</definedName>
    <definedName name="_SE2" localSheetId="0">#REF!</definedName>
    <definedName name="_SE2" localSheetId="4">#REF!</definedName>
    <definedName name="_SE2" localSheetId="7">#REF!</definedName>
    <definedName name="_SE2" localSheetId="5">#REF!</definedName>
    <definedName name="_SE2" localSheetId="2">#REF!</definedName>
    <definedName name="_SE2" localSheetId="6">#REF!</definedName>
    <definedName name="_SE2">#REF!</definedName>
    <definedName name="_seg1" localSheetId="4">#REF!</definedName>
    <definedName name="_seg1" localSheetId="7">#REF!</definedName>
    <definedName name="_seg1" localSheetId="5">#REF!</definedName>
    <definedName name="_seg1" localSheetId="2">#REF!</definedName>
    <definedName name="_seg1" localSheetId="6">#REF!</definedName>
    <definedName name="_seg1">#REF!</definedName>
    <definedName name="_seg1_2" localSheetId="4">#REF!</definedName>
    <definedName name="_seg1_2" localSheetId="7">#REF!</definedName>
    <definedName name="_seg1_2" localSheetId="5">#REF!</definedName>
    <definedName name="_seg1_2" localSheetId="2">#REF!</definedName>
    <definedName name="_seg1_2" localSheetId="6">#REF!</definedName>
    <definedName name="_seg1_2">#REF!</definedName>
    <definedName name="_sih1" localSheetId="4">#REF!</definedName>
    <definedName name="_sih1" localSheetId="7">#REF!</definedName>
    <definedName name="_sih1" localSheetId="5">#REF!</definedName>
    <definedName name="_sih1" localSheetId="2">#REF!</definedName>
    <definedName name="_sih1" localSheetId="6">#REF!</definedName>
    <definedName name="_sih1">#REF!</definedName>
    <definedName name="_sih1_2" localSheetId="4">#REF!</definedName>
    <definedName name="_sih1_2" localSheetId="7">#REF!</definedName>
    <definedName name="_sih1_2" localSheetId="5">#REF!</definedName>
    <definedName name="_sih1_2" localSheetId="2">#REF!</definedName>
    <definedName name="_sih1_2" localSheetId="6">#REF!</definedName>
    <definedName name="_sih1_2">#REF!</definedName>
    <definedName name="_siv1" localSheetId="4">#REF!</definedName>
    <definedName name="_siv1" localSheetId="7">#REF!</definedName>
    <definedName name="_siv1" localSheetId="5">#REF!</definedName>
    <definedName name="_siv1" localSheetId="2">#REF!</definedName>
    <definedName name="_siv1" localSheetId="6">#REF!</definedName>
    <definedName name="_siv1">#REF!</definedName>
    <definedName name="_siv1_2" localSheetId="4">#REF!</definedName>
    <definedName name="_siv1_2" localSheetId="7">#REF!</definedName>
    <definedName name="_siv1_2" localSheetId="5">#REF!</definedName>
    <definedName name="_siv1_2" localSheetId="2">#REF!</definedName>
    <definedName name="_siv1_2" localSheetId="6">#REF!</definedName>
    <definedName name="_siv1_2">#REF!</definedName>
    <definedName name="_Sort" localSheetId="4" hidden="1">#REF!</definedName>
    <definedName name="_Sort" localSheetId="7" hidden="1">#REF!</definedName>
    <definedName name="_Sort" localSheetId="5" hidden="1">#REF!</definedName>
    <definedName name="_Sort" localSheetId="2" hidden="1">#REF!</definedName>
    <definedName name="_Sort" localSheetId="6" hidden="1">#REF!</definedName>
    <definedName name="_Sort" hidden="1">#REF!</definedName>
    <definedName name="_tab0198" localSheetId="4">#REF!</definedName>
    <definedName name="_tab0198" localSheetId="7">#REF!</definedName>
    <definedName name="_tab0198" localSheetId="5">#REF!</definedName>
    <definedName name="_tab0198" localSheetId="2">#REF!</definedName>
    <definedName name="_tab0198" localSheetId="6">#REF!</definedName>
    <definedName name="_tab0198">#REF!</definedName>
    <definedName name="_tab1" localSheetId="4">#REF!</definedName>
    <definedName name="_tab1" localSheetId="7">#REF!</definedName>
    <definedName name="_tab1" localSheetId="1">#REF!</definedName>
    <definedName name="_tab1" localSheetId="5">#REF!</definedName>
    <definedName name="_tab1" localSheetId="2">#REF!</definedName>
    <definedName name="_tab1" localSheetId="6">#REF!</definedName>
    <definedName name="_tab1">#REF!</definedName>
    <definedName name="_tab2" localSheetId="4">#REF!</definedName>
    <definedName name="_tab2" localSheetId="7">#REF!</definedName>
    <definedName name="_tab2" localSheetId="5">#REF!</definedName>
    <definedName name="_tab2" localSheetId="2">#REF!</definedName>
    <definedName name="_tab2" localSheetId="6">#REF!</definedName>
    <definedName name="_tab2">#REF!</definedName>
    <definedName name="_TAB4" localSheetId="4">#REF!</definedName>
    <definedName name="_TAB4" localSheetId="7">#REF!</definedName>
    <definedName name="_TAB4" localSheetId="5">#REF!</definedName>
    <definedName name="_TAB4" localSheetId="2">#REF!</definedName>
    <definedName name="_TAB4" localSheetId="6">#REF!</definedName>
    <definedName name="_TAB4">#REF!</definedName>
    <definedName name="_tex1" localSheetId="4">#REF!</definedName>
    <definedName name="_tex1" localSheetId="7">#REF!</definedName>
    <definedName name="_tex1" localSheetId="1">#REF!</definedName>
    <definedName name="_tex1" localSheetId="5">#REF!</definedName>
    <definedName name="_tex1" localSheetId="2">#REF!</definedName>
    <definedName name="_tex1" localSheetId="6">#REF!</definedName>
    <definedName name="_tex1">#REF!</definedName>
    <definedName name="_tex10" localSheetId="0">#REF!</definedName>
    <definedName name="_tex10" localSheetId="4">#REF!</definedName>
    <definedName name="_tex10" localSheetId="7">#REF!</definedName>
    <definedName name="_tex10" localSheetId="5">#REF!</definedName>
    <definedName name="_tex10" localSheetId="2">#REF!</definedName>
    <definedName name="_tex10" localSheetId="6">#REF!</definedName>
    <definedName name="_tex10">#REF!</definedName>
    <definedName name="_tex11" localSheetId="0">#REF!</definedName>
    <definedName name="_tex11" localSheetId="4">#REF!</definedName>
    <definedName name="_tex11" localSheetId="7">#REF!</definedName>
    <definedName name="_tex11" localSheetId="5">#REF!</definedName>
    <definedName name="_tex11" localSheetId="2">#REF!</definedName>
    <definedName name="_tex11" localSheetId="6">#REF!</definedName>
    <definedName name="_tex11">#REF!</definedName>
    <definedName name="_tex12" localSheetId="0">#REF!</definedName>
    <definedName name="_tex12" localSheetId="4">#REF!</definedName>
    <definedName name="_tex12" localSheetId="7">#REF!</definedName>
    <definedName name="_tex12" localSheetId="5">#REF!</definedName>
    <definedName name="_tex12" localSheetId="2">#REF!</definedName>
    <definedName name="_tex12" localSheetId="6">#REF!</definedName>
    <definedName name="_tex12">#REF!</definedName>
    <definedName name="_tex13" localSheetId="0">#REF!</definedName>
    <definedName name="_tex13" localSheetId="4">#REF!</definedName>
    <definedName name="_tex13" localSheetId="7">#REF!</definedName>
    <definedName name="_tex13" localSheetId="5">#REF!</definedName>
    <definedName name="_tex13" localSheetId="2">#REF!</definedName>
    <definedName name="_tex13" localSheetId="6">#REF!</definedName>
    <definedName name="_tex13">#REF!</definedName>
    <definedName name="_tex14" localSheetId="0">#REF!</definedName>
    <definedName name="_tex14" localSheetId="4">#REF!</definedName>
    <definedName name="_tex14" localSheetId="7">#REF!</definedName>
    <definedName name="_tex14" localSheetId="5">#REF!</definedName>
    <definedName name="_tex14" localSheetId="2">#REF!</definedName>
    <definedName name="_tex14" localSheetId="6">#REF!</definedName>
    <definedName name="_tex14">#REF!</definedName>
    <definedName name="_tex15" localSheetId="0">#REF!</definedName>
    <definedName name="_tex15" localSheetId="4">#REF!</definedName>
    <definedName name="_tex15" localSheetId="7">#REF!</definedName>
    <definedName name="_tex15" localSheetId="5">#REF!</definedName>
    <definedName name="_tex15" localSheetId="2">#REF!</definedName>
    <definedName name="_tex15" localSheetId="6">#REF!</definedName>
    <definedName name="_tex15">#REF!</definedName>
    <definedName name="_tex16" localSheetId="0">#REF!</definedName>
    <definedName name="_tex16" localSheetId="4">#REF!</definedName>
    <definedName name="_tex16" localSheetId="7">#REF!</definedName>
    <definedName name="_tex16" localSheetId="5">#REF!</definedName>
    <definedName name="_tex16" localSheetId="2">#REF!</definedName>
    <definedName name="_tex16" localSheetId="6">#REF!</definedName>
    <definedName name="_tex16">#REF!</definedName>
    <definedName name="_tex17" localSheetId="0">#REF!</definedName>
    <definedName name="_tex17" localSheetId="4">#REF!</definedName>
    <definedName name="_tex17" localSheetId="7">#REF!</definedName>
    <definedName name="_tex17" localSheetId="5">#REF!</definedName>
    <definedName name="_tex17" localSheetId="2">#REF!</definedName>
    <definedName name="_tex17" localSheetId="6">#REF!</definedName>
    <definedName name="_tex17">#REF!</definedName>
    <definedName name="_tex18" localSheetId="0">#REF!</definedName>
    <definedName name="_tex18" localSheetId="4">#REF!</definedName>
    <definedName name="_tex18" localSheetId="7">#REF!</definedName>
    <definedName name="_tex18" localSheetId="5">#REF!</definedName>
    <definedName name="_tex18" localSheetId="2">#REF!</definedName>
    <definedName name="_tex18" localSheetId="6">#REF!</definedName>
    <definedName name="_tex18">#REF!</definedName>
    <definedName name="_tex19" localSheetId="0">#REF!</definedName>
    <definedName name="_tex19" localSheetId="4">#REF!</definedName>
    <definedName name="_tex19" localSheetId="7">#REF!</definedName>
    <definedName name="_tex19" localSheetId="5">#REF!</definedName>
    <definedName name="_tex19" localSheetId="2">#REF!</definedName>
    <definedName name="_tex19" localSheetId="6">#REF!</definedName>
    <definedName name="_tex19">#REF!</definedName>
    <definedName name="_tex2" localSheetId="0">#REF!</definedName>
    <definedName name="_tex2" localSheetId="4">#REF!</definedName>
    <definedName name="_tex2" localSheetId="7">#REF!</definedName>
    <definedName name="_tex2" localSheetId="5">#REF!</definedName>
    <definedName name="_tex2" localSheetId="2">#REF!</definedName>
    <definedName name="_tex2" localSheetId="6">#REF!</definedName>
    <definedName name="_tex2">#REF!</definedName>
    <definedName name="_tex20" localSheetId="0">#REF!</definedName>
    <definedName name="_tex20" localSheetId="4">#REF!</definedName>
    <definedName name="_tex20" localSheetId="7">#REF!</definedName>
    <definedName name="_tex20" localSheetId="5">#REF!</definedName>
    <definedName name="_tex20" localSheetId="2">#REF!</definedName>
    <definedName name="_tex20" localSheetId="6">#REF!</definedName>
    <definedName name="_tex20">#REF!</definedName>
    <definedName name="_tex21" localSheetId="0">#REF!</definedName>
    <definedName name="_tex21" localSheetId="4">#REF!</definedName>
    <definedName name="_tex21" localSheetId="7">#REF!</definedName>
    <definedName name="_tex21" localSheetId="5">#REF!</definedName>
    <definedName name="_tex21" localSheetId="2">#REF!</definedName>
    <definedName name="_tex21" localSheetId="6">#REF!</definedName>
    <definedName name="_tex21">#REF!</definedName>
    <definedName name="_tex22" localSheetId="0">#REF!</definedName>
    <definedName name="_tex22" localSheetId="4">#REF!</definedName>
    <definedName name="_tex22" localSheetId="7">#REF!</definedName>
    <definedName name="_tex22" localSheetId="5">#REF!</definedName>
    <definedName name="_tex22" localSheetId="2">#REF!</definedName>
    <definedName name="_tex22" localSheetId="6">#REF!</definedName>
    <definedName name="_tex22">#REF!</definedName>
    <definedName name="_tex23" localSheetId="0">#REF!</definedName>
    <definedName name="_tex23" localSheetId="4">#REF!</definedName>
    <definedName name="_tex23" localSheetId="7">#REF!</definedName>
    <definedName name="_tex23" localSheetId="5">#REF!</definedName>
    <definedName name="_tex23" localSheetId="2">#REF!</definedName>
    <definedName name="_tex23" localSheetId="6">#REF!</definedName>
    <definedName name="_tex23">#REF!</definedName>
    <definedName name="_tex24" localSheetId="0">#REF!</definedName>
    <definedName name="_tex24" localSheetId="4">#REF!</definedName>
    <definedName name="_tex24" localSheetId="7">#REF!</definedName>
    <definedName name="_tex24" localSheetId="5">#REF!</definedName>
    <definedName name="_tex24" localSheetId="2">#REF!</definedName>
    <definedName name="_tex24" localSheetId="6">#REF!</definedName>
    <definedName name="_tex24">#REF!</definedName>
    <definedName name="_tex25" localSheetId="0">#REF!</definedName>
    <definedName name="_tex25" localSheetId="4">#REF!</definedName>
    <definedName name="_tex25" localSheetId="7">#REF!</definedName>
    <definedName name="_tex25" localSheetId="5">#REF!</definedName>
    <definedName name="_tex25" localSheetId="2">#REF!</definedName>
    <definedName name="_tex25" localSheetId="6">#REF!</definedName>
    <definedName name="_tex25">#REF!</definedName>
    <definedName name="_tex3" localSheetId="0">#REF!</definedName>
    <definedName name="_tex3" localSheetId="4">#REF!</definedName>
    <definedName name="_tex3" localSheetId="7">#REF!</definedName>
    <definedName name="_tex3" localSheetId="5">#REF!</definedName>
    <definedName name="_tex3" localSheetId="2">#REF!</definedName>
    <definedName name="_tex3" localSheetId="6">#REF!</definedName>
    <definedName name="_tex3">#REF!</definedName>
    <definedName name="_tex4" localSheetId="0">#REF!</definedName>
    <definedName name="_tex4" localSheetId="4">#REF!</definedName>
    <definedName name="_tex4" localSheetId="7">#REF!</definedName>
    <definedName name="_tex4" localSheetId="5">#REF!</definedName>
    <definedName name="_tex4" localSheetId="2">#REF!</definedName>
    <definedName name="_tex4" localSheetId="6">#REF!</definedName>
    <definedName name="_tex4">#REF!</definedName>
    <definedName name="_tex5" localSheetId="0">#REF!</definedName>
    <definedName name="_tex5" localSheetId="4">#REF!</definedName>
    <definedName name="_tex5" localSheetId="7">#REF!</definedName>
    <definedName name="_tex5" localSheetId="5">#REF!</definedName>
    <definedName name="_tex5" localSheetId="2">#REF!</definedName>
    <definedName name="_tex5" localSheetId="6">#REF!</definedName>
    <definedName name="_tex5">#REF!</definedName>
    <definedName name="_tex6" localSheetId="0">#REF!</definedName>
    <definedName name="_tex6" localSheetId="4">#REF!</definedName>
    <definedName name="_tex6" localSheetId="7">#REF!</definedName>
    <definedName name="_tex6" localSheetId="5">#REF!</definedName>
    <definedName name="_tex6" localSheetId="2">#REF!</definedName>
    <definedName name="_tex6" localSheetId="6">#REF!</definedName>
    <definedName name="_tex6">#REF!</definedName>
    <definedName name="_tex7" localSheetId="0">#REF!</definedName>
    <definedName name="_tex7" localSheetId="4">#REF!</definedName>
    <definedName name="_tex7" localSheetId="7">#REF!</definedName>
    <definedName name="_tex7" localSheetId="5">#REF!</definedName>
    <definedName name="_tex7" localSheetId="2">#REF!</definedName>
    <definedName name="_tex7" localSheetId="6">#REF!</definedName>
    <definedName name="_tex7">#REF!</definedName>
    <definedName name="_tex8" localSheetId="0">#REF!</definedName>
    <definedName name="_tex8" localSheetId="4">#REF!</definedName>
    <definedName name="_tex8" localSheetId="7">#REF!</definedName>
    <definedName name="_tex8" localSheetId="5">#REF!</definedName>
    <definedName name="_tex8" localSheetId="2">#REF!</definedName>
    <definedName name="_tex8" localSheetId="6">#REF!</definedName>
    <definedName name="_tex8">#REF!</definedName>
    <definedName name="_tex9" localSheetId="0">#REF!</definedName>
    <definedName name="_tex9" localSheetId="4">#REF!</definedName>
    <definedName name="_tex9" localSheetId="7">#REF!</definedName>
    <definedName name="_tex9" localSheetId="5">#REF!</definedName>
    <definedName name="_tex9" localSheetId="2">#REF!</definedName>
    <definedName name="_tex9" localSheetId="6">#REF!</definedName>
    <definedName name="_tex9">#REF!</definedName>
    <definedName name="_VAX1" localSheetId="4">#REF!</definedName>
    <definedName name="_VAX1" localSheetId="7">#REF!</definedName>
    <definedName name="_VAX1" localSheetId="5">#REF!</definedName>
    <definedName name="_VAX1" localSheetId="2">#REF!</definedName>
    <definedName name="_VAX1" localSheetId="6">#REF!</definedName>
    <definedName name="_VAX1">#REF!</definedName>
    <definedName name="_VAX1_2" localSheetId="4">#REF!</definedName>
    <definedName name="_VAX1_2" localSheetId="7">#REF!</definedName>
    <definedName name="_VAX1_2" localSheetId="5">#REF!</definedName>
    <definedName name="_VAX1_2" localSheetId="2">#REF!</definedName>
    <definedName name="_VAX1_2" localSheetId="6">#REF!</definedName>
    <definedName name="_VAX1_2">#REF!</definedName>
    <definedName name="_VAX2" localSheetId="4">#REF!</definedName>
    <definedName name="_VAX2" localSheetId="7">#REF!</definedName>
    <definedName name="_VAX2" localSheetId="5">#REF!</definedName>
    <definedName name="_VAX2" localSheetId="2">#REF!</definedName>
    <definedName name="_VAX2" localSheetId="6">#REF!</definedName>
    <definedName name="_VAX2">#REF!</definedName>
    <definedName name="_VAX2_2" localSheetId="4">#REF!</definedName>
    <definedName name="_VAX2_2" localSheetId="7">#REF!</definedName>
    <definedName name="_VAX2_2" localSheetId="5">#REF!</definedName>
    <definedName name="_VAX2_2" localSheetId="2">#REF!</definedName>
    <definedName name="_VAX2_2" localSheetId="6">#REF!</definedName>
    <definedName name="_VAX2_2">#REF!</definedName>
    <definedName name="_VRL1" localSheetId="4">#REF!</definedName>
    <definedName name="_VRL1" localSheetId="7">#REF!</definedName>
    <definedName name="_VRL1" localSheetId="5">#REF!</definedName>
    <definedName name="_VRL1" localSheetId="2">#REF!</definedName>
    <definedName name="_VRL1" localSheetId="6">#REF!</definedName>
    <definedName name="_VRL1">#REF!</definedName>
    <definedName name="_VRL1_2" localSheetId="4">#REF!</definedName>
    <definedName name="_VRL1_2" localSheetId="7">#REF!</definedName>
    <definedName name="_VRL1_2" localSheetId="5">#REF!</definedName>
    <definedName name="_VRL1_2" localSheetId="2">#REF!</definedName>
    <definedName name="_VRL1_2" localSheetId="6">#REF!</definedName>
    <definedName name="_VRL1_2">#REF!</definedName>
    <definedName name="_VRL2" localSheetId="4">#REF!</definedName>
    <definedName name="_VRL2" localSheetId="7">#REF!</definedName>
    <definedName name="_VRL2" localSheetId="5">#REF!</definedName>
    <definedName name="_VRL2" localSheetId="2">#REF!</definedName>
    <definedName name="_VRL2" localSheetId="6">#REF!</definedName>
    <definedName name="_VRL2">#REF!</definedName>
    <definedName name="_VRL2_2" localSheetId="4">#REF!</definedName>
    <definedName name="_VRL2_2" localSheetId="7">#REF!</definedName>
    <definedName name="_VRL2_2" localSheetId="5">#REF!</definedName>
    <definedName name="_VRL2_2" localSheetId="2">#REF!</definedName>
    <definedName name="_VRL2_2" localSheetId="6">#REF!</definedName>
    <definedName name="_VRL2_2">#REF!</definedName>
    <definedName name="_VRL3" localSheetId="4">#REF!</definedName>
    <definedName name="_VRL3" localSheetId="7">#REF!</definedName>
    <definedName name="_VRL3" localSheetId="5">#REF!</definedName>
    <definedName name="_VRL3" localSheetId="2">#REF!</definedName>
    <definedName name="_VRL3" localSheetId="6">#REF!</definedName>
    <definedName name="_VRL3">#REF!</definedName>
    <definedName name="_VRL3_2" localSheetId="4">#REF!</definedName>
    <definedName name="_VRL3_2" localSheetId="7">#REF!</definedName>
    <definedName name="_VRL3_2" localSheetId="5">#REF!</definedName>
    <definedName name="_VRL3_2" localSheetId="2">#REF!</definedName>
    <definedName name="_VRL3_2" localSheetId="6">#REF!</definedName>
    <definedName name="_VRL3_2">#REF!</definedName>
    <definedName name="A" localSheetId="0">#REF!</definedName>
    <definedName name="A" localSheetId="4">#REF!</definedName>
    <definedName name="A" localSheetId="7">#REF!</definedName>
    <definedName name="A" localSheetId="5">#REF!</definedName>
    <definedName name="A" localSheetId="2">#REF!</definedName>
    <definedName name="A" localSheetId="6">#REF!</definedName>
    <definedName name="A">#REF!</definedName>
    <definedName name="A_19" localSheetId="4">#REF!</definedName>
    <definedName name="A_19" localSheetId="7">#REF!</definedName>
    <definedName name="A_19" localSheetId="5">#REF!</definedName>
    <definedName name="A_19" localSheetId="2">#REF!</definedName>
    <definedName name="A_19" localSheetId="6">#REF!</definedName>
    <definedName name="A_19">#REF!</definedName>
    <definedName name="a_2" localSheetId="4">#REF!</definedName>
    <definedName name="a_2" localSheetId="7">#REF!</definedName>
    <definedName name="a_2" localSheetId="5">#REF!</definedName>
    <definedName name="a_2" localSheetId="2">#REF!</definedName>
    <definedName name="a_2" localSheetId="6">#REF!</definedName>
    <definedName name="a_2">#REF!</definedName>
    <definedName name="A_24" localSheetId="4">#REF!</definedName>
    <definedName name="A_24" localSheetId="7">#REF!</definedName>
    <definedName name="A_24" localSheetId="5">#REF!</definedName>
    <definedName name="A_24" localSheetId="2">#REF!</definedName>
    <definedName name="A_24" localSheetId="6">#REF!</definedName>
    <definedName name="A_24">#REF!</definedName>
    <definedName name="A_25" localSheetId="4">#REF!</definedName>
    <definedName name="A_25" localSheetId="7">#REF!</definedName>
    <definedName name="A_25" localSheetId="5">#REF!</definedName>
    <definedName name="A_25" localSheetId="2">#REF!</definedName>
    <definedName name="A_25" localSheetId="6">#REF!</definedName>
    <definedName name="A_25">#REF!</definedName>
    <definedName name="A_30" localSheetId="4">#REF!</definedName>
    <definedName name="A_30" localSheetId="7">#REF!</definedName>
    <definedName name="A_30" localSheetId="5">#REF!</definedName>
    <definedName name="A_30" localSheetId="2">#REF!</definedName>
    <definedName name="A_30" localSheetId="6">#REF!</definedName>
    <definedName name="A_30">#REF!</definedName>
    <definedName name="a_5" localSheetId="4">#REF!</definedName>
    <definedName name="a_5" localSheetId="7">#REF!</definedName>
    <definedName name="a_5" localSheetId="5">#REF!</definedName>
    <definedName name="a_5" localSheetId="2">#REF!</definedName>
    <definedName name="a_5" localSheetId="6">#REF!</definedName>
    <definedName name="a_5">#REF!</definedName>
    <definedName name="a_5_2" localSheetId="4">#REF!</definedName>
    <definedName name="a_5_2" localSheetId="7">#REF!</definedName>
    <definedName name="a_5_2" localSheetId="5">#REF!</definedName>
    <definedName name="a_5_2" localSheetId="2">#REF!</definedName>
    <definedName name="a_5_2" localSheetId="6">#REF!</definedName>
    <definedName name="a_5_2">#REF!</definedName>
    <definedName name="AA" localSheetId="0">#REF!</definedName>
    <definedName name="AA" localSheetId="4">#REF!</definedName>
    <definedName name="aa" localSheetId="7">#REF!</definedName>
    <definedName name="aa" localSheetId="5">#REF!</definedName>
    <definedName name="aa" localSheetId="2">#REF!</definedName>
    <definedName name="aa" localSheetId="6">#REF!</definedName>
    <definedName name="aa">#REF!</definedName>
    <definedName name="aa_12" localSheetId="4">#REF!</definedName>
    <definedName name="aa_12" localSheetId="7">#REF!</definedName>
    <definedName name="aa_12" localSheetId="5">#REF!</definedName>
    <definedName name="aa_12" localSheetId="2">#REF!</definedName>
    <definedName name="aa_12" localSheetId="6">#REF!</definedName>
    <definedName name="aa_12">#REF!</definedName>
    <definedName name="aa_13" localSheetId="4">#REF!</definedName>
    <definedName name="aa_13" localSheetId="7">#REF!</definedName>
    <definedName name="aa_13" localSheetId="5">#REF!</definedName>
    <definedName name="aa_13" localSheetId="2">#REF!</definedName>
    <definedName name="aa_13" localSheetId="6">#REF!</definedName>
    <definedName name="aa_13">#REF!</definedName>
    <definedName name="aa_19" localSheetId="4">#REF!</definedName>
    <definedName name="aa_19" localSheetId="7">#REF!</definedName>
    <definedName name="aa_19" localSheetId="5">#REF!</definedName>
    <definedName name="aa_19" localSheetId="2">#REF!</definedName>
    <definedName name="aa_19" localSheetId="6">#REF!</definedName>
    <definedName name="aa_19">#REF!</definedName>
    <definedName name="aa_2" localSheetId="4">#REF!</definedName>
    <definedName name="aa_2" localSheetId="7">#REF!</definedName>
    <definedName name="aa_2" localSheetId="5">#REF!</definedName>
    <definedName name="aa_2" localSheetId="2">#REF!</definedName>
    <definedName name="aa_2" localSheetId="6">#REF!</definedName>
    <definedName name="aa_2">#REF!</definedName>
    <definedName name="aa_20" localSheetId="4">#REF!</definedName>
    <definedName name="aa_20" localSheetId="7">#REF!</definedName>
    <definedName name="aa_20" localSheetId="5">#REF!</definedName>
    <definedName name="aa_20" localSheetId="2">#REF!</definedName>
    <definedName name="aa_20" localSheetId="6">#REF!</definedName>
    <definedName name="aa_20">#REF!</definedName>
    <definedName name="aa_24" localSheetId="4">#REF!</definedName>
    <definedName name="aa_24" localSheetId="7">#REF!</definedName>
    <definedName name="aa_24" localSheetId="5">#REF!</definedName>
    <definedName name="aa_24" localSheetId="2">#REF!</definedName>
    <definedName name="aa_24" localSheetId="6">#REF!</definedName>
    <definedName name="aa_24">#REF!</definedName>
    <definedName name="aa_25" localSheetId="4">#REF!</definedName>
    <definedName name="aa_25" localSheetId="7">#REF!</definedName>
    <definedName name="aa_25" localSheetId="5">#REF!</definedName>
    <definedName name="aa_25" localSheetId="2">#REF!</definedName>
    <definedName name="aa_25" localSheetId="6">#REF!</definedName>
    <definedName name="aa_25">#REF!</definedName>
    <definedName name="aa_26" localSheetId="4">#REF!</definedName>
    <definedName name="aa_26" localSheetId="7">#REF!</definedName>
    <definedName name="aa_26" localSheetId="5">#REF!</definedName>
    <definedName name="aa_26" localSheetId="2">#REF!</definedName>
    <definedName name="aa_26" localSheetId="6">#REF!</definedName>
    <definedName name="aa_26">#REF!</definedName>
    <definedName name="aa_30" localSheetId="4">#REF!</definedName>
    <definedName name="aa_30" localSheetId="7">#REF!</definedName>
    <definedName name="aa_30" localSheetId="5">#REF!</definedName>
    <definedName name="aa_30" localSheetId="2">#REF!</definedName>
    <definedName name="aa_30" localSheetId="6">#REF!</definedName>
    <definedName name="aa_30">#REF!</definedName>
    <definedName name="aa_31" localSheetId="4">#REF!</definedName>
    <definedName name="aa_31" localSheetId="7">#REF!</definedName>
    <definedName name="aa_31" localSheetId="5">#REF!</definedName>
    <definedName name="aa_31" localSheetId="2">#REF!</definedName>
    <definedName name="aa_31" localSheetId="6">#REF!</definedName>
    <definedName name="aa_31">#REF!</definedName>
    <definedName name="aa_7" localSheetId="4">#REF!</definedName>
    <definedName name="aa_7" localSheetId="7">#REF!</definedName>
    <definedName name="aa_7" localSheetId="5">#REF!</definedName>
    <definedName name="aa_7" localSheetId="2">#REF!</definedName>
    <definedName name="aa_7" localSheetId="6">#REF!</definedName>
    <definedName name="aa_7">#REF!</definedName>
    <definedName name="aa_72" localSheetId="4">#REF!</definedName>
    <definedName name="aa_72" localSheetId="7">#REF!</definedName>
    <definedName name="aa_72" localSheetId="5">#REF!</definedName>
    <definedName name="aa_72" localSheetId="2">#REF!</definedName>
    <definedName name="aa_72" localSheetId="6">#REF!</definedName>
    <definedName name="aa_72">#REF!</definedName>
    <definedName name="aa_78" localSheetId="4">#REF!</definedName>
    <definedName name="aa_78" localSheetId="7">#REF!</definedName>
    <definedName name="aa_78" localSheetId="5">#REF!</definedName>
    <definedName name="aa_78" localSheetId="2">#REF!</definedName>
    <definedName name="aa_78" localSheetId="6">#REF!</definedName>
    <definedName name="aa_78">#REF!</definedName>
    <definedName name="aa_82" localSheetId="4">#REF!</definedName>
    <definedName name="aa_82" localSheetId="7">#REF!</definedName>
    <definedName name="aa_82" localSheetId="5">#REF!</definedName>
    <definedName name="aa_82" localSheetId="2">#REF!</definedName>
    <definedName name="aa_82" localSheetId="6">#REF!</definedName>
    <definedName name="aa_82">#REF!</definedName>
    <definedName name="aa_84" localSheetId="4">#REF!</definedName>
    <definedName name="aa_84" localSheetId="7">#REF!</definedName>
    <definedName name="aa_84" localSheetId="5">#REF!</definedName>
    <definedName name="aa_84" localSheetId="2">#REF!</definedName>
    <definedName name="aa_84" localSheetId="6">#REF!</definedName>
    <definedName name="aa_84">#REF!</definedName>
    <definedName name="aa_88" localSheetId="4">#REF!</definedName>
    <definedName name="aa_88" localSheetId="7">#REF!</definedName>
    <definedName name="aa_88" localSheetId="5">#REF!</definedName>
    <definedName name="aa_88" localSheetId="2">#REF!</definedName>
    <definedName name="aa_88" localSheetId="6">#REF!</definedName>
    <definedName name="aa_88">#REF!</definedName>
    <definedName name="aa_90" localSheetId="4">#REF!</definedName>
    <definedName name="aa_90" localSheetId="7">#REF!</definedName>
    <definedName name="aa_90" localSheetId="5">#REF!</definedName>
    <definedName name="aa_90" localSheetId="2">#REF!</definedName>
    <definedName name="aa_90" localSheetId="6">#REF!</definedName>
    <definedName name="aa_90">#REF!</definedName>
    <definedName name="aa_91" localSheetId="4">#REF!</definedName>
    <definedName name="aa_91" localSheetId="7">#REF!</definedName>
    <definedName name="aa_91" localSheetId="5">#REF!</definedName>
    <definedName name="aa_91" localSheetId="2">#REF!</definedName>
    <definedName name="aa_91" localSheetId="6">#REF!</definedName>
    <definedName name="aa_91">#REF!</definedName>
    <definedName name="aa_92" localSheetId="4">#REF!</definedName>
    <definedName name="aa_92" localSheetId="7">#REF!</definedName>
    <definedName name="aa_92" localSheetId="5">#REF!</definedName>
    <definedName name="aa_92" localSheetId="2">#REF!</definedName>
    <definedName name="aa_92" localSheetId="6">#REF!</definedName>
    <definedName name="aa_92">#REF!</definedName>
    <definedName name="aa_93" localSheetId="4">#REF!</definedName>
    <definedName name="aa_93" localSheetId="7">#REF!</definedName>
    <definedName name="aa_93" localSheetId="5">#REF!</definedName>
    <definedName name="aa_93" localSheetId="2">#REF!</definedName>
    <definedName name="aa_93" localSheetId="6">#REF!</definedName>
    <definedName name="aa_93">#REF!</definedName>
    <definedName name="aa_94" localSheetId="4">#REF!</definedName>
    <definedName name="aa_94" localSheetId="7">#REF!</definedName>
    <definedName name="aa_94" localSheetId="5">#REF!</definedName>
    <definedName name="aa_94" localSheetId="2">#REF!</definedName>
    <definedName name="aa_94" localSheetId="6">#REF!</definedName>
    <definedName name="aa_94">#REF!</definedName>
    <definedName name="AAA" localSheetId="0">#REF!</definedName>
    <definedName name="AAA" localSheetId="4">#REF!</definedName>
    <definedName name="aaa" localSheetId="7">#REF!</definedName>
    <definedName name="aaa" localSheetId="5">#REF!</definedName>
    <definedName name="aaa" localSheetId="2">#REF!</definedName>
    <definedName name="aaa" localSheetId="6">#REF!</definedName>
    <definedName name="aaa">#REF!</definedName>
    <definedName name="aaa_12" localSheetId="4">#REF!</definedName>
    <definedName name="aaa_12" localSheetId="7">#REF!</definedName>
    <definedName name="aaa_12" localSheetId="5">#REF!</definedName>
    <definedName name="aaa_12" localSheetId="2">#REF!</definedName>
    <definedName name="aaa_12" localSheetId="6">#REF!</definedName>
    <definedName name="aaa_12">#REF!</definedName>
    <definedName name="aaa_13" localSheetId="4">#REF!</definedName>
    <definedName name="aaa_13" localSheetId="7">#REF!</definedName>
    <definedName name="aaa_13" localSheetId="5">#REF!</definedName>
    <definedName name="aaa_13" localSheetId="2">#REF!</definedName>
    <definedName name="aaa_13" localSheetId="6">#REF!</definedName>
    <definedName name="aaa_13">#REF!</definedName>
    <definedName name="aaa_19" localSheetId="4">#REF!</definedName>
    <definedName name="aaa_19" localSheetId="7">#REF!</definedName>
    <definedName name="aaa_19" localSheetId="5">#REF!</definedName>
    <definedName name="aaa_19" localSheetId="2">#REF!</definedName>
    <definedName name="aaa_19" localSheetId="6">#REF!</definedName>
    <definedName name="aaa_19">#REF!</definedName>
    <definedName name="aaa_2" localSheetId="4">#REF!</definedName>
    <definedName name="aaa_2" localSheetId="7">#REF!</definedName>
    <definedName name="aaa_2" localSheetId="5">#REF!</definedName>
    <definedName name="aaa_2" localSheetId="2">#REF!</definedName>
    <definedName name="aaa_2" localSheetId="6">#REF!</definedName>
    <definedName name="aaa_2">#REF!</definedName>
    <definedName name="aaa_20" localSheetId="4">#REF!</definedName>
    <definedName name="aaa_20" localSheetId="7">#REF!</definedName>
    <definedName name="aaa_20" localSheetId="5">#REF!</definedName>
    <definedName name="aaa_20" localSheetId="2">#REF!</definedName>
    <definedName name="aaa_20" localSheetId="6">#REF!</definedName>
    <definedName name="aaa_20">#REF!</definedName>
    <definedName name="aaa_24" localSheetId="4">#REF!</definedName>
    <definedName name="aaa_24" localSheetId="7">#REF!</definedName>
    <definedName name="aaa_24" localSheetId="5">#REF!</definedName>
    <definedName name="aaa_24" localSheetId="2">#REF!</definedName>
    <definedName name="aaa_24" localSheetId="6">#REF!</definedName>
    <definedName name="aaa_24">#REF!</definedName>
    <definedName name="aaa_25" localSheetId="4">#REF!</definedName>
    <definedName name="aaa_25" localSheetId="7">#REF!</definedName>
    <definedName name="aaa_25" localSheetId="5">#REF!</definedName>
    <definedName name="aaa_25" localSheetId="2">#REF!</definedName>
    <definedName name="aaa_25" localSheetId="6">#REF!</definedName>
    <definedName name="aaa_25">#REF!</definedName>
    <definedName name="aaa_26" localSheetId="4">#REF!</definedName>
    <definedName name="aaa_26" localSheetId="7">#REF!</definedName>
    <definedName name="aaa_26" localSheetId="5">#REF!</definedName>
    <definedName name="aaa_26" localSheetId="2">#REF!</definedName>
    <definedName name="aaa_26" localSheetId="6">#REF!</definedName>
    <definedName name="aaa_26">#REF!</definedName>
    <definedName name="aaa_30" localSheetId="4">#REF!</definedName>
    <definedName name="aaa_30" localSheetId="7">#REF!</definedName>
    <definedName name="aaa_30" localSheetId="5">#REF!</definedName>
    <definedName name="aaa_30" localSheetId="2">#REF!</definedName>
    <definedName name="aaa_30" localSheetId="6">#REF!</definedName>
    <definedName name="aaa_30">#REF!</definedName>
    <definedName name="aaa_31" localSheetId="4">#REF!</definedName>
    <definedName name="aaa_31" localSheetId="7">#REF!</definedName>
    <definedName name="aaa_31" localSheetId="5">#REF!</definedName>
    <definedName name="aaa_31" localSheetId="2">#REF!</definedName>
    <definedName name="aaa_31" localSheetId="6">#REF!</definedName>
    <definedName name="aaa_31">#REF!</definedName>
    <definedName name="aaa_7" localSheetId="4">#REF!</definedName>
    <definedName name="aaa_7" localSheetId="7">#REF!</definedName>
    <definedName name="aaa_7" localSheetId="5">#REF!</definedName>
    <definedName name="aaa_7" localSheetId="2">#REF!</definedName>
    <definedName name="aaa_7" localSheetId="6">#REF!</definedName>
    <definedName name="aaa_7">#REF!</definedName>
    <definedName name="aaa_72" localSheetId="4">#REF!</definedName>
    <definedName name="aaa_72" localSheetId="7">#REF!</definedName>
    <definedName name="aaa_72" localSheetId="5">#REF!</definedName>
    <definedName name="aaa_72" localSheetId="2">#REF!</definedName>
    <definedName name="aaa_72" localSheetId="6">#REF!</definedName>
    <definedName name="aaa_72">#REF!</definedName>
    <definedName name="aaa_78" localSheetId="4">#REF!</definedName>
    <definedName name="aaa_78" localSheetId="7">#REF!</definedName>
    <definedName name="aaa_78" localSheetId="5">#REF!</definedName>
    <definedName name="aaa_78" localSheetId="2">#REF!</definedName>
    <definedName name="aaa_78" localSheetId="6">#REF!</definedName>
    <definedName name="aaa_78">#REF!</definedName>
    <definedName name="aaa_82" localSheetId="4">#REF!</definedName>
    <definedName name="aaa_82" localSheetId="7">#REF!</definedName>
    <definedName name="aaa_82" localSheetId="5">#REF!</definedName>
    <definedName name="aaa_82" localSheetId="2">#REF!</definedName>
    <definedName name="aaa_82" localSheetId="6">#REF!</definedName>
    <definedName name="aaa_82">#REF!</definedName>
    <definedName name="aaa_84" localSheetId="4">#REF!</definedName>
    <definedName name="aaa_84" localSheetId="7">#REF!</definedName>
    <definedName name="aaa_84" localSheetId="5">#REF!</definedName>
    <definedName name="aaa_84" localSheetId="2">#REF!</definedName>
    <definedName name="aaa_84" localSheetId="6">#REF!</definedName>
    <definedName name="aaa_84">#REF!</definedName>
    <definedName name="aaa_88" localSheetId="4">#REF!</definedName>
    <definedName name="aaa_88" localSheetId="7">#REF!</definedName>
    <definedName name="aaa_88" localSheetId="5">#REF!</definedName>
    <definedName name="aaa_88" localSheetId="2">#REF!</definedName>
    <definedName name="aaa_88" localSheetId="6">#REF!</definedName>
    <definedName name="aaa_88">#REF!</definedName>
    <definedName name="aaa_90" localSheetId="4">#REF!</definedName>
    <definedName name="aaa_90" localSheetId="7">#REF!</definedName>
    <definedName name="aaa_90" localSheetId="5">#REF!</definedName>
    <definedName name="aaa_90" localSheetId="2">#REF!</definedName>
    <definedName name="aaa_90" localSheetId="6">#REF!</definedName>
    <definedName name="aaa_90">#REF!</definedName>
    <definedName name="aaa_91" localSheetId="4">#REF!</definedName>
    <definedName name="aaa_91" localSheetId="7">#REF!</definedName>
    <definedName name="aaa_91" localSheetId="5">#REF!</definedName>
    <definedName name="aaa_91" localSheetId="2">#REF!</definedName>
    <definedName name="aaa_91" localSheetId="6">#REF!</definedName>
    <definedName name="aaa_91">#REF!</definedName>
    <definedName name="aaa_92" localSheetId="4">#REF!</definedName>
    <definedName name="aaa_92" localSheetId="7">#REF!</definedName>
    <definedName name="aaa_92" localSheetId="5">#REF!</definedName>
    <definedName name="aaa_92" localSheetId="2">#REF!</definedName>
    <definedName name="aaa_92" localSheetId="6">#REF!</definedName>
    <definedName name="aaa_92">#REF!</definedName>
    <definedName name="aaa_93" localSheetId="4">#REF!</definedName>
    <definedName name="aaa_93" localSheetId="7">#REF!</definedName>
    <definedName name="aaa_93" localSheetId="5">#REF!</definedName>
    <definedName name="aaa_93" localSheetId="2">#REF!</definedName>
    <definedName name="aaa_93" localSheetId="6">#REF!</definedName>
    <definedName name="aaa_93">#REF!</definedName>
    <definedName name="aaa_94" localSheetId="4">#REF!</definedName>
    <definedName name="aaa_94" localSheetId="7">#REF!</definedName>
    <definedName name="aaa_94" localSheetId="5">#REF!</definedName>
    <definedName name="aaa_94" localSheetId="2">#REF!</definedName>
    <definedName name="aaa_94" localSheetId="6">#REF!</definedName>
    <definedName name="aaa_94">#REF!</definedName>
    <definedName name="aaaa" localSheetId="0">#REF!</definedName>
    <definedName name="aaaa" localSheetId="4">#REF!</definedName>
    <definedName name="AAAA" localSheetId="7">#REF!</definedName>
    <definedName name="AAAA" localSheetId="5">#REF!</definedName>
    <definedName name="AAAA" localSheetId="2">#REF!</definedName>
    <definedName name="AAAA" localSheetId="6">#REF!</definedName>
    <definedName name="AAAA">#REF!</definedName>
    <definedName name="AAAA_19" localSheetId="4">#REF!</definedName>
    <definedName name="AAAA_19" localSheetId="7">#REF!</definedName>
    <definedName name="AAAA_19" localSheetId="5">#REF!</definedName>
    <definedName name="AAAA_19" localSheetId="2">#REF!</definedName>
    <definedName name="AAAA_19" localSheetId="6">#REF!</definedName>
    <definedName name="AAAA_19">#REF!</definedName>
    <definedName name="AAAA_24" localSheetId="4">#REF!</definedName>
    <definedName name="AAAA_24" localSheetId="7">#REF!</definedName>
    <definedName name="AAAA_24" localSheetId="5">#REF!</definedName>
    <definedName name="AAAA_24" localSheetId="2">#REF!</definedName>
    <definedName name="AAAA_24" localSheetId="6">#REF!</definedName>
    <definedName name="AAAA_24">#REF!</definedName>
    <definedName name="AAAA_25" localSheetId="4">#REF!</definedName>
    <definedName name="AAAA_25" localSheetId="7">#REF!</definedName>
    <definedName name="AAAA_25" localSheetId="5">#REF!</definedName>
    <definedName name="AAAA_25" localSheetId="2">#REF!</definedName>
    <definedName name="AAAA_25" localSheetId="6">#REF!</definedName>
    <definedName name="AAAA_25">#REF!</definedName>
    <definedName name="AAAA_30" localSheetId="4">#REF!</definedName>
    <definedName name="AAAA_30" localSheetId="7">#REF!</definedName>
    <definedName name="AAAA_30" localSheetId="5">#REF!</definedName>
    <definedName name="AAAA_30" localSheetId="2">#REF!</definedName>
    <definedName name="AAAA_30" localSheetId="6">#REF!</definedName>
    <definedName name="AAAA_30">#REF!</definedName>
    <definedName name="aaaa2" localSheetId="0">#REF!</definedName>
    <definedName name="aaaa2" localSheetId="4">#REF!</definedName>
    <definedName name="aaaa2" localSheetId="7">#REF!</definedName>
    <definedName name="aaaa2" localSheetId="5">#REF!</definedName>
    <definedName name="aaaa2" localSheetId="2">#REF!</definedName>
    <definedName name="aaaa2" localSheetId="6">#REF!</definedName>
    <definedName name="aaaa2">#REF!</definedName>
    <definedName name="AAAAA" localSheetId="4">#REF!</definedName>
    <definedName name="AAAAA" localSheetId="7">#REF!</definedName>
    <definedName name="AAAAA" localSheetId="5">#REF!</definedName>
    <definedName name="AAAAA" localSheetId="2">#REF!</definedName>
    <definedName name="AAAAA" localSheetId="6">#REF!</definedName>
    <definedName name="AAAAA">#REF!</definedName>
    <definedName name="AAAAA_2" localSheetId="4">#REF!</definedName>
    <definedName name="AAAAA_2" localSheetId="7">#REF!</definedName>
    <definedName name="AAAAA_2" localSheetId="5">#REF!</definedName>
    <definedName name="AAAAA_2" localSheetId="2">#REF!</definedName>
    <definedName name="AAAAA_2" localSheetId="6">#REF!</definedName>
    <definedName name="AAAAA_2">#REF!</definedName>
    <definedName name="AAAAAA" localSheetId="4">#REF!</definedName>
    <definedName name="AAAAAA" localSheetId="7">#REF!</definedName>
    <definedName name="AAAAAA" localSheetId="5">#REF!</definedName>
    <definedName name="AAAAAA" localSheetId="2">#REF!</definedName>
    <definedName name="AAAAAA" localSheetId="6">#REF!</definedName>
    <definedName name="AAAAAA">#REF!</definedName>
    <definedName name="AAAAAA_2" localSheetId="4">#REF!</definedName>
    <definedName name="AAAAAA_2" localSheetId="7">#REF!</definedName>
    <definedName name="AAAAAA_2" localSheetId="5">#REF!</definedName>
    <definedName name="AAAAAA_2" localSheetId="2">#REF!</definedName>
    <definedName name="AAAAAA_2" localSheetId="6">#REF!</definedName>
    <definedName name="AAAAAA_2">#REF!</definedName>
    <definedName name="ABC" localSheetId="4" hidden="1">#REF!</definedName>
    <definedName name="ABC" localSheetId="7" hidden="1">#REF!</definedName>
    <definedName name="ABC" localSheetId="5" hidden="1">#REF!</definedName>
    <definedName name="ABC" localSheetId="2" hidden="1">#REF!</definedName>
    <definedName name="ABC" localSheetId="6" hidden="1">#REF!</definedName>
    <definedName name="ABC" hidden="1">#REF!</definedName>
    <definedName name="ABERTURA" localSheetId="4">#REF!</definedName>
    <definedName name="ABERTURA" localSheetId="7">#REF!</definedName>
    <definedName name="ABERTURA" localSheetId="5">#REF!</definedName>
    <definedName name="ABERTURA" localSheetId="2">#REF!</definedName>
    <definedName name="ABERTURA" localSheetId="6">#REF!</definedName>
    <definedName name="ABERTURA">#REF!</definedName>
    <definedName name="ABERTURA_2" localSheetId="4">#REF!</definedName>
    <definedName name="ABERTURA_2" localSheetId="7">#REF!</definedName>
    <definedName name="ABERTURA_2" localSheetId="5">#REF!</definedName>
    <definedName name="ABERTURA_2" localSheetId="2">#REF!</definedName>
    <definedName name="ABERTURA_2" localSheetId="6">#REF!</definedName>
    <definedName name="ABERTURA_2">#REF!</definedName>
    <definedName name="ABERTURA_5" localSheetId="4">#REF!</definedName>
    <definedName name="ABERTURA_5" localSheetId="7">#REF!</definedName>
    <definedName name="ABERTURA_5" localSheetId="5">#REF!</definedName>
    <definedName name="ABERTURA_5" localSheetId="2">#REF!</definedName>
    <definedName name="ABERTURA_5" localSheetId="6">#REF!</definedName>
    <definedName name="ABERTURA_5">#REF!</definedName>
    <definedName name="ABERTURA_5_2" localSheetId="4">#REF!</definedName>
    <definedName name="ABERTURA_5_2" localSheetId="7">#REF!</definedName>
    <definedName name="ABERTURA_5_2" localSheetId="5">#REF!</definedName>
    <definedName name="ABERTURA_5_2" localSheetId="2">#REF!</definedName>
    <definedName name="ABERTURA_5_2" localSheetId="6">#REF!</definedName>
    <definedName name="ABERTURA_5_2">#REF!</definedName>
    <definedName name="AccessDatabase" hidden="1">"C:\Documents and Settings\JPMELLO\Meus documentos\ARQUIVOS 2004\MONITORAMENTO OAC\Monitoramento de OAC.mdb"</definedName>
    <definedName name="acomp" localSheetId="0">#REF!</definedName>
    <definedName name="acomp" localSheetId="4">#REF!</definedName>
    <definedName name="acomp" localSheetId="7">#REF!</definedName>
    <definedName name="acomp" localSheetId="5">#REF!</definedName>
    <definedName name="acomp" localSheetId="2">#REF!</definedName>
    <definedName name="acomp" localSheetId="6">#REF!</definedName>
    <definedName name="acomp">#REF!</definedName>
    <definedName name="AF" localSheetId="0">#REF!</definedName>
    <definedName name="AF" localSheetId="4">#REF!</definedName>
    <definedName name="AF" localSheetId="7">#REF!</definedName>
    <definedName name="AF" localSheetId="1">#REF!</definedName>
    <definedName name="AF" localSheetId="5">#REF!</definedName>
    <definedName name="AF" localSheetId="2">#REF!</definedName>
    <definedName name="AF" localSheetId="6">#REF!</definedName>
    <definedName name="AF">#REF!</definedName>
    <definedName name="Alarg.OAEkm225" localSheetId="4">#REF!</definedName>
    <definedName name="Alarg.OAEkm225" localSheetId="7">#REF!</definedName>
    <definedName name="Alarg.OAEkm225" localSheetId="5">#REF!</definedName>
    <definedName name="Alarg.OAEkm225" localSheetId="2">#REF!</definedName>
    <definedName name="Alarg.OAEkm225" localSheetId="6">#REF!</definedName>
    <definedName name="Alarg.OAEkm225">#REF!</definedName>
    <definedName name="Alarg.OAEkm242" localSheetId="4">#REF!</definedName>
    <definedName name="Alarg.OAEkm242" localSheetId="7">#REF!</definedName>
    <definedName name="Alarg.OAEkm242" localSheetId="5">#REF!</definedName>
    <definedName name="Alarg.OAEkm242" localSheetId="2">#REF!</definedName>
    <definedName name="Alarg.OAEkm242" localSheetId="6">#REF!</definedName>
    <definedName name="Alarg.OAEkm242">#REF!</definedName>
    <definedName name="ALMOÇO" localSheetId="4">#REF!</definedName>
    <definedName name="ALMOÇO" localSheetId="7">#REF!</definedName>
    <definedName name="ALMOÇO" localSheetId="5">#REF!</definedName>
    <definedName name="ALMOÇO" localSheetId="2">#REF!</definedName>
    <definedName name="ALMOÇO" localSheetId="6">#REF!</definedName>
    <definedName name="ALMOÇO">#REF!</definedName>
    <definedName name="aluguel_de_máquinas__veículos_e_equipamentos" localSheetId="4">#REF!</definedName>
    <definedName name="aluguel_de_máquinas__veículos_e_equipamentos" localSheetId="7">#REF!</definedName>
    <definedName name="aluguel_de_máquinas__veículos_e_equipamentos" localSheetId="5">#REF!</definedName>
    <definedName name="aluguel_de_máquinas__veículos_e_equipamentos" localSheetId="2">#REF!</definedName>
    <definedName name="aluguel_de_máquinas__veículos_e_equipamentos" localSheetId="6">#REF!</definedName>
    <definedName name="aluguel_de_máquinas__veículos_e_equipamentos">#REF!</definedName>
    <definedName name="aluguel_de_máquinas__veículos_e_equipamentos_2" localSheetId="4">#REF!</definedName>
    <definedName name="aluguel_de_máquinas__veículos_e_equipamentos_2" localSheetId="7">#REF!</definedName>
    <definedName name="aluguel_de_máquinas__veículos_e_equipamentos_2" localSheetId="5">#REF!</definedName>
    <definedName name="aluguel_de_máquinas__veículos_e_equipamentos_2" localSheetId="2">#REF!</definedName>
    <definedName name="aluguel_de_máquinas__veículos_e_equipamentos_2" localSheetId="6">#REF!</definedName>
    <definedName name="aluguel_de_máquinas__veículos_e_equipamentos_2">#REF!</definedName>
    <definedName name="ALVENARIA">#N/A</definedName>
    <definedName name="ANEXO" localSheetId="4">#REF!</definedName>
    <definedName name="ANEXO" localSheetId="7">#REF!</definedName>
    <definedName name="ANEXO" localSheetId="5">#REF!</definedName>
    <definedName name="ANEXO" localSheetId="2">#REF!</definedName>
    <definedName name="ANEXO" localSheetId="6">#REF!</definedName>
    <definedName name="ANEXO">#REF!</definedName>
    <definedName name="ANEXOS" localSheetId="4">#REF!</definedName>
    <definedName name="ANEXOS" localSheetId="7">#REF!</definedName>
    <definedName name="ANEXOS" localSheetId="5">#REF!</definedName>
    <definedName name="ANEXOS" localSheetId="2">#REF!</definedName>
    <definedName name="ANEXOS" localSheetId="6">#REF!</definedName>
    <definedName name="ANEXOS">#REF!</definedName>
    <definedName name="ano" localSheetId="0">#REF!</definedName>
    <definedName name="ano" localSheetId="4">#REF!</definedName>
    <definedName name="ano" localSheetId="7">#REF!</definedName>
    <definedName name="ano" localSheetId="5">#REF!</definedName>
    <definedName name="ano" localSheetId="2">#REF!</definedName>
    <definedName name="ano" localSheetId="6">#REF!</definedName>
    <definedName name="ano">#REF!</definedName>
    <definedName name="Año" localSheetId="0">#REF!</definedName>
    <definedName name="Año" localSheetId="4">#REF!</definedName>
    <definedName name="Año" localSheetId="7">#REF!</definedName>
    <definedName name="Año" localSheetId="5">#REF!</definedName>
    <definedName name="Año" localSheetId="2">#REF!</definedName>
    <definedName name="Año" localSheetId="6">#REF!</definedName>
    <definedName name="Año">#REF!</definedName>
    <definedName name="ano_2" localSheetId="4">#REF!</definedName>
    <definedName name="ano_2" localSheetId="7">#REF!</definedName>
    <definedName name="ano_2" localSheetId="5">#REF!</definedName>
    <definedName name="ano_2" localSheetId="2">#REF!</definedName>
    <definedName name="ano_2" localSheetId="6">#REF!</definedName>
    <definedName name="ano_2">#REF!</definedName>
    <definedName name="apaga3" localSheetId="4">#REF!</definedName>
    <definedName name="apaga3" localSheetId="7">#REF!</definedName>
    <definedName name="apaga3" localSheetId="5">#REF!</definedName>
    <definedName name="apaga3" localSheetId="2">#REF!</definedName>
    <definedName name="apaga3" localSheetId="6">#REF!</definedName>
    <definedName name="apaga3">#REF!</definedName>
    <definedName name="AQ" localSheetId="0">#REF!</definedName>
    <definedName name="AQ" localSheetId="4">#REF!</definedName>
    <definedName name="AQ" localSheetId="7">#REF!</definedName>
    <definedName name="AQ" localSheetId="1">#REF!</definedName>
    <definedName name="AQ" localSheetId="5">#REF!</definedName>
    <definedName name="AQ" localSheetId="2">#REF!</definedName>
    <definedName name="AQ" localSheetId="6">#REF!</definedName>
    <definedName name="AQ">#REF!</definedName>
    <definedName name="AREA_01" localSheetId="4">#REF!</definedName>
    <definedName name="AREA_01" localSheetId="7">#REF!</definedName>
    <definedName name="AREA_01" localSheetId="5">#REF!</definedName>
    <definedName name="AREA_01" localSheetId="2">#REF!</definedName>
    <definedName name="AREA_01" localSheetId="6">#REF!</definedName>
    <definedName name="AREA_01">#REF!</definedName>
    <definedName name="AREA_04" localSheetId="4">#REF!</definedName>
    <definedName name="AREA_04" localSheetId="7">#REF!</definedName>
    <definedName name="AREA_04" localSheetId="5">#REF!</definedName>
    <definedName name="AREA_04" localSheetId="2">#REF!</definedName>
    <definedName name="AREA_04" localSheetId="6">#REF!</definedName>
    <definedName name="AREA_04">#REF!</definedName>
    <definedName name="_xlnm.Extract" localSheetId="0">#REF!</definedName>
    <definedName name="_xlnm.Extract" localSheetId="4">#REF!</definedName>
    <definedName name="_xlnm.Extract" localSheetId="7">#REF!</definedName>
    <definedName name="_xlnm.Extract" localSheetId="5">#REF!</definedName>
    <definedName name="_xlnm.Extract" localSheetId="2">#REF!</definedName>
    <definedName name="_xlnm.Extract" localSheetId="6">#REF!</definedName>
    <definedName name="_xlnm.Extract">#REF!</definedName>
    <definedName name="_xlnm.Print_Area" localSheetId="0">'1ª MEDIÇÃO EV - GAMERIM '!$A$1:$R$51</definedName>
    <definedName name="_xlnm.Print_Area" localSheetId="4">'2ª MEDIÇÃO EV - GAMERIM '!$A$1:$R$55</definedName>
    <definedName name="_xlnm.Print_Area" localSheetId="7">#REF!</definedName>
    <definedName name="_xlnm.Print_Area" localSheetId="1">'REL. CAMIN. 1ª MED EV - GAMERIM'!$B$1:$O$80</definedName>
    <definedName name="_xlnm.Print_Area" localSheetId="5">'REL. CAMIN. 2ª MED EV - GAMERIM'!$B$1:$O$188</definedName>
    <definedName name="_xlnm.Print_Area" localSheetId="2">'RELAÇÃO PEDÁGIO 1ª EV - GAMERIM'!$B$1:$M$39</definedName>
    <definedName name="_xlnm.Print_Area" localSheetId="6">'RELAÇÃO PEDÁGIO 2ª EV - GAMERIM'!$A$1:$L$98</definedName>
    <definedName name="_xlnm.Print_Area">#REF!</definedName>
    <definedName name="Área_impressão_IM" localSheetId="4">#REF!</definedName>
    <definedName name="Área_impressão_IM" localSheetId="7">#REF!</definedName>
    <definedName name="Área_impressão_IM" localSheetId="5">#REF!</definedName>
    <definedName name="Área_impressão_IM" localSheetId="2">#REF!</definedName>
    <definedName name="Área_impressão_IM" localSheetId="6">#REF!</definedName>
    <definedName name="Área_impressão_IM">#REF!</definedName>
    <definedName name="Área_impressão_IM_2" localSheetId="4">#REF!</definedName>
    <definedName name="Área_impressão_IM_2" localSheetId="7">#REF!</definedName>
    <definedName name="Área_impressão_IM_2" localSheetId="5">#REF!</definedName>
    <definedName name="Área_impressão_IM_2" localSheetId="2">#REF!</definedName>
    <definedName name="Área_impressão_IM_2" localSheetId="6">#REF!</definedName>
    <definedName name="Área_impressão_IM_2">#REF!</definedName>
    <definedName name="asd" localSheetId="4">#REF!</definedName>
    <definedName name="asd" localSheetId="7">#REF!</definedName>
    <definedName name="asd" localSheetId="1">#REF!</definedName>
    <definedName name="asd" localSheetId="5">#REF!</definedName>
    <definedName name="asd" localSheetId="2">#REF!</definedName>
    <definedName name="asd" localSheetId="6">#REF!</definedName>
    <definedName name="asd">#REF!</definedName>
    <definedName name="asdas" localSheetId="0">#REF!</definedName>
    <definedName name="asdas" localSheetId="4">#REF!</definedName>
    <definedName name="asdas" localSheetId="7">#REF!</definedName>
    <definedName name="asdas" localSheetId="5">#REF!</definedName>
    <definedName name="asdas" localSheetId="2">#REF!</definedName>
    <definedName name="asdas" localSheetId="6">#REF!</definedName>
    <definedName name="asdas">#REF!</definedName>
    <definedName name="ass" localSheetId="0">#REF!</definedName>
    <definedName name="ass" localSheetId="4">#REF!</definedName>
    <definedName name="ass" localSheetId="7">#REF!</definedName>
    <definedName name="ass" localSheetId="5">#REF!</definedName>
    <definedName name="ass" localSheetId="2">#REF!</definedName>
    <definedName name="ass" localSheetId="6">#REF!</definedName>
    <definedName name="ass">#REF!</definedName>
    <definedName name="ata" localSheetId="0">#REF!</definedName>
    <definedName name="ata" localSheetId="4">#REF!</definedName>
    <definedName name="ata" localSheetId="7">#REF!</definedName>
    <definedName name="ata" localSheetId="5">#REF!</definedName>
    <definedName name="ata" localSheetId="2">#REF!</definedName>
    <definedName name="ata" localSheetId="6">#REF!</definedName>
    <definedName name="ata">#REF!</definedName>
    <definedName name="aux" localSheetId="0">#REF!</definedName>
    <definedName name="aux" localSheetId="4">#REF!</definedName>
    <definedName name="aux" localSheetId="7">#REF!</definedName>
    <definedName name="aux" localSheetId="5">#REF!</definedName>
    <definedName name="aux" localSheetId="2">#REF!</definedName>
    <definedName name="aux" localSheetId="6">#REF!</definedName>
    <definedName name="aux">#REF!</definedName>
    <definedName name="aux_12" localSheetId="4">#REF!</definedName>
    <definedName name="aux_12" localSheetId="7">#REF!</definedName>
    <definedName name="aux_12" localSheetId="5">#REF!</definedName>
    <definedName name="aux_12" localSheetId="2">#REF!</definedName>
    <definedName name="aux_12" localSheetId="6">#REF!</definedName>
    <definedName name="aux_12">#REF!</definedName>
    <definedName name="aux_13" localSheetId="4">#REF!</definedName>
    <definedName name="aux_13" localSheetId="7">#REF!</definedName>
    <definedName name="aux_13" localSheetId="5">#REF!</definedName>
    <definedName name="aux_13" localSheetId="2">#REF!</definedName>
    <definedName name="aux_13" localSheetId="6">#REF!</definedName>
    <definedName name="aux_13">#REF!</definedName>
    <definedName name="aux_19" localSheetId="4">#REF!</definedName>
    <definedName name="aux_19" localSheetId="7">#REF!</definedName>
    <definedName name="aux_19" localSheetId="5">#REF!</definedName>
    <definedName name="aux_19" localSheetId="2">#REF!</definedName>
    <definedName name="aux_19" localSheetId="6">#REF!</definedName>
    <definedName name="aux_19">#REF!</definedName>
    <definedName name="aux_2" localSheetId="4">#REF!</definedName>
    <definedName name="aux_2" localSheetId="7">#REF!</definedName>
    <definedName name="aux_2" localSheetId="5">#REF!</definedName>
    <definedName name="aux_2" localSheetId="2">#REF!</definedName>
    <definedName name="aux_2" localSheetId="6">#REF!</definedName>
    <definedName name="aux_2">#REF!</definedName>
    <definedName name="aux_20" localSheetId="4">#REF!</definedName>
    <definedName name="aux_20" localSheetId="7">#REF!</definedName>
    <definedName name="aux_20" localSheetId="5">#REF!</definedName>
    <definedName name="aux_20" localSheetId="2">#REF!</definedName>
    <definedName name="aux_20" localSheetId="6">#REF!</definedName>
    <definedName name="aux_20">#REF!</definedName>
    <definedName name="aux_24" localSheetId="4">#REF!</definedName>
    <definedName name="aux_24" localSheetId="7">#REF!</definedName>
    <definedName name="aux_24" localSheetId="5">#REF!</definedName>
    <definedName name="aux_24" localSheetId="2">#REF!</definedName>
    <definedName name="aux_24" localSheetId="6">#REF!</definedName>
    <definedName name="aux_24">#REF!</definedName>
    <definedName name="aux_25" localSheetId="4">#REF!</definedName>
    <definedName name="aux_25" localSheetId="7">#REF!</definedName>
    <definedName name="aux_25" localSheetId="5">#REF!</definedName>
    <definedName name="aux_25" localSheetId="2">#REF!</definedName>
    <definedName name="aux_25" localSheetId="6">#REF!</definedName>
    <definedName name="aux_25">#REF!</definedName>
    <definedName name="aux_26" localSheetId="4">#REF!</definedName>
    <definedName name="aux_26" localSheetId="7">#REF!</definedName>
    <definedName name="aux_26" localSheetId="5">#REF!</definedName>
    <definedName name="aux_26" localSheetId="2">#REF!</definedName>
    <definedName name="aux_26" localSheetId="6">#REF!</definedName>
    <definedName name="aux_26">#REF!</definedName>
    <definedName name="aux_30" localSheetId="4">#REF!</definedName>
    <definedName name="aux_30" localSheetId="7">#REF!</definedName>
    <definedName name="aux_30" localSheetId="5">#REF!</definedName>
    <definedName name="aux_30" localSheetId="2">#REF!</definedName>
    <definedName name="aux_30" localSheetId="6">#REF!</definedName>
    <definedName name="aux_30">#REF!</definedName>
    <definedName name="aux_31" localSheetId="4">#REF!</definedName>
    <definedName name="aux_31" localSheetId="7">#REF!</definedName>
    <definedName name="aux_31" localSheetId="5">#REF!</definedName>
    <definedName name="aux_31" localSheetId="2">#REF!</definedName>
    <definedName name="aux_31" localSheetId="6">#REF!</definedName>
    <definedName name="aux_31">#REF!</definedName>
    <definedName name="aux_5" localSheetId="4">#REF!</definedName>
    <definedName name="aux_5" localSheetId="7">#REF!</definedName>
    <definedName name="aux_5" localSheetId="5">#REF!</definedName>
    <definedName name="aux_5" localSheetId="2">#REF!</definedName>
    <definedName name="aux_5" localSheetId="6">#REF!</definedName>
    <definedName name="aux_5">#REF!</definedName>
    <definedName name="aux_5_2" localSheetId="4">#REF!</definedName>
    <definedName name="aux_5_2" localSheetId="7">#REF!</definedName>
    <definedName name="aux_5_2" localSheetId="5">#REF!</definedName>
    <definedName name="aux_5_2" localSheetId="2">#REF!</definedName>
    <definedName name="aux_5_2" localSheetId="6">#REF!</definedName>
    <definedName name="aux_5_2">#REF!</definedName>
    <definedName name="aux_7" localSheetId="4">#REF!</definedName>
    <definedName name="aux_7" localSheetId="7">#REF!</definedName>
    <definedName name="aux_7" localSheetId="5">#REF!</definedName>
    <definedName name="aux_7" localSheetId="2">#REF!</definedName>
    <definedName name="aux_7" localSheetId="6">#REF!</definedName>
    <definedName name="aux_7">#REF!</definedName>
    <definedName name="aux_72" localSheetId="4">#REF!</definedName>
    <definedName name="aux_72" localSheetId="7">#REF!</definedName>
    <definedName name="aux_72" localSheetId="5">#REF!</definedName>
    <definedName name="aux_72" localSheetId="2">#REF!</definedName>
    <definedName name="aux_72" localSheetId="6">#REF!</definedName>
    <definedName name="aux_72">#REF!</definedName>
    <definedName name="aux_78" localSheetId="4">#REF!</definedName>
    <definedName name="aux_78" localSheetId="7">#REF!</definedName>
    <definedName name="aux_78" localSheetId="5">#REF!</definedName>
    <definedName name="aux_78" localSheetId="2">#REF!</definedName>
    <definedName name="aux_78" localSheetId="6">#REF!</definedName>
    <definedName name="aux_78">#REF!</definedName>
    <definedName name="aux_82" localSheetId="4">#REF!</definedName>
    <definedName name="aux_82" localSheetId="7">#REF!</definedName>
    <definedName name="aux_82" localSheetId="5">#REF!</definedName>
    <definedName name="aux_82" localSheetId="2">#REF!</definedName>
    <definedName name="aux_82" localSheetId="6">#REF!</definedName>
    <definedName name="aux_82">#REF!</definedName>
    <definedName name="aux_84" localSheetId="4">#REF!</definedName>
    <definedName name="aux_84" localSheetId="7">#REF!</definedName>
    <definedName name="aux_84" localSheetId="5">#REF!</definedName>
    <definedName name="aux_84" localSheetId="2">#REF!</definedName>
    <definedName name="aux_84" localSheetId="6">#REF!</definedName>
    <definedName name="aux_84">#REF!</definedName>
    <definedName name="aux_88" localSheetId="4">#REF!</definedName>
    <definedName name="aux_88" localSheetId="7">#REF!</definedName>
    <definedName name="aux_88" localSheetId="5">#REF!</definedName>
    <definedName name="aux_88" localSheetId="2">#REF!</definedName>
    <definedName name="aux_88" localSheetId="6">#REF!</definedName>
    <definedName name="aux_88">#REF!</definedName>
    <definedName name="aux_90" localSheetId="4">#REF!</definedName>
    <definedName name="aux_90" localSheetId="7">#REF!</definedName>
    <definedName name="aux_90" localSheetId="5">#REF!</definedName>
    <definedName name="aux_90" localSheetId="2">#REF!</definedName>
    <definedName name="aux_90" localSheetId="6">#REF!</definedName>
    <definedName name="aux_90">#REF!</definedName>
    <definedName name="aux_91" localSheetId="4">#REF!</definedName>
    <definedName name="aux_91" localSheetId="7">#REF!</definedName>
    <definedName name="aux_91" localSheetId="5">#REF!</definedName>
    <definedName name="aux_91" localSheetId="2">#REF!</definedName>
    <definedName name="aux_91" localSheetId="6">#REF!</definedName>
    <definedName name="aux_91">#REF!</definedName>
    <definedName name="aux_92" localSheetId="4">#REF!</definedName>
    <definedName name="aux_92" localSheetId="7">#REF!</definedName>
    <definedName name="aux_92" localSheetId="5">#REF!</definedName>
    <definedName name="aux_92" localSheetId="2">#REF!</definedName>
    <definedName name="aux_92" localSheetId="6">#REF!</definedName>
    <definedName name="aux_92">#REF!</definedName>
    <definedName name="aux_93" localSheetId="4">#REF!</definedName>
    <definedName name="aux_93" localSheetId="7">#REF!</definedName>
    <definedName name="aux_93" localSheetId="5">#REF!</definedName>
    <definedName name="aux_93" localSheetId="2">#REF!</definedName>
    <definedName name="aux_93" localSheetId="6">#REF!</definedName>
    <definedName name="aux_93">#REF!</definedName>
    <definedName name="aux_94" localSheetId="4">#REF!</definedName>
    <definedName name="aux_94" localSheetId="7">#REF!</definedName>
    <definedName name="aux_94" localSheetId="5">#REF!</definedName>
    <definedName name="aux_94" localSheetId="2">#REF!</definedName>
    <definedName name="aux_94" localSheetId="6">#REF!</definedName>
    <definedName name="aux_94">#REF!</definedName>
    <definedName name="AUX1_2" localSheetId="4">#REF!</definedName>
    <definedName name="AUX1_2" localSheetId="7">#REF!</definedName>
    <definedName name="AUX1_2" localSheetId="5">#REF!</definedName>
    <definedName name="AUX1_2" localSheetId="2">#REF!</definedName>
    <definedName name="AUX1_2" localSheetId="6">#REF!</definedName>
    <definedName name="AUX1_2">#REF!</definedName>
    <definedName name="AUX1_5" localSheetId="4">#REF!</definedName>
    <definedName name="AUX1_5" localSheetId="7">#REF!</definedName>
    <definedName name="AUX1_5" localSheetId="5">#REF!</definedName>
    <definedName name="AUX1_5" localSheetId="2">#REF!</definedName>
    <definedName name="AUX1_5" localSheetId="6">#REF!</definedName>
    <definedName name="AUX1_5">#REF!</definedName>
    <definedName name="AUX1_5_2" localSheetId="4">#REF!</definedName>
    <definedName name="AUX1_5_2" localSheetId="7">#REF!</definedName>
    <definedName name="AUX1_5_2" localSheetId="5">#REF!</definedName>
    <definedName name="AUX1_5_2" localSheetId="2">#REF!</definedName>
    <definedName name="AUX1_5_2" localSheetId="6">#REF!</definedName>
    <definedName name="AUX1_5_2">#REF!</definedName>
    <definedName name="auxiliar" localSheetId="4">#REF!</definedName>
    <definedName name="auxiliar" localSheetId="7">#REF!</definedName>
    <definedName name="auxiliar" localSheetId="5">#REF!</definedName>
    <definedName name="auxiliar" localSheetId="2">#REF!</definedName>
    <definedName name="auxiliar" localSheetId="6">#REF!</definedName>
    <definedName name="auxiliar">#REF!</definedName>
    <definedName name="auxiliar_2" localSheetId="4">#REF!</definedName>
    <definedName name="auxiliar_2" localSheetId="7">#REF!</definedName>
    <definedName name="auxiliar_2" localSheetId="5">#REF!</definedName>
    <definedName name="auxiliar_2" localSheetId="2">#REF!</definedName>
    <definedName name="auxiliar_2" localSheetId="6">#REF!</definedName>
    <definedName name="auxiliar_2">#REF!</definedName>
    <definedName name="banco" localSheetId="0">#REF!</definedName>
    <definedName name="banco" localSheetId="4">#REF!</definedName>
    <definedName name="banco" localSheetId="7">#REF!</definedName>
    <definedName name="banco" localSheetId="5">#REF!</definedName>
    <definedName name="banco" localSheetId="2">#REF!</definedName>
    <definedName name="banco" localSheetId="6">#REF!</definedName>
    <definedName name="banco">#REF!</definedName>
    <definedName name="_xlnm.Database" localSheetId="0">#REF!</definedName>
    <definedName name="_xlnm.Database" localSheetId="4">#REF!</definedName>
    <definedName name="_xlnm.Database" localSheetId="7">#REF!</definedName>
    <definedName name="_xlnm.Database" localSheetId="5">#REF!</definedName>
    <definedName name="_xlnm.Database" localSheetId="2">#REF!</definedName>
    <definedName name="_xlnm.Database" localSheetId="6">#REF!</definedName>
    <definedName name="_xlnm.Database">#REF!</definedName>
    <definedName name="base" localSheetId="4">#REF!</definedName>
    <definedName name="base" localSheetId="7">#REF!</definedName>
    <definedName name="base" localSheetId="1">#REF!</definedName>
    <definedName name="base" localSheetId="5">#REF!</definedName>
    <definedName name="base" localSheetId="2">#REF!</definedName>
    <definedName name="base" localSheetId="6">#REF!</definedName>
    <definedName name="base">#REF!</definedName>
    <definedName name="BASECONTA" localSheetId="4">#REF!</definedName>
    <definedName name="BASECONTA" localSheetId="7">#REF!</definedName>
    <definedName name="BASECONTA" localSheetId="5">#REF!</definedName>
    <definedName name="BASECONTA" localSheetId="2">#REF!</definedName>
    <definedName name="BASECONTA" localSheetId="6">#REF!</definedName>
    <definedName name="BASECONTA">#REF!</definedName>
    <definedName name="BASECONTA_2" localSheetId="4">#REF!</definedName>
    <definedName name="BASECONTA_2" localSheetId="7">#REF!</definedName>
    <definedName name="BASECONTA_2" localSheetId="5">#REF!</definedName>
    <definedName name="BASECONTA_2" localSheetId="2">#REF!</definedName>
    <definedName name="BASECONTA_2" localSheetId="6">#REF!</definedName>
    <definedName name="BASECONTA_2">#REF!</definedName>
    <definedName name="bc" localSheetId="0">#REF!</definedName>
    <definedName name="bc" localSheetId="4">#REF!</definedName>
    <definedName name="bc" localSheetId="7">#REF!</definedName>
    <definedName name="bc" localSheetId="5">#REF!</definedName>
    <definedName name="bc" localSheetId="2">#REF!</definedName>
    <definedName name="bc" localSheetId="6">#REF!</definedName>
    <definedName name="bc">#REF!</definedName>
    <definedName name="BCOS" localSheetId="4">#REF!</definedName>
    <definedName name="BCOS" localSheetId="7">#REF!</definedName>
    <definedName name="BCOS" localSheetId="5">#REF!</definedName>
    <definedName name="BCOS" localSheetId="2">#REF!</definedName>
    <definedName name="BCOS" localSheetId="6">#REF!</definedName>
    <definedName name="BCOS">#REF!</definedName>
    <definedName name="BCOS_2" localSheetId="4">#REF!</definedName>
    <definedName name="BCOS_2" localSheetId="7">#REF!</definedName>
    <definedName name="BCOS_2" localSheetId="5">#REF!</definedName>
    <definedName name="BCOS_2" localSheetId="2">#REF!</definedName>
    <definedName name="BCOS_2" localSheetId="6">#REF!</definedName>
    <definedName name="BCOS_2">#REF!</definedName>
    <definedName name="BD" localSheetId="4">#REF!</definedName>
    <definedName name="BD" localSheetId="7">#REF!</definedName>
    <definedName name="BD" localSheetId="1">#REF!</definedName>
    <definedName name="BD" localSheetId="5">#REF!</definedName>
    <definedName name="BD" localSheetId="2">#REF!</definedName>
    <definedName name="BD" localSheetId="6">#REF!</definedName>
    <definedName name="BD">#REF!</definedName>
    <definedName name="BD_GILMAR" localSheetId="0">#REF!</definedName>
    <definedName name="BD_GILMAR" localSheetId="4">#REF!</definedName>
    <definedName name="BD_GILMAR" localSheetId="7">#REF!</definedName>
    <definedName name="BD_GILMAR" localSheetId="5">#REF!</definedName>
    <definedName name="BD_GILMAR" localSheetId="2">#REF!</definedName>
    <definedName name="BD_GILMAR" localSheetId="6">#REF!</definedName>
    <definedName name="BD_GILMAR">#REF!</definedName>
    <definedName name="BD01_20" localSheetId="4">#REF!</definedName>
    <definedName name="BD01_20" localSheetId="7">#REF!</definedName>
    <definedName name="BD01_20" localSheetId="5">#REF!</definedName>
    <definedName name="BD01_20" localSheetId="2">#REF!</definedName>
    <definedName name="BD01_20" localSheetId="6">#REF!</definedName>
    <definedName name="BD01_20">#REF!</definedName>
    <definedName name="BD01_20_2" localSheetId="4">#REF!</definedName>
    <definedName name="BD01_20_2" localSheetId="7">#REF!</definedName>
    <definedName name="BD01_20_2" localSheetId="5">#REF!</definedName>
    <definedName name="BD01_20_2" localSheetId="2">#REF!</definedName>
    <definedName name="BD01_20_2" localSheetId="6">#REF!</definedName>
    <definedName name="BD01_20_2">#REF!</definedName>
    <definedName name="BD1_9" localSheetId="4">#REF!</definedName>
    <definedName name="BD1_9" localSheetId="7">#REF!</definedName>
    <definedName name="BD1_9" localSheetId="5">#REF!</definedName>
    <definedName name="BD1_9" localSheetId="2">#REF!</definedName>
    <definedName name="BD1_9" localSheetId="6">#REF!</definedName>
    <definedName name="BD1_9">#REF!</definedName>
    <definedName name="BD1_9_2" localSheetId="4">#REF!</definedName>
    <definedName name="BD1_9_2" localSheetId="7">#REF!</definedName>
    <definedName name="BD1_9_2" localSheetId="5">#REF!</definedName>
    <definedName name="BD1_9_2" localSheetId="2">#REF!</definedName>
    <definedName name="BD1_9_2" localSheetId="6">#REF!</definedName>
    <definedName name="BD1_9_2">#REF!</definedName>
    <definedName name="BD100_900" localSheetId="4">#REF!</definedName>
    <definedName name="BD100_900" localSheetId="7">#REF!</definedName>
    <definedName name="BD100_900" localSheetId="5">#REF!</definedName>
    <definedName name="BD100_900" localSheetId="2">#REF!</definedName>
    <definedName name="BD100_900" localSheetId="6">#REF!</definedName>
    <definedName name="BD100_900">#REF!</definedName>
    <definedName name="BD100_900_2" localSheetId="4">#REF!</definedName>
    <definedName name="BD100_900_2" localSheetId="7">#REF!</definedName>
    <definedName name="BD100_900_2" localSheetId="5">#REF!</definedName>
    <definedName name="BD100_900_2" localSheetId="2">#REF!</definedName>
    <definedName name="BD100_900_2" localSheetId="6">#REF!</definedName>
    <definedName name="BD100_900_2">#REF!</definedName>
    <definedName name="BD20_90" localSheetId="4">#REF!</definedName>
    <definedName name="BD20_90" localSheetId="7">#REF!</definedName>
    <definedName name="BD20_90" localSheetId="5">#REF!</definedName>
    <definedName name="BD20_90" localSheetId="2">#REF!</definedName>
    <definedName name="BD20_90" localSheetId="6">#REF!</definedName>
    <definedName name="BD20_90">#REF!</definedName>
    <definedName name="BD20_90_2" localSheetId="4">#REF!</definedName>
    <definedName name="BD20_90_2" localSheetId="7">#REF!</definedName>
    <definedName name="BD20_90_2" localSheetId="5">#REF!</definedName>
    <definedName name="BD20_90_2" localSheetId="2">#REF!</definedName>
    <definedName name="BD20_90_2" localSheetId="6">#REF!</definedName>
    <definedName name="BD20_90_2">#REF!</definedName>
    <definedName name="BDI" localSheetId="4">#REF!</definedName>
    <definedName name="BDI" localSheetId="7">#REF!</definedName>
    <definedName name="BDI" localSheetId="5">#REF!</definedName>
    <definedName name="BDI" localSheetId="2">#REF!</definedName>
    <definedName name="BDI" localSheetId="6">#REF!</definedName>
    <definedName name="BDI">#REF!</definedName>
    <definedName name="BDI_3" localSheetId="4">#REF!</definedName>
    <definedName name="BDI_3" localSheetId="7">#REF!</definedName>
    <definedName name="BDI_3" localSheetId="1">#REF!</definedName>
    <definedName name="BDI_3" localSheetId="5">#REF!</definedName>
    <definedName name="BDI_3" localSheetId="2">#REF!</definedName>
    <definedName name="BDI_3" localSheetId="6">#REF!</definedName>
    <definedName name="BDI_3">#REF!</definedName>
    <definedName name="BDI_A" localSheetId="4">#REF!</definedName>
    <definedName name="BDI_A" localSheetId="7">#REF!</definedName>
    <definedName name="BDI_A" localSheetId="5">#REF!</definedName>
    <definedName name="BDI_A" localSheetId="2">#REF!</definedName>
    <definedName name="BDI_A" localSheetId="6">#REF!</definedName>
    <definedName name="BDI_A">#REF!</definedName>
    <definedName name="BDI_B" localSheetId="4">#REF!</definedName>
    <definedName name="BDI_B" localSheetId="7">#REF!</definedName>
    <definedName name="BDI_B" localSheetId="5">#REF!</definedName>
    <definedName name="BDI_B" localSheetId="2">#REF!</definedName>
    <definedName name="BDI_B" localSheetId="6">#REF!</definedName>
    <definedName name="BDI_B">#REF!</definedName>
    <definedName name="BERCO" localSheetId="4">#REF!</definedName>
    <definedName name="BERCO" localSheetId="7">#REF!</definedName>
    <definedName name="BERCO" localSheetId="5">#REF!</definedName>
    <definedName name="BERCO" localSheetId="2">#REF!</definedName>
    <definedName name="BERCO" localSheetId="6">#REF!</definedName>
    <definedName name="BERCO">#REF!</definedName>
    <definedName name="BERCO_2" localSheetId="4">#REF!</definedName>
    <definedName name="BERCO_2" localSheetId="7">#REF!</definedName>
    <definedName name="BERCO_2" localSheetId="5">#REF!</definedName>
    <definedName name="BERCO_2" localSheetId="2">#REF!</definedName>
    <definedName name="BERCO_2" localSheetId="6">#REF!</definedName>
    <definedName name="BERCO_2">#REF!</definedName>
    <definedName name="BG" localSheetId="4">#REF!</definedName>
    <definedName name="BG" localSheetId="7">#REF!</definedName>
    <definedName name="BG" localSheetId="5">#REF!</definedName>
    <definedName name="BG" localSheetId="2">#REF!</definedName>
    <definedName name="BG" localSheetId="6">#REF!</definedName>
    <definedName name="BG">#REF!</definedName>
    <definedName name="bloco" localSheetId="4">#REF!</definedName>
    <definedName name="bloco" localSheetId="7">#REF!</definedName>
    <definedName name="bloco" localSheetId="5">#REF!</definedName>
    <definedName name="bloco" localSheetId="2">#REF!</definedName>
    <definedName name="bloco" localSheetId="6">#REF!</definedName>
    <definedName name="bloco">#REF!</definedName>
    <definedName name="BLOCOS" localSheetId="4" hidden="1">{#N/A,#N/A,FALSE,"Plan1"}</definedName>
    <definedName name="BLOCOS" localSheetId="3" hidden="1">{#N/A,#N/A,FALSE,"Plan1"}</definedName>
    <definedName name="BLOCOS" localSheetId="7" hidden="1">{#N/A,#N/A,FALSE,"Plan1"}</definedName>
    <definedName name="BLOCOS" localSheetId="1" hidden="1">{#N/A,#N/A,FALSE,"Plan1"}</definedName>
    <definedName name="BLOCOS" localSheetId="5" hidden="1">{#N/A,#N/A,FALSE,"Plan1"}</definedName>
    <definedName name="BLOCOS" localSheetId="2" hidden="1">{#N/A,#N/A,FALSE,"Plan1"}</definedName>
    <definedName name="BLOCOS" localSheetId="6" hidden="1">{#N/A,#N/A,FALSE,"Plan1"}</definedName>
    <definedName name="BLOCOS" hidden="1">{#N/A,#N/A,FALSE,"Plan1"}</definedName>
    <definedName name="BSTC" localSheetId="4">#REF!</definedName>
    <definedName name="BSTC" localSheetId="7">#REF!</definedName>
    <definedName name="BSTC" localSheetId="1">#REF!</definedName>
    <definedName name="BSTC" localSheetId="5">#REF!</definedName>
    <definedName name="BSTC" localSheetId="2">#REF!</definedName>
    <definedName name="BSTC" localSheetId="6">#REF!</definedName>
    <definedName name="BSTC">#REF!</definedName>
    <definedName name="BT__1" localSheetId="4">#REF!</definedName>
    <definedName name="BT__1" localSheetId="7">#REF!</definedName>
    <definedName name="BT__1" localSheetId="5">#REF!</definedName>
    <definedName name="BT__1" localSheetId="2">#REF!</definedName>
    <definedName name="BT__1" localSheetId="6">#REF!</definedName>
    <definedName name="BT__1">#REF!</definedName>
    <definedName name="BT__1_2" localSheetId="4">#REF!</definedName>
    <definedName name="BT__1_2" localSheetId="7">#REF!</definedName>
    <definedName name="BT__1_2" localSheetId="5">#REF!</definedName>
    <definedName name="BT__1_2" localSheetId="2">#REF!</definedName>
    <definedName name="BT__1_2" localSheetId="6">#REF!</definedName>
    <definedName name="BT__1_2">#REF!</definedName>
    <definedName name="BT_AOES" localSheetId="4">#REF!</definedName>
    <definedName name="BT_AOES" localSheetId="7">#REF!</definedName>
    <definedName name="BT_AOES" localSheetId="5">#REF!</definedName>
    <definedName name="BT_AOES" localSheetId="2">#REF!</definedName>
    <definedName name="BT_AOES" localSheetId="6">#REF!</definedName>
    <definedName name="BT_AOES">#REF!</definedName>
    <definedName name="BT_AOES_2" localSheetId="4">#REF!</definedName>
    <definedName name="BT_AOES_2" localSheetId="7">#REF!</definedName>
    <definedName name="BT_AOES_2" localSheetId="5">#REF!</definedName>
    <definedName name="BT_AOES_2" localSheetId="2">#REF!</definedName>
    <definedName name="BT_AOES_2" localSheetId="6">#REF!</definedName>
    <definedName name="BT_AOES_2">#REF!</definedName>
    <definedName name="BT_BLH" localSheetId="4">#REF!</definedName>
    <definedName name="BT_BLH" localSheetId="7">#REF!</definedName>
    <definedName name="BT_BLH" localSheetId="5">#REF!</definedName>
    <definedName name="BT_BLH" localSheetId="2">#REF!</definedName>
    <definedName name="BT_BLH" localSheetId="6">#REF!</definedName>
    <definedName name="BT_BLH">#REF!</definedName>
    <definedName name="BT_BLH_2" localSheetId="4">#REF!</definedName>
    <definedName name="BT_BLH_2" localSheetId="7">#REF!</definedName>
    <definedName name="BT_BLH_2" localSheetId="5">#REF!</definedName>
    <definedName name="BT_BLH_2" localSheetId="2">#REF!</definedName>
    <definedName name="BT_BLH_2" localSheetId="6">#REF!</definedName>
    <definedName name="BT_BLH_2">#REF!</definedName>
    <definedName name="BT_CEM" localSheetId="4">#REF!</definedName>
    <definedName name="BT_CEM" localSheetId="7">#REF!</definedName>
    <definedName name="BT_CEM" localSheetId="5">#REF!</definedName>
    <definedName name="BT_CEM" localSheetId="2">#REF!</definedName>
    <definedName name="BT_CEM" localSheetId="6">#REF!</definedName>
    <definedName name="BT_CEM">#REF!</definedName>
    <definedName name="BT_CEM_2" localSheetId="4">#REF!</definedName>
    <definedName name="BT_CEM_2" localSheetId="7">#REF!</definedName>
    <definedName name="BT_CEM_2" localSheetId="5">#REF!</definedName>
    <definedName name="BT_CEM_2" localSheetId="2">#REF!</definedName>
    <definedName name="BT_CEM_2" localSheetId="6">#REF!</definedName>
    <definedName name="BT_CEM_2">#REF!</definedName>
    <definedName name="BT_CTAVO" localSheetId="4">#REF!</definedName>
    <definedName name="BT_CTAVO" localSheetId="7">#REF!</definedName>
    <definedName name="BT_CTAVO" localSheetId="5">#REF!</definedName>
    <definedName name="BT_CTAVO" localSheetId="2">#REF!</definedName>
    <definedName name="BT_CTAVO" localSheetId="6">#REF!</definedName>
    <definedName name="BT_CTAVO">#REF!</definedName>
    <definedName name="BT_CTAVO_2" localSheetId="4">#REF!</definedName>
    <definedName name="BT_CTAVO_2" localSheetId="7">#REF!</definedName>
    <definedName name="BT_CTAVO_2" localSheetId="5">#REF!</definedName>
    <definedName name="BT_CTAVO_2" localSheetId="2">#REF!</definedName>
    <definedName name="BT_CTAVO_2" localSheetId="6">#REF!</definedName>
    <definedName name="BT_CTAVO_2">#REF!</definedName>
    <definedName name="BT_DE" localSheetId="4">#REF!</definedName>
    <definedName name="BT_DE" localSheetId="7">#REF!</definedName>
    <definedName name="BT_DE" localSheetId="5">#REF!</definedName>
    <definedName name="BT_DE" localSheetId="2">#REF!</definedName>
    <definedName name="BT_DE" localSheetId="6">#REF!</definedName>
    <definedName name="BT_DE">#REF!</definedName>
    <definedName name="BT_DE_2" localSheetId="4">#REF!</definedName>
    <definedName name="BT_DE_2" localSheetId="7">#REF!</definedName>
    <definedName name="BT_DE_2" localSheetId="5">#REF!</definedName>
    <definedName name="BT_DE_2" localSheetId="2">#REF!</definedName>
    <definedName name="BT_DE_2" localSheetId="6">#REF!</definedName>
    <definedName name="BT_DE_2">#REF!</definedName>
    <definedName name="BT_E" localSheetId="4">#REF!</definedName>
    <definedName name="BT_E" localSheetId="7">#REF!</definedName>
    <definedName name="BT_E" localSheetId="5">#REF!</definedName>
    <definedName name="BT_E" localSheetId="2">#REF!</definedName>
    <definedName name="BT_E" localSheetId="6">#REF!</definedName>
    <definedName name="BT_E">#REF!</definedName>
    <definedName name="BT_E_2" localSheetId="4">#REF!</definedName>
    <definedName name="BT_E_2" localSheetId="7">#REF!</definedName>
    <definedName name="BT_E_2" localSheetId="5">#REF!</definedName>
    <definedName name="BT_E_2" localSheetId="2">#REF!</definedName>
    <definedName name="BT_E_2" localSheetId="6">#REF!</definedName>
    <definedName name="BT_E_2">#REF!</definedName>
    <definedName name="BT_EVG" localSheetId="4">#REF!</definedName>
    <definedName name="BT_EVG" localSheetId="7">#REF!</definedName>
    <definedName name="BT_EVG" localSheetId="5">#REF!</definedName>
    <definedName name="BT_EVG" localSheetId="2">#REF!</definedName>
    <definedName name="BT_EVG" localSheetId="6">#REF!</definedName>
    <definedName name="BT_EVG">#REF!</definedName>
    <definedName name="BT_EVG_2" localSheetId="4">#REF!</definedName>
    <definedName name="BT_EVG_2" localSheetId="7">#REF!</definedName>
    <definedName name="BT_EVG_2" localSheetId="5">#REF!</definedName>
    <definedName name="BT_EVG_2" localSheetId="2">#REF!</definedName>
    <definedName name="BT_EVG_2" localSheetId="6">#REF!</definedName>
    <definedName name="BT_EVG_2">#REF!</definedName>
    <definedName name="BT_MDA" localSheetId="4">#REF!</definedName>
    <definedName name="BT_MDA" localSheetId="7">#REF!</definedName>
    <definedName name="BT_MDA" localSheetId="5">#REF!</definedName>
    <definedName name="BT_MDA" localSheetId="2">#REF!</definedName>
    <definedName name="BT_MDA" localSheetId="6">#REF!</definedName>
    <definedName name="BT_MDA">#REF!</definedName>
    <definedName name="BT_MDA_2" localSheetId="4">#REF!</definedName>
    <definedName name="BT_MDA_2" localSheetId="7">#REF!</definedName>
    <definedName name="BT_MDA_2" localSheetId="5">#REF!</definedName>
    <definedName name="BT_MDA_2" localSheetId="2">#REF!</definedName>
    <definedName name="BT_MDA_2" localSheetId="6">#REF!</definedName>
    <definedName name="BT_MDA_2">#REF!</definedName>
    <definedName name="BT_MIL" localSheetId="4">#REF!</definedName>
    <definedName name="BT_MIL" localSheetId="7">#REF!</definedName>
    <definedName name="BT_MIL" localSheetId="5">#REF!</definedName>
    <definedName name="BT_MIL" localSheetId="2">#REF!</definedName>
    <definedName name="BT_MIL" localSheetId="6">#REF!</definedName>
    <definedName name="BT_MIL">#REF!</definedName>
    <definedName name="BT_MIL_2" localSheetId="4">#REF!</definedName>
    <definedName name="BT_MIL_2" localSheetId="7">#REF!</definedName>
    <definedName name="BT_MIL_2" localSheetId="5">#REF!</definedName>
    <definedName name="BT_MIL_2" localSheetId="2">#REF!</definedName>
    <definedName name="BT_MIL_2" localSheetId="6">#REF!</definedName>
    <definedName name="BT_MIL_2">#REF!</definedName>
    <definedName name="BT_MLH" localSheetId="4">#REF!</definedName>
    <definedName name="BT_MLH" localSheetId="7">#REF!</definedName>
    <definedName name="BT_MLH" localSheetId="5">#REF!</definedName>
    <definedName name="BT_MLH" localSheetId="2">#REF!</definedName>
    <definedName name="BT_MLH" localSheetId="6">#REF!</definedName>
    <definedName name="BT_MLH">#REF!</definedName>
    <definedName name="BT_MLH_2" localSheetId="4">#REF!</definedName>
    <definedName name="BT_MLH_2" localSheetId="7">#REF!</definedName>
    <definedName name="BT_MLH_2" localSheetId="5">#REF!</definedName>
    <definedName name="BT_MLH_2" localSheetId="2">#REF!</definedName>
    <definedName name="BT_MLH_2" localSheetId="6">#REF!</definedName>
    <definedName name="BT_MLH_2">#REF!</definedName>
    <definedName name="BT_VG" localSheetId="4">#REF!</definedName>
    <definedName name="BT_VG" localSheetId="7">#REF!</definedName>
    <definedName name="BT_VG" localSheetId="5">#REF!</definedName>
    <definedName name="BT_VG" localSheetId="2">#REF!</definedName>
    <definedName name="BT_VG" localSheetId="6">#REF!</definedName>
    <definedName name="BT_VG">#REF!</definedName>
    <definedName name="BT_VG_2" localSheetId="4">#REF!</definedName>
    <definedName name="BT_VG_2" localSheetId="7">#REF!</definedName>
    <definedName name="BT_VG_2" localSheetId="5">#REF!</definedName>
    <definedName name="BT_VG_2" localSheetId="2">#REF!</definedName>
    <definedName name="BT_VG_2" localSheetId="6">#REF!</definedName>
    <definedName name="BT_VG_2">#REF!</definedName>
    <definedName name="Bueiros" localSheetId="4">#REF!</definedName>
    <definedName name="Bueiros" localSheetId="7">#REF!</definedName>
    <definedName name="Bueiros" localSheetId="5">#REF!</definedName>
    <definedName name="Bueiros" localSheetId="2">#REF!</definedName>
    <definedName name="Bueiros" localSheetId="6">#REF!</definedName>
    <definedName name="Bueiros">#REF!</definedName>
    <definedName name="Button_3">"Monitoramento_de_OAC_Caixas_de_ligação_Reg_I_Lista"</definedName>
    <definedName name="Button_4">"Monitoramento_de_OAC_Caixas_de_ligação_Reg_I_Lista"</definedName>
    <definedName name="BVC" localSheetId="0">#REF!</definedName>
    <definedName name="BVC" localSheetId="4">#REF!</definedName>
    <definedName name="BVC" localSheetId="7">#REF!</definedName>
    <definedName name="BVC" localSheetId="5">#REF!</definedName>
    <definedName name="BVC" localSheetId="2">#REF!</definedName>
    <definedName name="BVC" localSheetId="6">#REF!</definedName>
    <definedName name="BVC">#REF!</definedName>
    <definedName name="c_bueiros" localSheetId="4">#REF!</definedName>
    <definedName name="c_bueiros" localSheetId="7">#REF!</definedName>
    <definedName name="c_bueiros" localSheetId="5">#REF!</definedName>
    <definedName name="c_bueiros" localSheetId="2">#REF!</definedName>
    <definedName name="c_bueiros" localSheetId="6">#REF!</definedName>
    <definedName name="c_bueiros">#REF!</definedName>
    <definedName name="C_Ser._Alinh." localSheetId="0">#REF!</definedName>
    <definedName name="C_Ser._Alinh." localSheetId="4">#REF!</definedName>
    <definedName name="C_Ser._Alinh." localSheetId="7">#REF!</definedName>
    <definedName name="C_Ser._Alinh." localSheetId="1">#REF!</definedName>
    <definedName name="C_Ser._Alinh." localSheetId="5">#REF!</definedName>
    <definedName name="C_Ser._Alinh." localSheetId="2">#REF!</definedName>
    <definedName name="C_Ser._Alinh." localSheetId="6">#REF!</definedName>
    <definedName name="C_Ser._Alinh.">#REF!</definedName>
    <definedName name="CABECA" localSheetId="4">#REF!</definedName>
    <definedName name="CABECA" localSheetId="7">#REF!</definedName>
    <definedName name="CABECA" localSheetId="5">#REF!</definedName>
    <definedName name="CABECA" localSheetId="2">#REF!</definedName>
    <definedName name="CABECA" localSheetId="6">#REF!</definedName>
    <definedName name="CABECA">#REF!</definedName>
    <definedName name="camargo" localSheetId="4">#REF!</definedName>
    <definedName name="camargo" localSheetId="7">#REF!</definedName>
    <definedName name="camargo" localSheetId="5">#REF!</definedName>
    <definedName name="camargo" localSheetId="2">#REF!</definedName>
    <definedName name="camargo" localSheetId="6">#REF!</definedName>
    <definedName name="camargo">#REF!</definedName>
    <definedName name="cancelar" localSheetId="4" hidden="1">{#N/A,#N/A,FALSE,"Plan1"}</definedName>
    <definedName name="cancelar" localSheetId="3" hidden="1">{#N/A,#N/A,FALSE,"Plan1"}</definedName>
    <definedName name="cancelar" localSheetId="7" hidden="1">{#N/A,#N/A,FALSE,"Plan1"}</definedName>
    <definedName name="cancelar" localSheetId="1" hidden="1">{#N/A,#N/A,FALSE,"Plan1"}</definedName>
    <definedName name="cancelar" localSheetId="5" hidden="1">{#N/A,#N/A,FALSE,"Plan1"}</definedName>
    <definedName name="cancelar" localSheetId="2" hidden="1">{#N/A,#N/A,FALSE,"Plan1"}</definedName>
    <definedName name="cancelar" localSheetId="6" hidden="1">{#N/A,#N/A,FALSE,"Plan1"}</definedName>
    <definedName name="cancelar" hidden="1">{#N/A,#N/A,FALSE,"Plan1"}</definedName>
    <definedName name="cancelar10" localSheetId="4" hidden="1">{#N/A,#N/A,FALSE,"Plan1"}</definedName>
    <definedName name="cancelar10" localSheetId="3" hidden="1">{#N/A,#N/A,FALSE,"Plan1"}</definedName>
    <definedName name="cancelar10" localSheetId="7" hidden="1">{#N/A,#N/A,FALSE,"Plan1"}</definedName>
    <definedName name="cancelar10" localSheetId="1" hidden="1">{#N/A,#N/A,FALSE,"Plan1"}</definedName>
    <definedName name="cancelar10" localSheetId="5" hidden="1">{#N/A,#N/A,FALSE,"Plan1"}</definedName>
    <definedName name="cancelar10" localSheetId="2" hidden="1">{#N/A,#N/A,FALSE,"Plan1"}</definedName>
    <definedName name="cancelar10" localSheetId="6" hidden="1">{#N/A,#N/A,FALSE,"Plan1"}</definedName>
    <definedName name="cancelar10" hidden="1">{#N/A,#N/A,FALSE,"Plan1"}</definedName>
    <definedName name="cancelar12" localSheetId="4" hidden="1">{#N/A,#N/A,FALSE,"CPV";#N/A,#N/A,FALSE,"Pareto";#N/A,#N/A,FALSE,"Gráficos"}</definedName>
    <definedName name="cancelar12" localSheetId="3" hidden="1">{#N/A,#N/A,FALSE,"CPV";#N/A,#N/A,FALSE,"Pareto";#N/A,#N/A,FALSE,"Gráficos"}</definedName>
    <definedName name="cancelar12" localSheetId="7" hidden="1">{#N/A,#N/A,FALSE,"CPV";#N/A,#N/A,FALSE,"Pareto";#N/A,#N/A,FALSE,"Gráficos"}</definedName>
    <definedName name="cancelar12" localSheetId="1" hidden="1">{#N/A,#N/A,FALSE,"CPV";#N/A,#N/A,FALSE,"Pareto";#N/A,#N/A,FALSE,"Gráficos"}</definedName>
    <definedName name="cancelar12" localSheetId="5" hidden="1">{#N/A,#N/A,FALSE,"CPV";#N/A,#N/A,FALSE,"Pareto";#N/A,#N/A,FALSE,"Gráficos"}</definedName>
    <definedName name="cancelar12" localSheetId="2" hidden="1">{#N/A,#N/A,FALSE,"CPV";#N/A,#N/A,FALSE,"Pareto";#N/A,#N/A,FALSE,"Gráficos"}</definedName>
    <definedName name="cancelar12" localSheetId="6" hidden="1">{#N/A,#N/A,FALSE,"CPV";#N/A,#N/A,FALSE,"Pareto";#N/A,#N/A,FALSE,"Gráficos"}</definedName>
    <definedName name="cancelar12" hidden="1">{#N/A,#N/A,FALSE,"CPV";#N/A,#N/A,FALSE,"Pareto";#N/A,#N/A,FALSE,"Gráficos"}</definedName>
    <definedName name="cancelar13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ncelar13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ncelar13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ncelar1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ncelar13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ncelar1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ncelar13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ncelar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ncelar2" localSheetId="4" hidden="1">{#N/A,#N/A,FALSE,"Plan1"}</definedName>
    <definedName name="cancelar2" localSheetId="3" hidden="1">{#N/A,#N/A,FALSE,"Plan1"}</definedName>
    <definedName name="cancelar2" localSheetId="7" hidden="1">{#N/A,#N/A,FALSE,"Plan1"}</definedName>
    <definedName name="cancelar2" localSheetId="1" hidden="1">{#N/A,#N/A,FALSE,"Plan1"}</definedName>
    <definedName name="cancelar2" localSheetId="5" hidden="1">{#N/A,#N/A,FALSE,"Plan1"}</definedName>
    <definedName name="cancelar2" localSheetId="2" hidden="1">{#N/A,#N/A,FALSE,"Plan1"}</definedName>
    <definedName name="cancelar2" localSheetId="6" hidden="1">{#N/A,#N/A,FALSE,"Plan1"}</definedName>
    <definedName name="cancelar2" hidden="1">{#N/A,#N/A,FALSE,"Plan1"}</definedName>
    <definedName name="cancelar3" localSheetId="4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cancelar3" localSheetId="3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cancelar3" localSheetId="7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cancelar3" localSheetId="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cancelar3" localSheetId="5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cancelar3" localSheetId="2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cancelar3" localSheetId="6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cancelar3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cancelar4" localSheetId="4" hidden="1">{#N/A,#N/A,FALSE,"Plan1"}</definedName>
    <definedName name="cancelar4" localSheetId="3" hidden="1">{#N/A,#N/A,FALSE,"Plan1"}</definedName>
    <definedName name="cancelar4" localSheetId="7" hidden="1">{#N/A,#N/A,FALSE,"Plan1"}</definedName>
    <definedName name="cancelar4" localSheetId="1" hidden="1">{#N/A,#N/A,FALSE,"Plan1"}</definedName>
    <definedName name="cancelar4" localSheetId="5" hidden="1">{#N/A,#N/A,FALSE,"Plan1"}</definedName>
    <definedName name="cancelar4" localSheetId="2" hidden="1">{#N/A,#N/A,FALSE,"Plan1"}</definedName>
    <definedName name="cancelar4" localSheetId="6" hidden="1">{#N/A,#N/A,FALSE,"Plan1"}</definedName>
    <definedName name="cancelar4" hidden="1">{#N/A,#N/A,FALSE,"Plan1"}</definedName>
    <definedName name="cancelar5" localSheetId="4" hidden="1">{#N/A,#N/A,FALSE,"Plan1"}</definedName>
    <definedName name="cancelar5" localSheetId="3" hidden="1">{#N/A,#N/A,FALSE,"Plan1"}</definedName>
    <definedName name="cancelar5" localSheetId="7" hidden="1">{#N/A,#N/A,FALSE,"Plan1"}</definedName>
    <definedName name="cancelar5" localSheetId="1" hidden="1">{#N/A,#N/A,FALSE,"Plan1"}</definedName>
    <definedName name="cancelar5" localSheetId="5" hidden="1">{#N/A,#N/A,FALSE,"Plan1"}</definedName>
    <definedName name="cancelar5" localSheetId="2" hidden="1">{#N/A,#N/A,FALSE,"Plan1"}</definedName>
    <definedName name="cancelar5" localSheetId="6" hidden="1">{#N/A,#N/A,FALSE,"Plan1"}</definedName>
    <definedName name="cancelar5" hidden="1">{#N/A,#N/A,FALSE,"Plan1"}</definedName>
    <definedName name="cancelar6" localSheetId="4" hidden="1">{#N/A,#N/A,FALSE,"Plan1"}</definedName>
    <definedName name="cancelar6" localSheetId="3" hidden="1">{#N/A,#N/A,FALSE,"Plan1"}</definedName>
    <definedName name="cancelar6" localSheetId="7" hidden="1">{#N/A,#N/A,FALSE,"Plan1"}</definedName>
    <definedName name="cancelar6" localSheetId="1" hidden="1">{#N/A,#N/A,FALSE,"Plan1"}</definedName>
    <definedName name="cancelar6" localSheetId="5" hidden="1">{#N/A,#N/A,FALSE,"Plan1"}</definedName>
    <definedName name="cancelar6" localSheetId="2" hidden="1">{#N/A,#N/A,FALSE,"Plan1"}</definedName>
    <definedName name="cancelar6" localSheetId="6" hidden="1">{#N/A,#N/A,FALSE,"Plan1"}</definedName>
    <definedName name="cancelar6" hidden="1">{#N/A,#N/A,FALSE,"Plan1"}</definedName>
    <definedName name="cancelar7" localSheetId="4" hidden="1">{#N/A,#N/A,FALSE,"Plan1"}</definedName>
    <definedName name="cancelar7" localSheetId="3" hidden="1">{#N/A,#N/A,FALSE,"Plan1"}</definedName>
    <definedName name="cancelar7" localSheetId="7" hidden="1">{#N/A,#N/A,FALSE,"Plan1"}</definedName>
    <definedName name="cancelar7" localSheetId="1" hidden="1">{#N/A,#N/A,FALSE,"Plan1"}</definedName>
    <definedName name="cancelar7" localSheetId="5" hidden="1">{#N/A,#N/A,FALSE,"Plan1"}</definedName>
    <definedName name="cancelar7" localSheetId="2" hidden="1">{#N/A,#N/A,FALSE,"Plan1"}</definedName>
    <definedName name="cancelar7" localSheetId="6" hidden="1">{#N/A,#N/A,FALSE,"Plan1"}</definedName>
    <definedName name="cancelar7" hidden="1">{#N/A,#N/A,FALSE,"Plan1"}</definedName>
    <definedName name="cancenlar9" localSheetId="4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cancenlar9" localSheetId="3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cancenlar9" localSheetId="7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cancenlar9" localSheetId="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cancenlar9" localSheetId="5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cancenlar9" localSheetId="2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cancenlar9" localSheetId="6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cancenlar9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CANT" localSheetId="4">#REF!</definedName>
    <definedName name="CANT" localSheetId="7">#REF!</definedName>
    <definedName name="CANT" localSheetId="5">#REF!</definedName>
    <definedName name="CANT" localSheetId="2">#REF!</definedName>
    <definedName name="CANT" localSheetId="6">#REF!</definedName>
    <definedName name="CANT">#REF!</definedName>
    <definedName name="canteiro_de_obras" localSheetId="4">#REF!</definedName>
    <definedName name="canteiro_de_obras" localSheetId="7">#REF!</definedName>
    <definedName name="canteiro_de_obras" localSheetId="5">#REF!</definedName>
    <definedName name="canteiro_de_obras" localSheetId="2">#REF!</definedName>
    <definedName name="canteiro_de_obras" localSheetId="6">#REF!</definedName>
    <definedName name="canteiro_de_obras">#REF!</definedName>
    <definedName name="canteiro_de_obras_2" localSheetId="4">#REF!</definedName>
    <definedName name="canteiro_de_obras_2" localSheetId="7">#REF!</definedName>
    <definedName name="canteiro_de_obras_2" localSheetId="5">#REF!</definedName>
    <definedName name="canteiro_de_obras_2" localSheetId="2">#REF!</definedName>
    <definedName name="canteiro_de_obras_2" localSheetId="6">#REF!</definedName>
    <definedName name="canteiro_de_obras_2">#REF!</definedName>
    <definedName name="Caract." localSheetId="4">#REF!</definedName>
    <definedName name="Caract." localSheetId="7">#REF!</definedName>
    <definedName name="Caract." localSheetId="1">#REF!</definedName>
    <definedName name="Caract." localSheetId="5">#REF!</definedName>
    <definedName name="Caract." localSheetId="2">#REF!</definedName>
    <definedName name="Caract." localSheetId="6">#REF!</definedName>
    <definedName name="Caract.">#REF!</definedName>
    <definedName name="CARLOS" localSheetId="4">#REF!</definedName>
    <definedName name="CARLOS" localSheetId="7">#REF!</definedName>
    <definedName name="CARLOS" localSheetId="5">#REF!</definedName>
    <definedName name="CARLOS" localSheetId="2">#REF!</definedName>
    <definedName name="CARLOS" localSheetId="6">#REF!</definedName>
    <definedName name="CARLOS">#REF!</definedName>
    <definedName name="CARLOSB" localSheetId="4" hidden="1">{#N/A,#N/A,FALSE,"Plan1"}</definedName>
    <definedName name="CARLOSB" localSheetId="3" hidden="1">{#N/A,#N/A,FALSE,"Plan1"}</definedName>
    <definedName name="CARLOSB" localSheetId="7" hidden="1">{#N/A,#N/A,FALSE,"Plan1"}</definedName>
    <definedName name="CARLOSB" localSheetId="1" hidden="1">{#N/A,#N/A,FALSE,"Plan1"}</definedName>
    <definedName name="CARLOSB" localSheetId="5" hidden="1">{#N/A,#N/A,FALSE,"Plan1"}</definedName>
    <definedName name="CARLOSB" localSheetId="2" hidden="1">{#N/A,#N/A,FALSE,"Plan1"}</definedName>
    <definedName name="CARLOSB" localSheetId="6" hidden="1">{#N/A,#N/A,FALSE,"Plan1"}</definedName>
    <definedName name="CARLOSB" hidden="1">{#N/A,#N/A,FALSE,"Plan1"}</definedName>
    <definedName name="CBU" localSheetId="4">#REF!</definedName>
    <definedName name="CBU" localSheetId="7">#REF!</definedName>
    <definedName name="CBU" localSheetId="5">#REF!</definedName>
    <definedName name="CBU" localSheetId="2">#REF!</definedName>
    <definedName name="CBU" localSheetId="6">#REF!</definedName>
    <definedName name="CBU">#REF!</definedName>
    <definedName name="CBUQB" localSheetId="4">#REF!</definedName>
    <definedName name="CBUQB" localSheetId="7">#REF!</definedName>
    <definedName name="CBUQB" localSheetId="5">#REF!</definedName>
    <definedName name="CBUQB" localSheetId="2">#REF!</definedName>
    <definedName name="CBUQB" localSheetId="6">#REF!</definedName>
    <definedName name="CBUQB">#REF!</definedName>
    <definedName name="ÇÇ" localSheetId="0">#REF!</definedName>
    <definedName name="ÇÇ" localSheetId="4">#REF!</definedName>
    <definedName name="ÇÇ" localSheetId="7">#REF!</definedName>
    <definedName name="ÇÇ" localSheetId="5">#REF!</definedName>
    <definedName name="ÇÇ" localSheetId="2">#REF!</definedName>
    <definedName name="ÇÇ" localSheetId="6">#REF!</definedName>
    <definedName name="ÇÇ">#REF!</definedName>
    <definedName name="CCCCCCCC" localSheetId="4" hidden="1">{#N/A,#N/A,FALSE,"Plan1"}</definedName>
    <definedName name="CCCCCCCC" localSheetId="3" hidden="1">{#N/A,#N/A,FALSE,"Plan1"}</definedName>
    <definedName name="CCCCCCCC" localSheetId="7" hidden="1">{#N/A,#N/A,FALSE,"Plan1"}</definedName>
    <definedName name="CCCCCCCC" localSheetId="1" hidden="1">{#N/A,#N/A,FALSE,"Plan1"}</definedName>
    <definedName name="CCCCCCCC" localSheetId="5" hidden="1">{#N/A,#N/A,FALSE,"Plan1"}</definedName>
    <definedName name="CCCCCCCC" localSheetId="2" hidden="1">{#N/A,#N/A,FALSE,"Plan1"}</definedName>
    <definedName name="CCCCCCCC" localSheetId="6" hidden="1">{#N/A,#N/A,FALSE,"Plan1"}</definedName>
    <definedName name="CCCCCCCC" hidden="1">{#N/A,#N/A,FALSE,"Plan1"}</definedName>
    <definedName name="CERCA" localSheetId="0">#REF!</definedName>
    <definedName name="CERCA" localSheetId="4">#REF!</definedName>
    <definedName name="CERCA" localSheetId="7">#REF!</definedName>
    <definedName name="CERCA" localSheetId="5">#REF!</definedName>
    <definedName name="CERCA" localSheetId="2">#REF!</definedName>
    <definedName name="CERCA" localSheetId="6">#REF!</definedName>
    <definedName name="CERCA">#REF!</definedName>
    <definedName name="çl" localSheetId="0">#REF!</definedName>
    <definedName name="çl" localSheetId="4">#REF!</definedName>
    <definedName name="çl" localSheetId="7">#REF!</definedName>
    <definedName name="çl" localSheetId="5">#REF!</definedName>
    <definedName name="çl" localSheetId="2">#REF!</definedName>
    <definedName name="çl" localSheetId="6">#REF!</definedName>
    <definedName name="çl">#REF!</definedName>
    <definedName name="çl_12" localSheetId="4">#REF!</definedName>
    <definedName name="çl_12" localSheetId="7">#REF!</definedName>
    <definedName name="çl_12" localSheetId="5">#REF!</definedName>
    <definedName name="çl_12" localSheetId="2">#REF!</definedName>
    <definedName name="çl_12" localSheetId="6">#REF!</definedName>
    <definedName name="çl_12">#REF!</definedName>
    <definedName name="çl_13" localSheetId="4">#REF!</definedName>
    <definedName name="çl_13" localSheetId="7">#REF!</definedName>
    <definedName name="çl_13" localSheetId="5">#REF!</definedName>
    <definedName name="çl_13" localSheetId="2">#REF!</definedName>
    <definedName name="çl_13" localSheetId="6">#REF!</definedName>
    <definedName name="çl_13">#REF!</definedName>
    <definedName name="çl_19" localSheetId="4">#REF!</definedName>
    <definedName name="çl_19" localSheetId="7">#REF!</definedName>
    <definedName name="çl_19" localSheetId="5">#REF!</definedName>
    <definedName name="çl_19" localSheetId="2">#REF!</definedName>
    <definedName name="çl_19" localSheetId="6">#REF!</definedName>
    <definedName name="çl_19">#REF!</definedName>
    <definedName name="çl_2" localSheetId="4">#REF!</definedName>
    <definedName name="çl_2" localSheetId="7">#REF!</definedName>
    <definedName name="çl_2" localSheetId="5">#REF!</definedName>
    <definedName name="çl_2" localSheetId="2">#REF!</definedName>
    <definedName name="çl_2" localSheetId="6">#REF!</definedName>
    <definedName name="çl_2">#REF!</definedName>
    <definedName name="çl_20" localSheetId="4">#REF!</definedName>
    <definedName name="çl_20" localSheetId="7">#REF!</definedName>
    <definedName name="çl_20" localSheetId="5">#REF!</definedName>
    <definedName name="çl_20" localSheetId="2">#REF!</definedName>
    <definedName name="çl_20" localSheetId="6">#REF!</definedName>
    <definedName name="çl_20">#REF!</definedName>
    <definedName name="çl_24" localSheetId="4">#REF!</definedName>
    <definedName name="çl_24" localSheetId="7">#REF!</definedName>
    <definedName name="çl_24" localSheetId="5">#REF!</definedName>
    <definedName name="çl_24" localSheetId="2">#REF!</definedName>
    <definedName name="çl_24" localSheetId="6">#REF!</definedName>
    <definedName name="çl_24">#REF!</definedName>
    <definedName name="çl_25" localSheetId="4">#REF!</definedName>
    <definedName name="çl_25" localSheetId="7">#REF!</definedName>
    <definedName name="çl_25" localSheetId="5">#REF!</definedName>
    <definedName name="çl_25" localSheetId="2">#REF!</definedName>
    <definedName name="çl_25" localSheetId="6">#REF!</definedName>
    <definedName name="çl_25">#REF!</definedName>
    <definedName name="çl_26" localSheetId="4">#REF!</definedName>
    <definedName name="çl_26" localSheetId="7">#REF!</definedName>
    <definedName name="çl_26" localSheetId="5">#REF!</definedName>
    <definedName name="çl_26" localSheetId="2">#REF!</definedName>
    <definedName name="çl_26" localSheetId="6">#REF!</definedName>
    <definedName name="çl_26">#REF!</definedName>
    <definedName name="çl_30" localSheetId="4">#REF!</definedName>
    <definedName name="çl_30" localSheetId="7">#REF!</definedName>
    <definedName name="çl_30" localSheetId="5">#REF!</definedName>
    <definedName name="çl_30" localSheetId="2">#REF!</definedName>
    <definedName name="çl_30" localSheetId="6">#REF!</definedName>
    <definedName name="çl_30">#REF!</definedName>
    <definedName name="çl_31" localSheetId="4">#REF!</definedName>
    <definedName name="çl_31" localSheetId="7">#REF!</definedName>
    <definedName name="çl_31" localSheetId="5">#REF!</definedName>
    <definedName name="çl_31" localSheetId="2">#REF!</definedName>
    <definedName name="çl_31" localSheetId="6">#REF!</definedName>
    <definedName name="çl_31">#REF!</definedName>
    <definedName name="çl_7" localSheetId="4">#REF!</definedName>
    <definedName name="çl_7" localSheetId="7">#REF!</definedName>
    <definedName name="çl_7" localSheetId="5">#REF!</definedName>
    <definedName name="çl_7" localSheetId="2">#REF!</definedName>
    <definedName name="çl_7" localSheetId="6">#REF!</definedName>
    <definedName name="çl_7">#REF!</definedName>
    <definedName name="çl_72" localSheetId="4">#REF!</definedName>
    <definedName name="çl_72" localSheetId="7">#REF!</definedName>
    <definedName name="çl_72" localSheetId="5">#REF!</definedName>
    <definedName name="çl_72" localSheetId="2">#REF!</definedName>
    <definedName name="çl_72" localSheetId="6">#REF!</definedName>
    <definedName name="çl_72">#REF!</definedName>
    <definedName name="çl_78" localSheetId="4">#REF!</definedName>
    <definedName name="çl_78" localSheetId="7">#REF!</definedName>
    <definedName name="çl_78" localSheetId="5">#REF!</definedName>
    <definedName name="çl_78" localSheetId="2">#REF!</definedName>
    <definedName name="çl_78" localSheetId="6">#REF!</definedName>
    <definedName name="çl_78">#REF!</definedName>
    <definedName name="çl_82" localSheetId="4">#REF!</definedName>
    <definedName name="çl_82" localSheetId="7">#REF!</definedName>
    <definedName name="çl_82" localSheetId="5">#REF!</definedName>
    <definedName name="çl_82" localSheetId="2">#REF!</definedName>
    <definedName name="çl_82" localSheetId="6">#REF!</definedName>
    <definedName name="çl_82">#REF!</definedName>
    <definedName name="çl_84" localSheetId="4">#REF!</definedName>
    <definedName name="çl_84" localSheetId="7">#REF!</definedName>
    <definedName name="çl_84" localSheetId="5">#REF!</definedName>
    <definedName name="çl_84" localSheetId="2">#REF!</definedName>
    <definedName name="çl_84" localSheetId="6">#REF!</definedName>
    <definedName name="çl_84">#REF!</definedName>
    <definedName name="çl_88" localSheetId="4">#REF!</definedName>
    <definedName name="çl_88" localSheetId="7">#REF!</definedName>
    <definedName name="çl_88" localSheetId="5">#REF!</definedName>
    <definedName name="çl_88" localSheetId="2">#REF!</definedName>
    <definedName name="çl_88" localSheetId="6">#REF!</definedName>
    <definedName name="çl_88">#REF!</definedName>
    <definedName name="çl_90" localSheetId="4">#REF!</definedName>
    <definedName name="çl_90" localSheetId="7">#REF!</definedName>
    <definedName name="çl_90" localSheetId="5">#REF!</definedName>
    <definedName name="çl_90" localSheetId="2">#REF!</definedName>
    <definedName name="çl_90" localSheetId="6">#REF!</definedName>
    <definedName name="çl_90">#REF!</definedName>
    <definedName name="çl_91" localSheetId="4">#REF!</definedName>
    <definedName name="çl_91" localSheetId="7">#REF!</definedName>
    <definedName name="çl_91" localSheetId="5">#REF!</definedName>
    <definedName name="çl_91" localSheetId="2">#REF!</definedName>
    <definedName name="çl_91" localSheetId="6">#REF!</definedName>
    <definedName name="çl_91">#REF!</definedName>
    <definedName name="çl_92" localSheetId="4">#REF!</definedName>
    <definedName name="çl_92" localSheetId="7">#REF!</definedName>
    <definedName name="çl_92" localSheetId="5">#REF!</definedName>
    <definedName name="çl_92" localSheetId="2">#REF!</definedName>
    <definedName name="çl_92" localSheetId="6">#REF!</definedName>
    <definedName name="çl_92">#REF!</definedName>
    <definedName name="çl_93" localSheetId="4">#REF!</definedName>
    <definedName name="çl_93" localSheetId="7">#REF!</definedName>
    <definedName name="çl_93" localSheetId="5">#REF!</definedName>
    <definedName name="çl_93" localSheetId="2">#REF!</definedName>
    <definedName name="çl_93" localSheetId="6">#REF!</definedName>
    <definedName name="çl_93">#REF!</definedName>
    <definedName name="çl_94" localSheetId="4">#REF!</definedName>
    <definedName name="çl_94" localSheetId="7">#REF!</definedName>
    <definedName name="çl_94" localSheetId="5">#REF!</definedName>
    <definedName name="çl_94" localSheetId="2">#REF!</definedName>
    <definedName name="çl_94" localSheetId="6">#REF!</definedName>
    <definedName name="çl_94">#REF!</definedName>
    <definedName name="cliente" localSheetId="4">#REF!</definedName>
    <definedName name="cliente" localSheetId="7">#REF!</definedName>
    <definedName name="cliente" localSheetId="1">#REF!</definedName>
    <definedName name="cliente" localSheetId="5">#REF!</definedName>
    <definedName name="cliente" localSheetId="2">#REF!</definedName>
    <definedName name="cliente" localSheetId="6">#REF!</definedName>
    <definedName name="cliente">#REF!</definedName>
    <definedName name="CM02PkgDetail" localSheetId="0">#REF!</definedName>
    <definedName name="CM02PkgDetail" localSheetId="4">#REF!</definedName>
    <definedName name="CM02PkgDetail" localSheetId="7">#REF!</definedName>
    <definedName name="CM02PkgDetail" localSheetId="5">#REF!</definedName>
    <definedName name="CM02PkgDetail" localSheetId="2">#REF!</definedName>
    <definedName name="CM02PkgDetail" localSheetId="6">#REF!</definedName>
    <definedName name="CM02PkgDetail">#REF!</definedName>
    <definedName name="COBERTURA">#N/A</definedName>
    <definedName name="cod" localSheetId="4">#REF!</definedName>
    <definedName name="cod" localSheetId="7">#REF!</definedName>
    <definedName name="cod" localSheetId="5">#REF!</definedName>
    <definedName name="cod" localSheetId="2">#REF!</definedName>
    <definedName name="cod" localSheetId="6">#REF!</definedName>
    <definedName name="cod">#REF!</definedName>
    <definedName name="Cód.">"serv"</definedName>
    <definedName name="Cód._Data" localSheetId="0">#REF!</definedName>
    <definedName name="Cód._Data" localSheetId="4">#REF!</definedName>
    <definedName name="Cód._Data" localSheetId="7">#REF!</definedName>
    <definedName name="Cód._Data" localSheetId="1">#REF!</definedName>
    <definedName name="Cód._Data" localSheetId="5">#REF!</definedName>
    <definedName name="Cód._Data" localSheetId="2">#REF!</definedName>
    <definedName name="Cód._Data" localSheetId="6">#REF!</definedName>
    <definedName name="Cód._Data">#REF!</definedName>
    <definedName name="Cód.Soma" localSheetId="0">#REF!</definedName>
    <definedName name="Cód.Soma" localSheetId="4">#REF!</definedName>
    <definedName name="Cód.Soma" localSheetId="7">#REF!</definedName>
    <definedName name="Cód.Soma" localSheetId="1">#REF!</definedName>
    <definedName name="Cód.Soma" localSheetId="5">#REF!</definedName>
    <definedName name="Cód.Soma" localSheetId="2">#REF!</definedName>
    <definedName name="Cód.Soma" localSheetId="6">#REF!</definedName>
    <definedName name="Cód.Soma">#REF!</definedName>
    <definedName name="COD27_1" localSheetId="0">#REF!</definedName>
    <definedName name="COD27_1" localSheetId="4">#REF!</definedName>
    <definedName name="COD27_1" localSheetId="7">#REF!</definedName>
    <definedName name="COD27_1" localSheetId="5">#REF!</definedName>
    <definedName name="COD27_1" localSheetId="2">#REF!</definedName>
    <definedName name="COD27_1" localSheetId="6">#REF!</definedName>
    <definedName name="COD27_1">#REF!</definedName>
    <definedName name="COD30_1" localSheetId="0">#REF!</definedName>
    <definedName name="COD30_1" localSheetId="4">#REF!</definedName>
    <definedName name="COD30_1" localSheetId="7">#REF!</definedName>
    <definedName name="COD30_1" localSheetId="5">#REF!</definedName>
    <definedName name="COD30_1" localSheetId="2">#REF!</definedName>
    <definedName name="COD30_1" localSheetId="6">#REF!</definedName>
    <definedName name="COD30_1">#REF!</definedName>
    <definedName name="COD30_12" localSheetId="0">#REF!</definedName>
    <definedName name="COD30_12" localSheetId="4">#REF!</definedName>
    <definedName name="COD30_12" localSheetId="7">#REF!</definedName>
    <definedName name="COD30_12" localSheetId="5">#REF!</definedName>
    <definedName name="COD30_12" localSheetId="2">#REF!</definedName>
    <definedName name="COD30_12" localSheetId="6">#REF!</definedName>
    <definedName name="COD30_12">#REF!</definedName>
    <definedName name="COD30_V2" localSheetId="0">#REF!</definedName>
    <definedName name="COD30_V2" localSheetId="4">#REF!</definedName>
    <definedName name="COD30_V2" localSheetId="7">#REF!</definedName>
    <definedName name="COD30_V2" localSheetId="5">#REF!</definedName>
    <definedName name="COD30_V2" localSheetId="2">#REF!</definedName>
    <definedName name="COD30_V2" localSheetId="6">#REF!</definedName>
    <definedName name="COD30_V2">#REF!</definedName>
    <definedName name="code" localSheetId="4">#REF!</definedName>
    <definedName name="code" localSheetId="7">#REF!</definedName>
    <definedName name="code" localSheetId="1">#REF!</definedName>
    <definedName name="code" localSheetId="5">#REF!</definedName>
    <definedName name="code" localSheetId="2">#REF!</definedName>
    <definedName name="code" localSheetId="6">#REF!</definedName>
    <definedName name="code">#REF!</definedName>
    <definedName name="CODFASE30" localSheetId="0">#REF!</definedName>
    <definedName name="CODFASE30" localSheetId="4">#REF!</definedName>
    <definedName name="CODFASE30" localSheetId="7">#REF!</definedName>
    <definedName name="CODFASE30" localSheetId="5">#REF!</definedName>
    <definedName name="CODFASE30" localSheetId="2">#REF!</definedName>
    <definedName name="CODFASE30" localSheetId="6">#REF!</definedName>
    <definedName name="CODFASE30">#REF!</definedName>
    <definedName name="código" localSheetId="4">#REF!</definedName>
    <definedName name="código" localSheetId="7">#REF!</definedName>
    <definedName name="código" localSheetId="1">#REF!</definedName>
    <definedName name="código" localSheetId="5">#REF!</definedName>
    <definedName name="código" localSheetId="2">#REF!</definedName>
    <definedName name="código" localSheetId="6">#REF!</definedName>
    <definedName name="código">#REF!</definedName>
    <definedName name="CODIGO21" localSheetId="0">#REF!</definedName>
    <definedName name="CODIGO21" localSheetId="4">#REF!</definedName>
    <definedName name="CODIGO21" localSheetId="7">#REF!</definedName>
    <definedName name="CODIGO21" localSheetId="5">#REF!</definedName>
    <definedName name="CODIGO21" localSheetId="2">#REF!</definedName>
    <definedName name="CODIGO21" localSheetId="6">#REF!</definedName>
    <definedName name="CODIGO21">#REF!</definedName>
    <definedName name="CODIGO22" localSheetId="0">#REF!</definedName>
    <definedName name="CODIGO22" localSheetId="4">#REF!</definedName>
    <definedName name="CODIGO22" localSheetId="7">#REF!</definedName>
    <definedName name="CODIGO22" localSheetId="5">#REF!</definedName>
    <definedName name="CODIGO22" localSheetId="2">#REF!</definedName>
    <definedName name="CODIGO22" localSheetId="6">#REF!</definedName>
    <definedName name="CODIGO22">#REF!</definedName>
    <definedName name="CODIGO23" localSheetId="0">#REF!</definedName>
    <definedName name="CODIGO23" localSheetId="4">#REF!</definedName>
    <definedName name="CODIGO23" localSheetId="7">#REF!</definedName>
    <definedName name="CODIGO23" localSheetId="5">#REF!</definedName>
    <definedName name="CODIGO23" localSheetId="2">#REF!</definedName>
    <definedName name="CODIGO23" localSheetId="6">#REF!</definedName>
    <definedName name="CODIGO23">#REF!</definedName>
    <definedName name="codigo28" localSheetId="0">#REF!</definedName>
    <definedName name="codigo28" localSheetId="4">#REF!</definedName>
    <definedName name="codigo28" localSheetId="7">#REF!</definedName>
    <definedName name="codigo28" localSheetId="5">#REF!</definedName>
    <definedName name="codigo28" localSheetId="2">#REF!</definedName>
    <definedName name="codigo28" localSheetId="6">#REF!</definedName>
    <definedName name="codigo28">#REF!</definedName>
    <definedName name="CODTAREFA" localSheetId="4">#REF!</definedName>
    <definedName name="CODTAREFA" localSheetId="7">#REF!</definedName>
    <definedName name="CODTAREFA" localSheetId="1">#REF!</definedName>
    <definedName name="CODTAREFA" localSheetId="5">#REF!</definedName>
    <definedName name="CODTAREFA" localSheetId="2">#REF!</definedName>
    <definedName name="CODTAREFA" localSheetId="6">#REF!</definedName>
    <definedName name="CODTAREFA">#REF!</definedName>
    <definedName name="coisa" localSheetId="4">#REF!</definedName>
    <definedName name="coisa" localSheetId="7">#REF!</definedName>
    <definedName name="coisa" localSheetId="5">#REF!</definedName>
    <definedName name="coisa" localSheetId="2">#REF!</definedName>
    <definedName name="coisa" localSheetId="6">#REF!</definedName>
    <definedName name="coisa">#REF!</definedName>
    <definedName name="comb" localSheetId="0">#REF!</definedName>
    <definedName name="comb" localSheetId="4">#REF!</definedName>
    <definedName name="comb" localSheetId="7">#REF!</definedName>
    <definedName name="comb" localSheetId="5">#REF!</definedName>
    <definedName name="comb" localSheetId="2">#REF!</definedName>
    <definedName name="comb" localSheetId="6">#REF!</definedName>
    <definedName name="comb">#REF!</definedName>
    <definedName name="comb1" localSheetId="0">#REF!</definedName>
    <definedName name="comb1" localSheetId="4">#REF!</definedName>
    <definedName name="comb1" localSheetId="7">#REF!</definedName>
    <definedName name="comb1" localSheetId="5">#REF!</definedName>
    <definedName name="comb1" localSheetId="2">#REF!</definedName>
    <definedName name="comb1" localSheetId="6">#REF!</definedName>
    <definedName name="comb1">#REF!</definedName>
    <definedName name="Concreto" localSheetId="4">#REF!</definedName>
    <definedName name="Concreto" localSheetId="7">#REF!</definedName>
    <definedName name="Concreto" localSheetId="1">#REF!</definedName>
    <definedName name="Concreto" localSheetId="5">#REF!</definedName>
    <definedName name="Concreto" localSheetId="2">#REF!</definedName>
    <definedName name="Concreto" localSheetId="6">#REF!</definedName>
    <definedName name="Concreto">#REF!</definedName>
    <definedName name="cons" localSheetId="4">#REF!</definedName>
    <definedName name="cons" localSheetId="7">#REF!</definedName>
    <definedName name="cons" localSheetId="5">#REF!</definedName>
    <definedName name="cons" localSheetId="2">#REF!</definedName>
    <definedName name="cons" localSheetId="6">#REF!</definedName>
    <definedName name="cons">#REF!</definedName>
    <definedName name="conservação_de_rotina" localSheetId="4">#REF!</definedName>
    <definedName name="conservação_de_rotina" localSheetId="7">#REF!</definedName>
    <definedName name="conservação_de_rotina" localSheetId="5">#REF!</definedName>
    <definedName name="conservação_de_rotina" localSheetId="2">#REF!</definedName>
    <definedName name="conservação_de_rotina" localSheetId="6">#REF!</definedName>
    <definedName name="conservação_de_rotina">#REF!</definedName>
    <definedName name="conservação_de_rotina_2" localSheetId="4">#REF!</definedName>
    <definedName name="conservação_de_rotina_2" localSheetId="7">#REF!</definedName>
    <definedName name="conservação_de_rotina_2" localSheetId="5">#REF!</definedName>
    <definedName name="conservação_de_rotina_2" localSheetId="2">#REF!</definedName>
    <definedName name="conservação_de_rotina_2" localSheetId="6">#REF!</definedName>
    <definedName name="conservação_de_rotina_2">#REF!</definedName>
    <definedName name="conservação_especial" localSheetId="4">#REF!</definedName>
    <definedName name="conservação_especial" localSheetId="7">#REF!</definedName>
    <definedName name="conservação_especial" localSheetId="5">#REF!</definedName>
    <definedName name="conservação_especial" localSheetId="2">#REF!</definedName>
    <definedName name="conservação_especial" localSheetId="6">#REF!</definedName>
    <definedName name="conservação_especial">#REF!</definedName>
    <definedName name="conservação_especial_2" localSheetId="4">#REF!</definedName>
    <definedName name="conservação_especial_2" localSheetId="7">#REF!</definedName>
    <definedName name="conservação_especial_2" localSheetId="5">#REF!</definedName>
    <definedName name="conservação_especial_2" localSheetId="2">#REF!</definedName>
    <definedName name="conservação_especial_2" localSheetId="6">#REF!</definedName>
    <definedName name="conservação_especial_2">#REF!</definedName>
    <definedName name="conservação_rodoviária" localSheetId="4">#REF!</definedName>
    <definedName name="conservação_rodoviária" localSheetId="7">#REF!</definedName>
    <definedName name="conservação_rodoviária" localSheetId="5">#REF!</definedName>
    <definedName name="conservação_rodoviária" localSheetId="2">#REF!</definedName>
    <definedName name="conservação_rodoviária" localSheetId="6">#REF!</definedName>
    <definedName name="conservação_rodoviária">#REF!</definedName>
    <definedName name="conservação_rodoviária_2" localSheetId="4">#REF!</definedName>
    <definedName name="conservação_rodoviária_2" localSheetId="7">#REF!</definedName>
    <definedName name="conservação_rodoviária_2" localSheetId="5">#REF!</definedName>
    <definedName name="conservação_rodoviária_2" localSheetId="2">#REF!</definedName>
    <definedName name="conservação_rodoviária_2" localSheetId="6">#REF!</definedName>
    <definedName name="conservação_rodoviária_2">#REF!</definedName>
    <definedName name="Consulta_itens_financeiros" localSheetId="4">#REF!</definedName>
    <definedName name="Consulta_itens_financeiros" localSheetId="7">#REF!</definedName>
    <definedName name="Consulta_itens_financeiros" localSheetId="5">#REF!</definedName>
    <definedName name="Consulta_itens_financeiros" localSheetId="2">#REF!</definedName>
    <definedName name="Consulta_itens_financeiros" localSheetId="6">#REF!</definedName>
    <definedName name="Consulta_itens_financeiros">#REF!</definedName>
    <definedName name="CORPO" localSheetId="4">#REF!</definedName>
    <definedName name="CORPO" localSheetId="7">#REF!</definedName>
    <definedName name="CORPO" localSheetId="5">#REF!</definedName>
    <definedName name="CORPO" localSheetId="2">#REF!</definedName>
    <definedName name="CORPO" localSheetId="6">#REF!</definedName>
    <definedName name="CORPO">#REF!</definedName>
    <definedName name="CorreçãoGeométricakm193" localSheetId="4">#REF!</definedName>
    <definedName name="CorreçãoGeométricakm193" localSheetId="7">#REF!</definedName>
    <definedName name="CorreçãoGeométricakm193" localSheetId="5">#REF!</definedName>
    <definedName name="CorreçãoGeométricakm193" localSheetId="2">#REF!</definedName>
    <definedName name="CorreçãoGeométricakm193" localSheetId="6">#REF!</definedName>
    <definedName name="CorreçãoGeométricakm193">#REF!</definedName>
    <definedName name="CPONT" localSheetId="4">#REF!</definedName>
    <definedName name="CPONT" localSheetId="7">#REF!</definedName>
    <definedName name="CPONT" localSheetId="5">#REF!</definedName>
    <definedName name="CPONT" localSheetId="2">#REF!</definedName>
    <definedName name="CPONT" localSheetId="6">#REF!</definedName>
    <definedName name="CPONT">#REF!</definedName>
    <definedName name="CPONT_2" localSheetId="4">#REF!</definedName>
    <definedName name="CPONT_2" localSheetId="7">#REF!</definedName>
    <definedName name="CPONT_2" localSheetId="5">#REF!</definedName>
    <definedName name="CPONT_2" localSheetId="2">#REF!</definedName>
    <definedName name="CPONT_2" localSheetId="6">#REF!</definedName>
    <definedName name="CPONT_2">#REF!</definedName>
    <definedName name="CPUparalelo" localSheetId="4">#REF!</definedName>
    <definedName name="CPUparalelo" localSheetId="7">#REF!</definedName>
    <definedName name="CPUparalelo" localSheetId="5">#REF!</definedName>
    <definedName name="CPUparalelo" localSheetId="2">#REF!</definedName>
    <definedName name="CPUparalelo" localSheetId="6">#REF!</definedName>
    <definedName name="CPUparalelo">#REF!</definedName>
    <definedName name="CPUparalelo_2" localSheetId="4">#REF!</definedName>
    <definedName name="CPUparalelo_2" localSheetId="7">#REF!</definedName>
    <definedName name="CPUparalelo_2" localSheetId="5">#REF!</definedName>
    <definedName name="CPUparalelo_2" localSheetId="2">#REF!</definedName>
    <definedName name="CPUparalelo_2" localSheetId="6">#REF!</definedName>
    <definedName name="CPUparalelo_2">#REF!</definedName>
    <definedName name="_xlnm.Criteria" localSheetId="0">#REF!</definedName>
    <definedName name="_xlnm.Criteria" localSheetId="4">#REF!</definedName>
    <definedName name="_xlnm.Criteria" localSheetId="7">#REF!</definedName>
    <definedName name="_xlnm.Criteria" localSheetId="5">#REF!</definedName>
    <definedName name="_xlnm.Criteria" localSheetId="2">#REF!</definedName>
    <definedName name="_xlnm.Criteria" localSheetId="6">#REF!</definedName>
    <definedName name="_xlnm.Criteria">#REF!</definedName>
    <definedName name="CRITÉRIOS_IM" localSheetId="4">#REF!</definedName>
    <definedName name="CRITÉRIOS_IM" localSheetId="7">#REF!</definedName>
    <definedName name="CRITÉRIOS_IM" localSheetId="5">#REF!</definedName>
    <definedName name="CRITÉRIOS_IM" localSheetId="2">#REF!</definedName>
    <definedName name="CRITÉRIOS_IM" localSheetId="6">#REF!</definedName>
    <definedName name="CRITÉRIOS_IM">#REF!</definedName>
    <definedName name="CRITÉRIOS_IM_13" localSheetId="4">#REF!</definedName>
    <definedName name="CRITÉRIOS_IM_13" localSheetId="7">#REF!</definedName>
    <definedName name="CRITÉRIOS_IM_13" localSheetId="5">#REF!</definedName>
    <definedName name="CRITÉRIOS_IM_13" localSheetId="2">#REF!</definedName>
    <definedName name="CRITÉRIOS_IM_13" localSheetId="6">#REF!</definedName>
    <definedName name="CRITÉRIOS_IM_13">#REF!</definedName>
    <definedName name="CRITÉRIOS_IM_13_2" localSheetId="4">#REF!</definedName>
    <definedName name="CRITÉRIOS_IM_13_2" localSheetId="7">#REF!</definedName>
    <definedName name="CRITÉRIOS_IM_13_2" localSheetId="5">#REF!</definedName>
    <definedName name="CRITÉRIOS_IM_13_2" localSheetId="2">#REF!</definedName>
    <definedName name="CRITÉRIOS_IM_13_2" localSheetId="6">#REF!</definedName>
    <definedName name="CRITÉRIOS_IM_13_2">#REF!</definedName>
    <definedName name="CRITÉRIOS_IM_2" localSheetId="4">#REF!</definedName>
    <definedName name="CRITÉRIOS_IM_2" localSheetId="7">#REF!</definedName>
    <definedName name="CRITÉRIOS_IM_2" localSheetId="5">#REF!</definedName>
    <definedName name="CRITÉRIOS_IM_2" localSheetId="2">#REF!</definedName>
    <definedName name="CRITÉRIOS_IM_2" localSheetId="6">#REF!</definedName>
    <definedName name="CRITÉRIOS_IM_2">#REF!</definedName>
    <definedName name="CRONOGRAMA" localSheetId="0">#REF!</definedName>
    <definedName name="CRONOGRAMA" localSheetId="4">#REF!</definedName>
    <definedName name="CRONOGRAMA" localSheetId="7">#REF!</definedName>
    <definedName name="CRONOGRAMA" localSheetId="5">#REF!</definedName>
    <definedName name="CRONOGRAMA" localSheetId="2">#REF!</definedName>
    <definedName name="CRONOGRAMA" localSheetId="6">#REF!</definedName>
    <definedName name="CRONOGRAMA">#REF!</definedName>
    <definedName name="CTD" localSheetId="4">#REF!</definedName>
    <definedName name="CTD" localSheetId="7">#REF!</definedName>
    <definedName name="CTD" localSheetId="5">#REF!</definedName>
    <definedName name="CTD" localSheetId="2">#REF!</definedName>
    <definedName name="CTD" localSheetId="6">#REF!</definedName>
    <definedName name="CTD">#REF!</definedName>
    <definedName name="CTD_2" localSheetId="4">#REF!</definedName>
    <definedName name="CTD_2" localSheetId="7">#REF!</definedName>
    <definedName name="CTD_2" localSheetId="5">#REF!</definedName>
    <definedName name="CTD_2" localSheetId="2">#REF!</definedName>
    <definedName name="CTD_2" localSheetId="6">#REF!</definedName>
    <definedName name="CTD_2">#REF!</definedName>
    <definedName name="CUSTO" localSheetId="0">#REF!</definedName>
    <definedName name="CUSTO" localSheetId="4">#REF!</definedName>
    <definedName name="CUSTO" localSheetId="7">#REF!</definedName>
    <definedName name="CUSTO" localSheetId="5">#REF!</definedName>
    <definedName name="CUSTO" localSheetId="2">#REF!</definedName>
    <definedName name="CUSTO" localSheetId="6">#REF!</definedName>
    <definedName name="CUSTO">#REF!</definedName>
    <definedName name="d" localSheetId="0">#REF!</definedName>
    <definedName name="d" localSheetId="4">#REF!</definedName>
    <definedName name="d" localSheetId="7">#REF!</definedName>
    <definedName name="d" localSheetId="5">#REF!</definedName>
    <definedName name="d" localSheetId="2">#REF!</definedName>
    <definedName name="d" localSheetId="6">#REF!</definedName>
    <definedName name="d">#REF!</definedName>
    <definedName name="da" localSheetId="0">#REF!</definedName>
    <definedName name="da" localSheetId="4">#REF!</definedName>
    <definedName name="da" localSheetId="7">#REF!</definedName>
    <definedName name="da" localSheetId="5">#REF!</definedName>
    <definedName name="da" localSheetId="2">#REF!</definedName>
    <definedName name="da" localSheetId="6">#REF!</definedName>
    <definedName name="da">#REF!</definedName>
    <definedName name="dadinho" localSheetId="4">#REF!</definedName>
    <definedName name="dadinho" localSheetId="7">#REF!</definedName>
    <definedName name="dadinho" localSheetId="5">#REF!</definedName>
    <definedName name="dadinho" localSheetId="2">#REF!</definedName>
    <definedName name="dadinho" localSheetId="6">#REF!</definedName>
    <definedName name="dadinho">#REF!</definedName>
    <definedName name="DADO2" localSheetId="4">#REF!</definedName>
    <definedName name="DADO2" localSheetId="7">#REF!</definedName>
    <definedName name="DADO2" localSheetId="5">#REF!</definedName>
    <definedName name="DADO2" localSheetId="2">#REF!</definedName>
    <definedName name="DADO2" localSheetId="6">#REF!</definedName>
    <definedName name="DADO2">#REF!</definedName>
    <definedName name="DADOS" localSheetId="0">#REF!</definedName>
    <definedName name="DADOS" localSheetId="4">#REF!</definedName>
    <definedName name="DADOS" localSheetId="7">#REF!</definedName>
    <definedName name="DADOS" localSheetId="5">#REF!</definedName>
    <definedName name="DADOS" localSheetId="2">#REF!</definedName>
    <definedName name="DADOS" localSheetId="6">#REF!</definedName>
    <definedName name="DADOS">#REF!</definedName>
    <definedName name="Dados_Dispos" localSheetId="4">#REF!</definedName>
    <definedName name="Dados_Dispos" localSheetId="7">#REF!</definedName>
    <definedName name="Dados_Dispos" localSheetId="5">#REF!</definedName>
    <definedName name="Dados_Dispos" localSheetId="2">#REF!</definedName>
    <definedName name="Dados_Dispos" localSheetId="6">#REF!</definedName>
    <definedName name="Dados_Dispos">#REF!</definedName>
    <definedName name="danilo" localSheetId="0">#REF!</definedName>
    <definedName name="danilo" localSheetId="4">#REF!</definedName>
    <definedName name="danilo" localSheetId="7">#REF!</definedName>
    <definedName name="danilo" localSheetId="5">#REF!</definedName>
    <definedName name="danilo" localSheetId="2">#REF!</definedName>
    <definedName name="danilo" localSheetId="6">#REF!</definedName>
    <definedName name="danilo">#REF!</definedName>
    <definedName name="danilo1" localSheetId="0">#REF!</definedName>
    <definedName name="danilo1" localSheetId="4">#REF!</definedName>
    <definedName name="danilo1" localSheetId="7">#REF!</definedName>
    <definedName name="danilo1" localSheetId="5">#REF!</definedName>
    <definedName name="danilo1" localSheetId="2">#REF!</definedName>
    <definedName name="danilo1" localSheetId="6">#REF!</definedName>
    <definedName name="danilo1">#REF!</definedName>
    <definedName name="dasd" localSheetId="0">#REF!</definedName>
    <definedName name="dasd" localSheetId="4">#REF!</definedName>
    <definedName name="dasd" localSheetId="7">#REF!</definedName>
    <definedName name="dasd" localSheetId="5">#REF!</definedName>
    <definedName name="dasd" localSheetId="2">#REF!</definedName>
    <definedName name="dasd" localSheetId="6">#REF!</definedName>
    <definedName name="dasd">#REF!</definedName>
    <definedName name="dasd_12" localSheetId="4">#REF!</definedName>
    <definedName name="dasd_12" localSheetId="7">#REF!</definedName>
    <definedName name="dasd_12" localSheetId="5">#REF!</definedName>
    <definedName name="dasd_12" localSheetId="2">#REF!</definedName>
    <definedName name="dasd_12" localSheetId="6">#REF!</definedName>
    <definedName name="dasd_12">#REF!</definedName>
    <definedName name="dasd_13" localSheetId="4">#REF!</definedName>
    <definedName name="dasd_13" localSheetId="7">#REF!</definedName>
    <definedName name="dasd_13" localSheetId="5">#REF!</definedName>
    <definedName name="dasd_13" localSheetId="2">#REF!</definedName>
    <definedName name="dasd_13" localSheetId="6">#REF!</definedName>
    <definedName name="dasd_13">#REF!</definedName>
    <definedName name="dasd_19" localSheetId="4">#REF!</definedName>
    <definedName name="dasd_19" localSheetId="7">#REF!</definedName>
    <definedName name="dasd_19" localSheetId="5">#REF!</definedName>
    <definedName name="dasd_19" localSheetId="2">#REF!</definedName>
    <definedName name="dasd_19" localSheetId="6">#REF!</definedName>
    <definedName name="dasd_19">#REF!</definedName>
    <definedName name="dasd_2" localSheetId="4">#REF!</definedName>
    <definedName name="dasd_2" localSheetId="7">#REF!</definedName>
    <definedName name="dasd_2" localSheetId="5">#REF!</definedName>
    <definedName name="dasd_2" localSheetId="2">#REF!</definedName>
    <definedName name="dasd_2" localSheetId="6">#REF!</definedName>
    <definedName name="dasd_2">#REF!</definedName>
    <definedName name="dasd_20" localSheetId="4">#REF!</definedName>
    <definedName name="dasd_20" localSheetId="7">#REF!</definedName>
    <definedName name="dasd_20" localSheetId="5">#REF!</definedName>
    <definedName name="dasd_20" localSheetId="2">#REF!</definedName>
    <definedName name="dasd_20" localSheetId="6">#REF!</definedName>
    <definedName name="dasd_20">#REF!</definedName>
    <definedName name="dasd_24" localSheetId="4">#REF!</definedName>
    <definedName name="dasd_24" localSheetId="7">#REF!</definedName>
    <definedName name="dasd_24" localSheetId="5">#REF!</definedName>
    <definedName name="dasd_24" localSheetId="2">#REF!</definedName>
    <definedName name="dasd_24" localSheetId="6">#REF!</definedName>
    <definedName name="dasd_24">#REF!</definedName>
    <definedName name="dasd_25" localSheetId="4">#REF!</definedName>
    <definedName name="dasd_25" localSheetId="7">#REF!</definedName>
    <definedName name="dasd_25" localSheetId="5">#REF!</definedName>
    <definedName name="dasd_25" localSheetId="2">#REF!</definedName>
    <definedName name="dasd_25" localSheetId="6">#REF!</definedName>
    <definedName name="dasd_25">#REF!</definedName>
    <definedName name="dasd_26" localSheetId="4">#REF!</definedName>
    <definedName name="dasd_26" localSheetId="7">#REF!</definedName>
    <definedName name="dasd_26" localSheetId="5">#REF!</definedName>
    <definedName name="dasd_26" localSheetId="2">#REF!</definedName>
    <definedName name="dasd_26" localSheetId="6">#REF!</definedName>
    <definedName name="dasd_26">#REF!</definedName>
    <definedName name="dasd_30" localSheetId="4">#REF!</definedName>
    <definedName name="dasd_30" localSheetId="7">#REF!</definedName>
    <definedName name="dasd_30" localSheetId="5">#REF!</definedName>
    <definedName name="dasd_30" localSheetId="2">#REF!</definedName>
    <definedName name="dasd_30" localSheetId="6">#REF!</definedName>
    <definedName name="dasd_30">#REF!</definedName>
    <definedName name="dasd_31" localSheetId="4">#REF!</definedName>
    <definedName name="dasd_31" localSheetId="7">#REF!</definedName>
    <definedName name="dasd_31" localSheetId="5">#REF!</definedName>
    <definedName name="dasd_31" localSheetId="2">#REF!</definedName>
    <definedName name="dasd_31" localSheetId="6">#REF!</definedName>
    <definedName name="dasd_31">#REF!</definedName>
    <definedName name="dasd_5" localSheetId="4">#REF!</definedName>
    <definedName name="dasd_5" localSheetId="7">#REF!</definedName>
    <definedName name="dasd_5" localSheetId="5">#REF!</definedName>
    <definedName name="dasd_5" localSheetId="2">#REF!</definedName>
    <definedName name="dasd_5" localSheetId="6">#REF!</definedName>
    <definedName name="dasd_5">#REF!</definedName>
    <definedName name="dasd_5_2" localSheetId="4">#REF!</definedName>
    <definedName name="dasd_5_2" localSheetId="7">#REF!</definedName>
    <definedName name="dasd_5_2" localSheetId="5">#REF!</definedName>
    <definedName name="dasd_5_2" localSheetId="2">#REF!</definedName>
    <definedName name="dasd_5_2" localSheetId="6">#REF!</definedName>
    <definedName name="dasd_5_2">#REF!</definedName>
    <definedName name="dasd_7" localSheetId="4">#REF!</definedName>
    <definedName name="dasd_7" localSheetId="7">#REF!</definedName>
    <definedName name="dasd_7" localSheetId="5">#REF!</definedName>
    <definedName name="dasd_7" localSheetId="2">#REF!</definedName>
    <definedName name="dasd_7" localSheetId="6">#REF!</definedName>
    <definedName name="dasd_7">#REF!</definedName>
    <definedName name="dasd_72" localSheetId="4">#REF!</definedName>
    <definedName name="dasd_72" localSheetId="7">#REF!</definedName>
    <definedName name="dasd_72" localSheetId="5">#REF!</definedName>
    <definedName name="dasd_72" localSheetId="2">#REF!</definedName>
    <definedName name="dasd_72" localSheetId="6">#REF!</definedName>
    <definedName name="dasd_72">#REF!</definedName>
    <definedName name="dasd_78" localSheetId="4">#REF!</definedName>
    <definedName name="dasd_78" localSheetId="7">#REF!</definedName>
    <definedName name="dasd_78" localSheetId="5">#REF!</definedName>
    <definedName name="dasd_78" localSheetId="2">#REF!</definedName>
    <definedName name="dasd_78" localSheetId="6">#REF!</definedName>
    <definedName name="dasd_78">#REF!</definedName>
    <definedName name="dasd_82" localSheetId="4">#REF!</definedName>
    <definedName name="dasd_82" localSheetId="7">#REF!</definedName>
    <definedName name="dasd_82" localSheetId="5">#REF!</definedName>
    <definedName name="dasd_82" localSheetId="2">#REF!</definedName>
    <definedName name="dasd_82" localSheetId="6">#REF!</definedName>
    <definedName name="dasd_82">#REF!</definedName>
    <definedName name="dasd_84" localSheetId="4">#REF!</definedName>
    <definedName name="dasd_84" localSheetId="7">#REF!</definedName>
    <definedName name="dasd_84" localSheetId="5">#REF!</definedName>
    <definedName name="dasd_84" localSheetId="2">#REF!</definedName>
    <definedName name="dasd_84" localSheetId="6">#REF!</definedName>
    <definedName name="dasd_84">#REF!</definedName>
    <definedName name="dasd_88" localSheetId="4">#REF!</definedName>
    <definedName name="dasd_88" localSheetId="7">#REF!</definedName>
    <definedName name="dasd_88" localSheetId="5">#REF!</definedName>
    <definedName name="dasd_88" localSheetId="2">#REF!</definedName>
    <definedName name="dasd_88" localSheetId="6">#REF!</definedName>
    <definedName name="dasd_88">#REF!</definedName>
    <definedName name="dasd_90" localSheetId="4">#REF!</definedName>
    <definedName name="dasd_90" localSheetId="7">#REF!</definedName>
    <definedName name="dasd_90" localSheetId="5">#REF!</definedName>
    <definedName name="dasd_90" localSheetId="2">#REF!</definedName>
    <definedName name="dasd_90" localSheetId="6">#REF!</definedName>
    <definedName name="dasd_90">#REF!</definedName>
    <definedName name="dasd_91" localSheetId="4">#REF!</definedName>
    <definedName name="dasd_91" localSheetId="7">#REF!</definedName>
    <definedName name="dasd_91" localSheetId="5">#REF!</definedName>
    <definedName name="dasd_91" localSheetId="2">#REF!</definedName>
    <definedName name="dasd_91" localSheetId="6">#REF!</definedName>
    <definedName name="dasd_91">#REF!</definedName>
    <definedName name="dasd_92" localSheetId="4">#REF!</definedName>
    <definedName name="dasd_92" localSheetId="7">#REF!</definedName>
    <definedName name="dasd_92" localSheetId="5">#REF!</definedName>
    <definedName name="dasd_92" localSheetId="2">#REF!</definedName>
    <definedName name="dasd_92" localSheetId="6">#REF!</definedName>
    <definedName name="dasd_92">#REF!</definedName>
    <definedName name="dasd_93" localSheetId="4">#REF!</definedName>
    <definedName name="dasd_93" localSheetId="7">#REF!</definedName>
    <definedName name="dasd_93" localSheetId="5">#REF!</definedName>
    <definedName name="dasd_93" localSheetId="2">#REF!</definedName>
    <definedName name="dasd_93" localSheetId="6">#REF!</definedName>
    <definedName name="dasd_93">#REF!</definedName>
    <definedName name="dasd_94" localSheetId="4">#REF!</definedName>
    <definedName name="dasd_94" localSheetId="7">#REF!</definedName>
    <definedName name="dasd_94" localSheetId="5">#REF!</definedName>
    <definedName name="dasd_94" localSheetId="2">#REF!</definedName>
    <definedName name="dasd_94" localSheetId="6">#REF!</definedName>
    <definedName name="dasd_94">#REF!</definedName>
    <definedName name="Data_Final" localSheetId="4">#REF!</definedName>
    <definedName name="Data_Final" localSheetId="7">#REF!</definedName>
    <definedName name="Data_Final" localSheetId="5">#REF!</definedName>
    <definedName name="Data_Final" localSheetId="2">#REF!</definedName>
    <definedName name="Data_Final" localSheetId="6">#REF!</definedName>
    <definedName name="Data_Final">#REF!</definedName>
    <definedName name="dcfdf" localSheetId="4">#REF!</definedName>
    <definedName name="dcfdf" localSheetId="7">#REF!</definedName>
    <definedName name="dcfdf" localSheetId="5">#REF!</definedName>
    <definedName name="dcfdf" localSheetId="2">#REF!</definedName>
    <definedName name="dcfdf" localSheetId="6">#REF!</definedName>
    <definedName name="dcfdf">#REF!</definedName>
    <definedName name="dd" localSheetId="0">#REF!</definedName>
    <definedName name="dd" localSheetId="4">#REF!</definedName>
    <definedName name="dd" localSheetId="7" hidden="1">#REF!</definedName>
    <definedName name="dd" localSheetId="5" hidden="1">#REF!</definedName>
    <definedName name="dd" localSheetId="2" hidden="1">#REF!</definedName>
    <definedName name="dd" localSheetId="6" hidden="1">#REF!</definedName>
    <definedName name="dd" hidden="1">#REF!</definedName>
    <definedName name="DDDDDD" localSheetId="4">#REF!</definedName>
    <definedName name="DDDDDD" localSheetId="7">#REF!</definedName>
    <definedName name="DDDDDD" localSheetId="5">#REF!</definedName>
    <definedName name="DDDDDD" localSheetId="2">#REF!</definedName>
    <definedName name="DDDDDD" localSheetId="6">#REF!</definedName>
    <definedName name="DDDDDD">#REF!</definedName>
    <definedName name="DDDDDD_2" localSheetId="4">#REF!</definedName>
    <definedName name="DDDDDD_2" localSheetId="7">#REF!</definedName>
    <definedName name="DDDDDD_2" localSheetId="5">#REF!</definedName>
    <definedName name="DDDDDD_2" localSheetId="2">#REF!</definedName>
    <definedName name="DDDDDD_2" localSheetId="6">#REF!</definedName>
    <definedName name="DDDDDD_2">#REF!</definedName>
    <definedName name="DEL.000.0000.42">"          DESPESAS"</definedName>
    <definedName name="DEL.000.0000.421">"               DESPESAS"</definedName>
    <definedName name="DEL.000.0000.42101">"                    DESPESAS COM PESSOAL"</definedName>
    <definedName name="DEL.000.0000.4210101">"                         DESPESAS COM PESSOAL"</definedName>
    <definedName name="DEL.000.0000.42101010001">"                              HONORARIOS"</definedName>
    <definedName name="DEL.000.0000.42101010002">"                              SALARIOS"</definedName>
    <definedName name="DEL.000.0000.42101010003">"                              REMUNERACAO VARIAVEL"</definedName>
    <definedName name="DEL.000.0000.42101010004">"                              PARTIC NOS RESULTADOS MP 1487"</definedName>
    <definedName name="DEL.000.0000.42101010005">"                              ESTAGIARIOS"</definedName>
    <definedName name="DEL.000.0000.42101010006">"                              FERIAS"</definedName>
    <definedName name="DEL.000.0000.42101010007">"                              13 SALARIO"</definedName>
    <definedName name="DEL.000.0000.42101010008">"                              ENCARGOS SOCIAIS E TRABALHISTA"</definedName>
    <definedName name="DEL.000.0000.42101010009">"                              RECRUTAMENTO E SELECAO"</definedName>
    <definedName name="DEL.000.0000.42101010010">"                              TREINAMENTO"</definedName>
    <definedName name="DEL.000.0000.42101010011">"                              MUDANCA"</definedName>
    <definedName name="DEL.000.0000.42101010012">"                              OUTROS CUSTOS COM PESSOAL"</definedName>
    <definedName name="DEL.000.0000.42101010013">"                              AJUDA HABITACIONAL"</definedName>
    <definedName name="DEL.000.0000.42101010014">"                              INDENIZACOES"</definedName>
    <definedName name="DEL.000.0000.42101010015">"                              HORAS EXTRAS"</definedName>
    <definedName name="DEL.000.0000.42101010016">"                              HONORARIOS DE CONSELHEIROS"</definedName>
    <definedName name="DEL.000.0000.42101010017">"                              CESTAS DE NATAL"</definedName>
    <definedName name="DEL.000.0000.42101010018">"                              (-) RECUPERAÇÃO DE DESPESAS"</definedName>
    <definedName name="DEL.000.0000.42101010019">"                              PPR PROFISSIONAL/GERENCIA"</definedName>
    <definedName name="DEL.000.0000.4210102">"                         VALE TRANSPORTE"</definedName>
    <definedName name="DEL.000.0000.42101020001">"                              VT PARTIC EMPRESA"</definedName>
    <definedName name="DEL.000.0000.42101020002">"                              VT PARTIC DOS COLABORADORES LE"</definedName>
    <definedName name="DEL.000.0000.4210103">"                         ALIMENTACAO"</definedName>
    <definedName name="DEL.000.0000.42101030001">"                              ALIMENTACAO PARTIC EMPRESA"</definedName>
    <definedName name="DEL.000.0000.42101030002">"                              ALIMENTACAO PARTIC COLABORADOR"</definedName>
    <definedName name="DEL.000.0000.4210104">"                         ASSISTENCIA MEDICA"</definedName>
    <definedName name="DEL.000.0000.42101040001">"                              ASSISTENCIA MEDICA PARTIC EMPR"</definedName>
    <definedName name="DEL.000.0000.42101040002">"                              ASSISTENCIA MEDICA PARTIC COLA"</definedName>
    <definedName name="DEL.000.0000.4210105">"                         SEGURO DE VIDA"</definedName>
    <definedName name="DEL.000.0000.42101050001">"                              SEGURO DE VIDA PARTIC EMPRESA"</definedName>
    <definedName name="DEL.000.0000.42101050002">"                              SEGURO DE VIDA PARTIC COLABORA"</definedName>
    <definedName name="DEL.000.0000.4210106">"                         PREVIDENCIA PRIVADA"</definedName>
    <definedName name="DEL.000.0000.42101060001">"                              PREVIDENCIA PRIVADA PARTIC EMP"</definedName>
    <definedName name="DEL.000.0000.42101060002">"                              PREVIDENCIA PRIVADA PARTIC COL"</definedName>
    <definedName name="DEL.000.0000.4210107">"                         ASSISTENCIA ODONTOLOGICA"</definedName>
    <definedName name="DEL.000.0000.42101070001">"                              ASSIST.ODONTOLOGICA EMPRESA"</definedName>
    <definedName name="DEL.000.0000.42101070002">"                              ASSIST.ODONTOLOGICA COLABORADO"</definedName>
    <definedName name="DEL.000.0000.42102">"                    DESPESAS DE SERVICOS"</definedName>
    <definedName name="DEL.000.0000.4210201">"                         SERVICOS DE TERCEIROS"</definedName>
    <definedName name="DEL.000.0000.42102010001">"                              AUDITORIA"</definedName>
    <definedName name="DEL.000.0000.42102010002">"                              MANUTENCAO E CONSERVACAO"</definedName>
    <definedName name="DEL.000.0000.42102010003">"                              MAO DE OBRA TEMPORARIA"</definedName>
    <definedName name="DEL.000.0000.42102010004">"                              FRETES E CARRETOS"</definedName>
    <definedName name="DEL.000.0000.42102010009">"                              PRESTACAO DE SERVICOS MEDICOS"</definedName>
    <definedName name="DEL.000.0000.42102010011">"                              PRESTACAO DE SERVICOS DE INFOR"</definedName>
    <definedName name="DEL.000.0000.42102010012">"                              OUTROS SERVICOS DE TERCEIROS"</definedName>
    <definedName name="DEL.000.0000.42102010015">"                              DANOS GERAIS DA RODOVIA"</definedName>
    <definedName name="DEL.000.0000.42103">"                    DESPESAS DE MATERIAIS"</definedName>
    <definedName name="DEL.000.0000.4210301">"                         DESPESAS DE MATERIAIS"</definedName>
    <definedName name="DEL.000.0000.42103010001">"                              MATERIAIS DE ESCRITORIO"</definedName>
    <definedName name="DEL.000.0000.42103010002">"                              MATERIAIS DE LIMPEZA"</definedName>
    <definedName name="DEL.000.0000.42103010003">"                              MATERIAIS DIVERSOS"</definedName>
    <definedName name="DEL.000.0000.42104">"                    DESPESAS GERAIS E ADMINISTRATI"</definedName>
    <definedName name="DEL.000.0000.4210401">"                         DESPESAS GERAIS"</definedName>
    <definedName name="DEL.000.0000.42104010001">"                              DESPESAS DE VIAGEM"</definedName>
    <definedName name="DEL.000.0000.42104010002">"                              CONDUCAO E ALIMENTACAO EVENTUA"</definedName>
    <definedName name="DEL.000.0000.42104010003">"                              COMUNICACOES"</definedName>
    <definedName name="DEL.000.0000.42104010004">"                              SEGUROS"</definedName>
    <definedName name="DEL.000.0000.42104010005">"                              AGUA"</definedName>
    <definedName name="DEL.000.0000.42104010007">"                              MULTAS FISCAIS DEDUTIVEIS"</definedName>
    <definedName name="DEL.000.0000.42104010008">"                              MULTAS FISCAIS INDEDUTIVEIS"</definedName>
    <definedName name="DEL.000.0000.42104010010">"                              COMBUSTIVEIS E LUBRIFICANTES"</definedName>
    <definedName name="DEL.000.0000.42104010011">"                              COPA E COZINHA"</definedName>
    <definedName name="DEL.000.0000.42104010012">"                              UNIFORMES E MATERIAIS DE SEGUR"</definedName>
    <definedName name="DEL.000.0000.42104010013">"                              LIVROS"</definedName>
    <definedName name="DEL.000.0000.42104010014">"                              REPRODUCOES"</definedName>
    <definedName name="DEL.000.0000.42104010015">"                              FOTOS"</definedName>
    <definedName name="DEL.000.0000.42104010017">"                              IMPOSTOS E TAXAS ESTADUAIS"</definedName>
    <definedName name="DEL.000.0000.42104010018">"                              IMPOSTOS E TAXAS MUNICIPAIS"</definedName>
    <definedName name="DEL.000.0000.42104010020">"                              BRINDES"</definedName>
    <definedName name="DEL.000.0000.42104010022">"                              IMPOSTO PREDIAL E TLF"</definedName>
    <definedName name="DEL.000.0000.42104010023">"                              EMOLUMENTOS E TAXAS JUDICIAIS"</definedName>
    <definedName name="DEL.000.0000.42104010026">"                              MANUTENCAO DE VEICULOS"</definedName>
    <definedName name="DEL.000.0000.42104010027">"                              CONTRIBUICOES E ASSOCIACOES"</definedName>
    <definedName name="DEL.000.0000.42104010028">"                              BENS PATRIMONIAIS"</definedName>
    <definedName name="DEL.000.0000.42104010029">"                              ICMS - DIFERENCA DE ALIQUOTA"</definedName>
    <definedName name="DEL.000.0000.42104010030">"                              ANUNCIOS E PUBLICACOES"</definedName>
    <definedName name="DEL.000.0000.42104010031">"                              INDENIZACOES"</definedName>
    <definedName name="DEL.000.0000.42104010032">"                              OUTRAS DESPESAS ADMINISTRATIVA"</definedName>
    <definedName name="DEL.000.0000.42104010034">"                              FOMENTO A PESQUISA"</definedName>
    <definedName name="DEL.000.0000.42104010035">"                              DESPESAS INDEDUTIVEIS"</definedName>
    <definedName name="DEL.000.0000.42104010037">"                              PERDAS NA OPERAÇÃO"</definedName>
    <definedName name="DEL.000.0000.42105">"                    DESPESAS COM ALUGUEIS"</definedName>
    <definedName name="DEL.000.0000.4210501">"                         DESPESAS COM ALUGUEIS"</definedName>
    <definedName name="DEL.000.0000.42105010001">"                              EQUIPAMENTOS"</definedName>
    <definedName name="DEL.000.0000.42105010002">"                              IMOVEIS E CONDOMINIOS"</definedName>
    <definedName name="DEL.000.0000.42105010003">"                              VEICULOS"</definedName>
    <definedName name="DEL.000.0000.42105010004">"                              OUTROS ALUGUEIS"</definedName>
    <definedName name="DEL.000.0000.42107">"                    DEPRECIACAO"</definedName>
    <definedName name="DEL.000.0000.4210701">"                         DEPRECIACAO"</definedName>
    <definedName name="DEL.000.0000.42107010004">"                              DEPRECIACAO DE EQUIPAMENTOS DE"</definedName>
    <definedName name="DEL.000.0000.42108">"                    AMORTIZACAO"</definedName>
    <definedName name="DEL.000.0000.4210801">"                         AMORTIZACAO"</definedName>
    <definedName name="DEL.000.0000.42108010003">"                              AMORTIZACAO DE SOFTWARE"</definedName>
    <definedName name="DER" localSheetId="4">#REF!</definedName>
    <definedName name="DER" localSheetId="7">#REF!</definedName>
    <definedName name="DER" localSheetId="5">#REF!</definedName>
    <definedName name="DER" localSheetId="2">#REF!</definedName>
    <definedName name="DER" localSheetId="6">#REF!</definedName>
    <definedName name="DER">#REF!</definedName>
    <definedName name="DESC" localSheetId="4">#REF!</definedName>
    <definedName name="DESC" localSheetId="7">#REF!</definedName>
    <definedName name="DESC" localSheetId="5">#REF!</definedName>
    <definedName name="DESC" localSheetId="2">#REF!</definedName>
    <definedName name="DESC" localSheetId="6">#REF!</definedName>
    <definedName name="DESC">#REF!</definedName>
    <definedName name="DESC2" localSheetId="4">#REF!</definedName>
    <definedName name="DESC2" localSheetId="7">#REF!</definedName>
    <definedName name="DESC2" localSheetId="5">#REF!</definedName>
    <definedName name="DESC2" localSheetId="2">#REF!</definedName>
    <definedName name="DESC2" localSheetId="6">#REF!</definedName>
    <definedName name="DESC2">#REF!</definedName>
    <definedName name="DESCONTO" localSheetId="4">#REF!</definedName>
    <definedName name="DESCONTO" localSheetId="7">#REF!</definedName>
    <definedName name="DESCONTO" localSheetId="5">#REF!</definedName>
    <definedName name="DESCONTO" localSheetId="2">#REF!</definedName>
    <definedName name="DESCONTO" localSheetId="6">#REF!</definedName>
    <definedName name="DESCONTO">#REF!</definedName>
    <definedName name="DESCR">"bds"</definedName>
    <definedName name="descrição" localSheetId="4">#REF!</definedName>
    <definedName name="descrição" localSheetId="7">#REF!</definedName>
    <definedName name="descrição" localSheetId="1">#REF!</definedName>
    <definedName name="descrição" localSheetId="5">#REF!</definedName>
    <definedName name="descrição" localSheetId="2">#REF!</definedName>
    <definedName name="descrição" localSheetId="6">#REF!</definedName>
    <definedName name="descrição">#REF!</definedName>
    <definedName name="Descrição_Total" localSheetId="4">#REF!</definedName>
    <definedName name="Descrição_Total" localSheetId="7">#REF!</definedName>
    <definedName name="Descrição_Total" localSheetId="5">#REF!</definedName>
    <definedName name="Descrição_Total" localSheetId="2">#REF!</definedName>
    <definedName name="Descrição_Total" localSheetId="6">#REF!</definedName>
    <definedName name="Descrição_Total">#REF!</definedName>
    <definedName name="Desmatamento_destocamento_e_limpeza" localSheetId="4">#REF!</definedName>
    <definedName name="Desmatamento_destocamento_e_limpeza" localSheetId="7">#REF!</definedName>
    <definedName name="Desmatamento_destocamento_e_limpeza" localSheetId="5">#REF!</definedName>
    <definedName name="Desmatamento_destocamento_e_limpeza" localSheetId="2">#REF!</definedName>
    <definedName name="Desmatamento_destocamento_e_limpeza" localSheetId="6">#REF!</definedName>
    <definedName name="Desmatamento_destocamento_e_limpeza">#REF!</definedName>
    <definedName name="DESTINO" localSheetId="4">#REF!</definedName>
    <definedName name="DESTINO" localSheetId="7">#REF!</definedName>
    <definedName name="DESTINO" localSheetId="1">#REF!</definedName>
    <definedName name="DESTINO" localSheetId="5">#REF!</definedName>
    <definedName name="DESTINO" localSheetId="2">#REF!</definedName>
    <definedName name="DESTINO" localSheetId="6">#REF!</definedName>
    <definedName name="DESTINO">#REF!</definedName>
    <definedName name="DGA" localSheetId="4">#REF!</definedName>
    <definedName name="DGA" localSheetId="7">#REF!</definedName>
    <definedName name="DGA" localSheetId="1">#REF!</definedName>
    <definedName name="DGA" localSheetId="5">#REF!</definedName>
    <definedName name="DGA" localSheetId="2">#REF!</definedName>
    <definedName name="DGA" localSheetId="6">#REF!</definedName>
    <definedName name="DGA">#REF!</definedName>
    <definedName name="dia3estac" localSheetId="4">#REF!</definedName>
    <definedName name="dia3estac" localSheetId="7">#REF!</definedName>
    <definedName name="dia3estac" localSheetId="5">#REF!</definedName>
    <definedName name="dia3estac" localSheetId="2">#REF!</definedName>
    <definedName name="dia3estac" localSheetId="6">#REF!</definedName>
    <definedName name="dia3estac">#REF!</definedName>
    <definedName name="diaestaca" localSheetId="4">#REF!</definedName>
    <definedName name="diaestaca" localSheetId="7">#REF!</definedName>
    <definedName name="diaestaca" localSheetId="1">#REF!</definedName>
    <definedName name="diaestaca" localSheetId="5">#REF!</definedName>
    <definedName name="diaestaca" localSheetId="2">#REF!</definedName>
    <definedName name="diaestaca" localSheetId="6">#REF!</definedName>
    <definedName name="diaestaca">#REF!</definedName>
    <definedName name="Diam" localSheetId="4">#REF!</definedName>
    <definedName name="Diam" localSheetId="7">#REF!</definedName>
    <definedName name="Diam" localSheetId="5">#REF!</definedName>
    <definedName name="Diam" localSheetId="2">#REF!</definedName>
    <definedName name="Diam" localSheetId="6">#REF!</definedName>
    <definedName name="Diam">#REF!</definedName>
    <definedName name="diambase" localSheetId="4">#REF!</definedName>
    <definedName name="diambase" localSheetId="7">#REF!</definedName>
    <definedName name="diambase" localSheetId="5">#REF!</definedName>
    <definedName name="diambase" localSheetId="2">#REF!</definedName>
    <definedName name="diambase" localSheetId="6">#REF!</definedName>
    <definedName name="diambase">#REF!</definedName>
    <definedName name="Dispos" localSheetId="4">#REF!</definedName>
    <definedName name="Dispos" localSheetId="7">#REF!</definedName>
    <definedName name="Dispos" localSheetId="5">#REF!</definedName>
    <definedName name="Dispos" localSheetId="2">#REF!</definedName>
    <definedName name="Dispos" localSheetId="6">#REF!</definedName>
    <definedName name="Dispos">#REF!</definedName>
    <definedName name="DJ" localSheetId="4">#REF!</definedName>
    <definedName name="DJ" localSheetId="7">#REF!</definedName>
    <definedName name="DJ" localSheetId="5">#REF!</definedName>
    <definedName name="DJ" localSheetId="2">#REF!</definedName>
    <definedName name="DJ" localSheetId="6">#REF!</definedName>
    <definedName name="DJ">#REF!</definedName>
    <definedName name="DMT" localSheetId="4">#REF!</definedName>
    <definedName name="DMT" localSheetId="7">#REF!</definedName>
    <definedName name="DMT" localSheetId="1">#REF!</definedName>
    <definedName name="DMT" localSheetId="5">#REF!</definedName>
    <definedName name="DMT" localSheetId="2">#REF!</definedName>
    <definedName name="DMT" localSheetId="6">#REF!</definedName>
    <definedName name="DMT">#REF!</definedName>
    <definedName name="dmt_aterro" localSheetId="4">#REF!</definedName>
    <definedName name="dmt_aterro" localSheetId="7">#REF!</definedName>
    <definedName name="dmt_aterro" localSheetId="1">#REF!</definedName>
    <definedName name="dmt_aterro" localSheetId="5">#REF!</definedName>
    <definedName name="dmt_aterro" localSheetId="2">#REF!</definedName>
    <definedName name="dmt_aterro" localSheetId="6">#REF!</definedName>
    <definedName name="dmt_aterro">#REF!</definedName>
    <definedName name="dmt_bfora" localSheetId="4">#REF!</definedName>
    <definedName name="dmt_bfora" localSheetId="7">#REF!</definedName>
    <definedName name="dmt_bfora" localSheetId="1">#REF!</definedName>
    <definedName name="dmt_bfora" localSheetId="5">#REF!</definedName>
    <definedName name="dmt_bfora" localSheetId="2">#REF!</definedName>
    <definedName name="dmt_bfora" localSheetId="6">#REF!</definedName>
    <definedName name="dmt_bfora">#REF!</definedName>
    <definedName name="DR" localSheetId="4">#REF!</definedName>
    <definedName name="DR" localSheetId="7">#REF!</definedName>
    <definedName name="DR" localSheetId="5">#REF!</definedName>
    <definedName name="DR" localSheetId="2">#REF!</definedName>
    <definedName name="DR" localSheetId="6">#REF!</definedName>
    <definedName name="DR">#REF!</definedName>
    <definedName name="DR_2" localSheetId="4">#REF!</definedName>
    <definedName name="DR_2" localSheetId="7">#REF!</definedName>
    <definedName name="DR_2" localSheetId="5">#REF!</definedName>
    <definedName name="DR_2" localSheetId="2">#REF!</definedName>
    <definedName name="DR_2" localSheetId="6">#REF!</definedName>
    <definedName name="DR_2">#REF!</definedName>
    <definedName name="DRE" localSheetId="0">#REF!</definedName>
    <definedName name="DRE" localSheetId="4">#REF!</definedName>
    <definedName name="DRE" localSheetId="7">#REF!</definedName>
    <definedName name="DRE" localSheetId="5">#REF!</definedName>
    <definedName name="DRE" localSheetId="2">#REF!</definedName>
    <definedName name="DRE" localSheetId="6">#REF!</definedName>
    <definedName name="DRE">#REF!</definedName>
    <definedName name="DRE_12" localSheetId="4">#REF!</definedName>
    <definedName name="DRE_12" localSheetId="7">#REF!</definedName>
    <definedName name="DRE_12" localSheetId="5">#REF!</definedName>
    <definedName name="DRE_12" localSheetId="2">#REF!</definedName>
    <definedName name="DRE_12" localSheetId="6">#REF!</definedName>
    <definedName name="DRE_12">#REF!</definedName>
    <definedName name="DRE_13" localSheetId="4">#REF!</definedName>
    <definedName name="DRE_13" localSheetId="7">#REF!</definedName>
    <definedName name="DRE_13" localSheetId="5">#REF!</definedName>
    <definedName name="DRE_13" localSheetId="2">#REF!</definedName>
    <definedName name="DRE_13" localSheetId="6">#REF!</definedName>
    <definedName name="DRE_13">#REF!</definedName>
    <definedName name="DRE_19" localSheetId="4">#REF!</definedName>
    <definedName name="DRE_19" localSheetId="7">#REF!</definedName>
    <definedName name="DRE_19" localSheetId="5">#REF!</definedName>
    <definedName name="DRE_19" localSheetId="2">#REF!</definedName>
    <definedName name="DRE_19" localSheetId="6">#REF!</definedName>
    <definedName name="DRE_19">#REF!</definedName>
    <definedName name="DRE_2" localSheetId="4">#REF!</definedName>
    <definedName name="DRE_2" localSheetId="7">#REF!</definedName>
    <definedName name="DRE_2" localSheetId="5">#REF!</definedName>
    <definedName name="DRE_2" localSheetId="2">#REF!</definedName>
    <definedName name="DRE_2" localSheetId="6">#REF!</definedName>
    <definedName name="DRE_2">#REF!</definedName>
    <definedName name="DRE_20" localSheetId="4">#REF!</definedName>
    <definedName name="DRE_20" localSheetId="7">#REF!</definedName>
    <definedName name="DRE_20" localSheetId="5">#REF!</definedName>
    <definedName name="DRE_20" localSheetId="2">#REF!</definedName>
    <definedName name="DRE_20" localSheetId="6">#REF!</definedName>
    <definedName name="DRE_20">#REF!</definedName>
    <definedName name="DRE_24" localSheetId="4">#REF!</definedName>
    <definedName name="DRE_24" localSheetId="7">#REF!</definedName>
    <definedName name="DRE_24" localSheetId="5">#REF!</definedName>
    <definedName name="DRE_24" localSheetId="2">#REF!</definedName>
    <definedName name="DRE_24" localSheetId="6">#REF!</definedName>
    <definedName name="DRE_24">#REF!</definedName>
    <definedName name="DRE_25" localSheetId="4">#REF!</definedName>
    <definedName name="DRE_25" localSheetId="7">#REF!</definedName>
    <definedName name="DRE_25" localSheetId="5">#REF!</definedName>
    <definedName name="DRE_25" localSheetId="2">#REF!</definedName>
    <definedName name="DRE_25" localSheetId="6">#REF!</definedName>
    <definedName name="DRE_25">#REF!</definedName>
    <definedName name="DRE_26" localSheetId="4">#REF!</definedName>
    <definedName name="DRE_26" localSheetId="7">#REF!</definedName>
    <definedName name="DRE_26" localSheetId="5">#REF!</definedName>
    <definedName name="DRE_26" localSheetId="2">#REF!</definedName>
    <definedName name="DRE_26" localSheetId="6">#REF!</definedName>
    <definedName name="DRE_26">#REF!</definedName>
    <definedName name="DRE_30" localSheetId="4">#REF!</definedName>
    <definedName name="DRE_30" localSheetId="7">#REF!</definedName>
    <definedName name="DRE_30" localSheetId="5">#REF!</definedName>
    <definedName name="DRE_30" localSheetId="2">#REF!</definedName>
    <definedName name="DRE_30" localSheetId="6">#REF!</definedName>
    <definedName name="DRE_30">#REF!</definedName>
    <definedName name="DRE_31" localSheetId="4">#REF!</definedName>
    <definedName name="DRE_31" localSheetId="7">#REF!</definedName>
    <definedName name="DRE_31" localSheetId="5">#REF!</definedName>
    <definedName name="DRE_31" localSheetId="2">#REF!</definedName>
    <definedName name="DRE_31" localSheetId="6">#REF!</definedName>
    <definedName name="DRE_31">#REF!</definedName>
    <definedName name="DRE_7" localSheetId="4">#REF!</definedName>
    <definedName name="DRE_7" localSheetId="7">#REF!</definedName>
    <definedName name="DRE_7" localSheetId="5">#REF!</definedName>
    <definedName name="DRE_7" localSheetId="2">#REF!</definedName>
    <definedName name="DRE_7" localSheetId="6">#REF!</definedName>
    <definedName name="DRE_7">#REF!</definedName>
    <definedName name="DRE_72" localSheetId="4">#REF!</definedName>
    <definedName name="DRE_72" localSheetId="7">#REF!</definedName>
    <definedName name="DRE_72" localSheetId="5">#REF!</definedName>
    <definedName name="DRE_72" localSheetId="2">#REF!</definedName>
    <definedName name="DRE_72" localSheetId="6">#REF!</definedName>
    <definedName name="DRE_72">#REF!</definedName>
    <definedName name="DRE_78" localSheetId="4">#REF!</definedName>
    <definedName name="DRE_78" localSheetId="7">#REF!</definedName>
    <definedName name="DRE_78" localSheetId="5">#REF!</definedName>
    <definedName name="DRE_78" localSheetId="2">#REF!</definedName>
    <definedName name="DRE_78" localSheetId="6">#REF!</definedName>
    <definedName name="DRE_78">#REF!</definedName>
    <definedName name="DRE_82" localSheetId="4">#REF!</definedName>
    <definedName name="DRE_82" localSheetId="7">#REF!</definedName>
    <definedName name="DRE_82" localSheetId="5">#REF!</definedName>
    <definedName name="DRE_82" localSheetId="2">#REF!</definedName>
    <definedName name="DRE_82" localSheetId="6">#REF!</definedName>
    <definedName name="DRE_82">#REF!</definedName>
    <definedName name="DRE_84" localSheetId="4">#REF!</definedName>
    <definedName name="DRE_84" localSheetId="7">#REF!</definedName>
    <definedName name="DRE_84" localSheetId="5">#REF!</definedName>
    <definedName name="DRE_84" localSheetId="2">#REF!</definedName>
    <definedName name="DRE_84" localSheetId="6">#REF!</definedName>
    <definedName name="DRE_84">#REF!</definedName>
    <definedName name="DRE_88" localSheetId="4">#REF!</definedName>
    <definedName name="DRE_88" localSheetId="7">#REF!</definedName>
    <definedName name="DRE_88" localSheetId="5">#REF!</definedName>
    <definedName name="DRE_88" localSheetId="2">#REF!</definedName>
    <definedName name="DRE_88" localSheetId="6">#REF!</definedName>
    <definedName name="DRE_88">#REF!</definedName>
    <definedName name="DRE_90" localSheetId="4">#REF!</definedName>
    <definedName name="DRE_90" localSheetId="7">#REF!</definedName>
    <definedName name="DRE_90" localSheetId="5">#REF!</definedName>
    <definedName name="DRE_90" localSheetId="2">#REF!</definedName>
    <definedName name="DRE_90" localSheetId="6">#REF!</definedName>
    <definedName name="DRE_90">#REF!</definedName>
    <definedName name="DRE_91" localSheetId="4">#REF!</definedName>
    <definedName name="DRE_91" localSheetId="7">#REF!</definedName>
    <definedName name="DRE_91" localSheetId="5">#REF!</definedName>
    <definedName name="DRE_91" localSheetId="2">#REF!</definedName>
    <definedName name="DRE_91" localSheetId="6">#REF!</definedName>
    <definedName name="DRE_91">#REF!</definedName>
    <definedName name="DRE_92" localSheetId="4">#REF!</definedName>
    <definedName name="DRE_92" localSheetId="7">#REF!</definedName>
    <definedName name="DRE_92" localSheetId="5">#REF!</definedName>
    <definedName name="DRE_92" localSheetId="2">#REF!</definedName>
    <definedName name="DRE_92" localSheetId="6">#REF!</definedName>
    <definedName name="DRE_92">#REF!</definedName>
    <definedName name="DRE_93" localSheetId="4">#REF!</definedName>
    <definedName name="DRE_93" localSheetId="7">#REF!</definedName>
    <definedName name="DRE_93" localSheetId="5">#REF!</definedName>
    <definedName name="DRE_93" localSheetId="2">#REF!</definedName>
    <definedName name="DRE_93" localSheetId="6">#REF!</definedName>
    <definedName name="DRE_93">#REF!</definedName>
    <definedName name="DRE_94" localSheetId="4">#REF!</definedName>
    <definedName name="DRE_94" localSheetId="7">#REF!</definedName>
    <definedName name="DRE_94" localSheetId="5">#REF!</definedName>
    <definedName name="DRE_94" localSheetId="2">#REF!</definedName>
    <definedName name="DRE_94" localSheetId="6">#REF!</definedName>
    <definedName name="DRE_94">#REF!</definedName>
    <definedName name="dreaa" localSheetId="4">#REF!</definedName>
    <definedName name="dreaa" localSheetId="7">#REF!</definedName>
    <definedName name="dreaa" localSheetId="5">#REF!</definedName>
    <definedName name="dreaa" localSheetId="2">#REF!</definedName>
    <definedName name="dreaa" localSheetId="6">#REF!</definedName>
    <definedName name="dreaa">#REF!</definedName>
    <definedName name="dreaa_2" localSheetId="4">#REF!</definedName>
    <definedName name="dreaa_2" localSheetId="7">#REF!</definedName>
    <definedName name="dreaa_2" localSheetId="5">#REF!</definedName>
    <definedName name="dreaa_2" localSheetId="2">#REF!</definedName>
    <definedName name="dreaa_2" localSheetId="6">#REF!</definedName>
    <definedName name="dreaa_2">#REF!</definedName>
    <definedName name="Dren_preços" localSheetId="4">#REF!</definedName>
    <definedName name="Dren_preços" localSheetId="7">#REF!</definedName>
    <definedName name="Dren_preços" localSheetId="5">#REF!</definedName>
    <definedName name="Dren_preços" localSheetId="2">#REF!</definedName>
    <definedName name="Dren_preços" localSheetId="6">#REF!</definedName>
    <definedName name="Dren_preços">#REF!</definedName>
    <definedName name="DRI" localSheetId="0">#REF!</definedName>
    <definedName name="DRI" localSheetId="4">#REF!</definedName>
    <definedName name="DRI" localSheetId="7">#REF!</definedName>
    <definedName name="DRI" localSheetId="5">#REF!</definedName>
    <definedName name="DRI" localSheetId="2">#REF!</definedName>
    <definedName name="DRI" localSheetId="6">#REF!</definedName>
    <definedName name="DRI">#REF!</definedName>
    <definedName name="DRI_12" localSheetId="4">#REF!</definedName>
    <definedName name="DRI_12" localSheetId="7">#REF!</definedName>
    <definedName name="DRI_12" localSheetId="5">#REF!</definedName>
    <definedName name="DRI_12" localSheetId="2">#REF!</definedName>
    <definedName name="DRI_12" localSheetId="6">#REF!</definedName>
    <definedName name="DRI_12">#REF!</definedName>
    <definedName name="DRI_13" localSheetId="4">#REF!</definedName>
    <definedName name="DRI_13" localSheetId="7">#REF!</definedName>
    <definedName name="DRI_13" localSheetId="5">#REF!</definedName>
    <definedName name="DRI_13" localSheetId="2">#REF!</definedName>
    <definedName name="DRI_13" localSheetId="6">#REF!</definedName>
    <definedName name="DRI_13">#REF!</definedName>
    <definedName name="DRI_19" localSheetId="4">#REF!</definedName>
    <definedName name="DRI_19" localSheetId="7">#REF!</definedName>
    <definedName name="DRI_19" localSheetId="5">#REF!</definedName>
    <definedName name="DRI_19" localSheetId="2">#REF!</definedName>
    <definedName name="DRI_19" localSheetId="6">#REF!</definedName>
    <definedName name="DRI_19">#REF!</definedName>
    <definedName name="DRI_2" localSheetId="4">#REF!</definedName>
    <definedName name="DRI_2" localSheetId="7">#REF!</definedName>
    <definedName name="DRI_2" localSheetId="5">#REF!</definedName>
    <definedName name="DRI_2" localSheetId="2">#REF!</definedName>
    <definedName name="DRI_2" localSheetId="6">#REF!</definedName>
    <definedName name="DRI_2">#REF!</definedName>
    <definedName name="DRI_20" localSheetId="4">#REF!</definedName>
    <definedName name="DRI_20" localSheetId="7">#REF!</definedName>
    <definedName name="DRI_20" localSheetId="5">#REF!</definedName>
    <definedName name="DRI_20" localSheetId="2">#REF!</definedName>
    <definedName name="DRI_20" localSheetId="6">#REF!</definedName>
    <definedName name="DRI_20">#REF!</definedName>
    <definedName name="DRI_24" localSheetId="4">#REF!</definedName>
    <definedName name="DRI_24" localSheetId="7">#REF!</definedName>
    <definedName name="DRI_24" localSheetId="5">#REF!</definedName>
    <definedName name="DRI_24" localSheetId="2">#REF!</definedName>
    <definedName name="DRI_24" localSheetId="6">#REF!</definedName>
    <definedName name="DRI_24">#REF!</definedName>
    <definedName name="DRI_25" localSheetId="4">#REF!</definedName>
    <definedName name="DRI_25" localSheetId="7">#REF!</definedName>
    <definedName name="DRI_25" localSheetId="5">#REF!</definedName>
    <definedName name="DRI_25" localSheetId="2">#REF!</definedName>
    <definedName name="DRI_25" localSheetId="6">#REF!</definedName>
    <definedName name="DRI_25">#REF!</definedName>
    <definedName name="DRI_26" localSheetId="4">#REF!</definedName>
    <definedName name="DRI_26" localSheetId="7">#REF!</definedName>
    <definedName name="DRI_26" localSheetId="5">#REF!</definedName>
    <definedName name="DRI_26" localSheetId="2">#REF!</definedName>
    <definedName name="DRI_26" localSheetId="6">#REF!</definedName>
    <definedName name="DRI_26">#REF!</definedName>
    <definedName name="DRI_30" localSheetId="4">#REF!</definedName>
    <definedName name="DRI_30" localSheetId="7">#REF!</definedName>
    <definedName name="DRI_30" localSheetId="5">#REF!</definedName>
    <definedName name="DRI_30" localSheetId="2">#REF!</definedName>
    <definedName name="DRI_30" localSheetId="6">#REF!</definedName>
    <definedName name="DRI_30">#REF!</definedName>
    <definedName name="DRI_31" localSheetId="4">#REF!</definedName>
    <definedName name="DRI_31" localSheetId="7">#REF!</definedName>
    <definedName name="DRI_31" localSheetId="5">#REF!</definedName>
    <definedName name="DRI_31" localSheetId="2">#REF!</definedName>
    <definedName name="DRI_31" localSheetId="6">#REF!</definedName>
    <definedName name="DRI_31">#REF!</definedName>
    <definedName name="DRI_5" localSheetId="4">#REF!</definedName>
    <definedName name="DRI_5" localSheetId="7">#REF!</definedName>
    <definedName name="DRI_5" localSheetId="5">#REF!</definedName>
    <definedName name="DRI_5" localSheetId="2">#REF!</definedName>
    <definedName name="DRI_5" localSheetId="6">#REF!</definedName>
    <definedName name="DRI_5">#REF!</definedName>
    <definedName name="DRI_5_2" localSheetId="4">#REF!</definedName>
    <definedName name="DRI_5_2" localSheetId="7">#REF!</definedName>
    <definedName name="DRI_5_2" localSheetId="5">#REF!</definedName>
    <definedName name="DRI_5_2" localSheetId="2">#REF!</definedName>
    <definedName name="DRI_5_2" localSheetId="6">#REF!</definedName>
    <definedName name="DRI_5_2">#REF!</definedName>
    <definedName name="DRI_7" localSheetId="4">#REF!</definedName>
    <definedName name="DRI_7" localSheetId="7">#REF!</definedName>
    <definedName name="DRI_7" localSheetId="5">#REF!</definedName>
    <definedName name="DRI_7" localSheetId="2">#REF!</definedName>
    <definedName name="DRI_7" localSheetId="6">#REF!</definedName>
    <definedName name="DRI_7">#REF!</definedName>
    <definedName name="DRI_72" localSheetId="4">#REF!</definedName>
    <definedName name="DRI_72" localSheetId="7">#REF!</definedName>
    <definedName name="DRI_72" localSheetId="5">#REF!</definedName>
    <definedName name="DRI_72" localSheetId="2">#REF!</definedName>
    <definedName name="DRI_72" localSheetId="6">#REF!</definedName>
    <definedName name="DRI_72">#REF!</definedName>
    <definedName name="DRI_78" localSheetId="4">#REF!</definedName>
    <definedName name="DRI_78" localSheetId="7">#REF!</definedName>
    <definedName name="DRI_78" localSheetId="5">#REF!</definedName>
    <definedName name="DRI_78" localSheetId="2">#REF!</definedName>
    <definedName name="DRI_78" localSheetId="6">#REF!</definedName>
    <definedName name="DRI_78">#REF!</definedName>
    <definedName name="DRI_82" localSheetId="4">#REF!</definedName>
    <definedName name="DRI_82" localSheetId="7">#REF!</definedName>
    <definedName name="DRI_82" localSheetId="5">#REF!</definedName>
    <definedName name="DRI_82" localSheetId="2">#REF!</definedName>
    <definedName name="DRI_82" localSheetId="6">#REF!</definedName>
    <definedName name="DRI_82">#REF!</definedName>
    <definedName name="DRI_84" localSheetId="4">#REF!</definedName>
    <definedName name="DRI_84" localSheetId="7">#REF!</definedName>
    <definedName name="DRI_84" localSheetId="5">#REF!</definedName>
    <definedName name="DRI_84" localSheetId="2">#REF!</definedName>
    <definedName name="DRI_84" localSheetId="6">#REF!</definedName>
    <definedName name="DRI_84">#REF!</definedName>
    <definedName name="DRI_88" localSheetId="4">#REF!</definedName>
    <definedName name="DRI_88" localSheetId="7">#REF!</definedName>
    <definedName name="DRI_88" localSheetId="5">#REF!</definedName>
    <definedName name="DRI_88" localSheetId="2">#REF!</definedName>
    <definedName name="DRI_88" localSheetId="6">#REF!</definedName>
    <definedName name="DRI_88">#REF!</definedName>
    <definedName name="DRI_90" localSheetId="4">#REF!</definedName>
    <definedName name="DRI_90" localSheetId="7">#REF!</definedName>
    <definedName name="DRI_90" localSheetId="5">#REF!</definedName>
    <definedName name="DRI_90" localSheetId="2">#REF!</definedName>
    <definedName name="DRI_90" localSheetId="6">#REF!</definedName>
    <definedName name="DRI_90">#REF!</definedName>
    <definedName name="DRI_91" localSheetId="4">#REF!</definedName>
    <definedName name="DRI_91" localSheetId="7">#REF!</definedName>
    <definedName name="DRI_91" localSheetId="5">#REF!</definedName>
    <definedName name="DRI_91" localSheetId="2">#REF!</definedName>
    <definedName name="DRI_91" localSheetId="6">#REF!</definedName>
    <definedName name="DRI_91">#REF!</definedName>
    <definedName name="DRI_92" localSheetId="4">#REF!</definedName>
    <definedName name="DRI_92" localSheetId="7">#REF!</definedName>
    <definedName name="DRI_92" localSheetId="5">#REF!</definedName>
    <definedName name="DRI_92" localSheetId="2">#REF!</definedName>
    <definedName name="DRI_92" localSheetId="6">#REF!</definedName>
    <definedName name="DRI_92">#REF!</definedName>
    <definedName name="DRI_93" localSheetId="4">#REF!</definedName>
    <definedName name="DRI_93" localSheetId="7">#REF!</definedName>
    <definedName name="DRI_93" localSheetId="5">#REF!</definedName>
    <definedName name="DRI_93" localSheetId="2">#REF!</definedName>
    <definedName name="DRI_93" localSheetId="6">#REF!</definedName>
    <definedName name="DRI_93">#REF!</definedName>
    <definedName name="DRI_94" localSheetId="4">#REF!</definedName>
    <definedName name="DRI_94" localSheetId="7">#REF!</definedName>
    <definedName name="DRI_94" localSheetId="5">#REF!</definedName>
    <definedName name="DRI_94" localSheetId="2">#REF!</definedName>
    <definedName name="DRI_94" localSheetId="6">#REF!</definedName>
    <definedName name="DRI_94">#REF!</definedName>
    <definedName name="ds" localSheetId="0">#REF!</definedName>
    <definedName name="ds" localSheetId="4">#REF!</definedName>
    <definedName name="ds" localSheetId="7">#REF!</definedName>
    <definedName name="ds" localSheetId="5">#REF!</definedName>
    <definedName name="ds" localSheetId="2">#REF!</definedName>
    <definedName name="ds" localSheetId="6">#REF!</definedName>
    <definedName name="ds">#REF!</definedName>
    <definedName name="dsad" localSheetId="0">#REF!</definedName>
    <definedName name="dsad" localSheetId="4">#REF!</definedName>
    <definedName name="dsad" localSheetId="7">#REF!</definedName>
    <definedName name="dsad" localSheetId="5">#REF!</definedName>
    <definedName name="dsad" localSheetId="2">#REF!</definedName>
    <definedName name="dsad" localSheetId="6">#REF!</definedName>
    <definedName name="dsad">#REF!</definedName>
    <definedName name="dsad_12" localSheetId="4">#REF!</definedName>
    <definedName name="dsad_12" localSheetId="7">#REF!</definedName>
    <definedName name="dsad_12" localSheetId="5">#REF!</definedName>
    <definedName name="dsad_12" localSheetId="2">#REF!</definedName>
    <definedName name="dsad_12" localSheetId="6">#REF!</definedName>
    <definedName name="dsad_12">#REF!</definedName>
    <definedName name="dsad_13" localSheetId="4">#REF!</definedName>
    <definedName name="dsad_13" localSheetId="7">#REF!</definedName>
    <definedName name="dsad_13" localSheetId="5">#REF!</definedName>
    <definedName name="dsad_13" localSheetId="2">#REF!</definedName>
    <definedName name="dsad_13" localSheetId="6">#REF!</definedName>
    <definedName name="dsad_13">#REF!</definedName>
    <definedName name="dsad_19" localSheetId="4">#REF!</definedName>
    <definedName name="dsad_19" localSheetId="7">#REF!</definedName>
    <definedName name="dsad_19" localSheetId="5">#REF!</definedName>
    <definedName name="dsad_19" localSheetId="2">#REF!</definedName>
    <definedName name="dsad_19" localSheetId="6">#REF!</definedName>
    <definedName name="dsad_19">#REF!</definedName>
    <definedName name="dsad_2" localSheetId="4">#REF!</definedName>
    <definedName name="dsad_2" localSheetId="7">#REF!</definedName>
    <definedName name="dsad_2" localSheetId="5">#REF!</definedName>
    <definedName name="dsad_2" localSheetId="2">#REF!</definedName>
    <definedName name="dsad_2" localSheetId="6">#REF!</definedName>
    <definedName name="dsad_2">#REF!</definedName>
    <definedName name="dsad_20" localSheetId="4">#REF!</definedName>
    <definedName name="dsad_20" localSheetId="7">#REF!</definedName>
    <definedName name="dsad_20" localSheetId="5">#REF!</definedName>
    <definedName name="dsad_20" localSheetId="2">#REF!</definedName>
    <definedName name="dsad_20" localSheetId="6">#REF!</definedName>
    <definedName name="dsad_20">#REF!</definedName>
    <definedName name="dsad_24" localSheetId="4">#REF!</definedName>
    <definedName name="dsad_24" localSheetId="7">#REF!</definedName>
    <definedName name="dsad_24" localSheetId="5">#REF!</definedName>
    <definedName name="dsad_24" localSheetId="2">#REF!</definedName>
    <definedName name="dsad_24" localSheetId="6">#REF!</definedName>
    <definedName name="dsad_24">#REF!</definedName>
    <definedName name="dsad_25" localSheetId="4">#REF!</definedName>
    <definedName name="dsad_25" localSheetId="7">#REF!</definedName>
    <definedName name="dsad_25" localSheetId="5">#REF!</definedName>
    <definedName name="dsad_25" localSheetId="2">#REF!</definedName>
    <definedName name="dsad_25" localSheetId="6">#REF!</definedName>
    <definedName name="dsad_25">#REF!</definedName>
    <definedName name="dsad_26" localSheetId="4">#REF!</definedName>
    <definedName name="dsad_26" localSheetId="7">#REF!</definedName>
    <definedName name="dsad_26" localSheetId="5">#REF!</definedName>
    <definedName name="dsad_26" localSheetId="2">#REF!</definedName>
    <definedName name="dsad_26" localSheetId="6">#REF!</definedName>
    <definedName name="dsad_26">#REF!</definedName>
    <definedName name="dsad_30" localSheetId="4">#REF!</definedName>
    <definedName name="dsad_30" localSheetId="7">#REF!</definedName>
    <definedName name="dsad_30" localSheetId="5">#REF!</definedName>
    <definedName name="dsad_30" localSheetId="2">#REF!</definedName>
    <definedName name="dsad_30" localSheetId="6">#REF!</definedName>
    <definedName name="dsad_30">#REF!</definedName>
    <definedName name="dsad_31" localSheetId="4">#REF!</definedName>
    <definedName name="dsad_31" localSheetId="7">#REF!</definedName>
    <definedName name="dsad_31" localSheetId="5">#REF!</definedName>
    <definedName name="dsad_31" localSheetId="2">#REF!</definedName>
    <definedName name="dsad_31" localSheetId="6">#REF!</definedName>
    <definedName name="dsad_31">#REF!</definedName>
    <definedName name="dsad_5" localSheetId="4">#REF!</definedName>
    <definedName name="dsad_5" localSheetId="7">#REF!</definedName>
    <definedName name="dsad_5" localSheetId="5">#REF!</definedName>
    <definedName name="dsad_5" localSheetId="2">#REF!</definedName>
    <definedName name="dsad_5" localSheetId="6">#REF!</definedName>
    <definedName name="dsad_5">#REF!</definedName>
    <definedName name="dsad_5_2" localSheetId="4">#REF!</definedName>
    <definedName name="dsad_5_2" localSheetId="7">#REF!</definedName>
    <definedName name="dsad_5_2" localSheetId="5">#REF!</definedName>
    <definedName name="dsad_5_2" localSheetId="2">#REF!</definedName>
    <definedName name="dsad_5_2" localSheetId="6">#REF!</definedName>
    <definedName name="dsad_5_2">#REF!</definedName>
    <definedName name="dsad_7" localSheetId="4">#REF!</definedName>
    <definedName name="dsad_7" localSheetId="7">#REF!</definedName>
    <definedName name="dsad_7" localSheetId="5">#REF!</definedName>
    <definedName name="dsad_7" localSheetId="2">#REF!</definedName>
    <definedName name="dsad_7" localSheetId="6">#REF!</definedName>
    <definedName name="dsad_7">#REF!</definedName>
    <definedName name="dsad_72" localSheetId="4">#REF!</definedName>
    <definedName name="dsad_72" localSheetId="7">#REF!</definedName>
    <definedName name="dsad_72" localSheetId="5">#REF!</definedName>
    <definedName name="dsad_72" localSheetId="2">#REF!</definedName>
    <definedName name="dsad_72" localSheetId="6">#REF!</definedName>
    <definedName name="dsad_72">#REF!</definedName>
    <definedName name="dsad_78" localSheetId="4">#REF!</definedName>
    <definedName name="dsad_78" localSheetId="7">#REF!</definedName>
    <definedName name="dsad_78" localSheetId="5">#REF!</definedName>
    <definedName name="dsad_78" localSheetId="2">#REF!</definedName>
    <definedName name="dsad_78" localSheetId="6">#REF!</definedName>
    <definedName name="dsad_78">#REF!</definedName>
    <definedName name="dsad_82" localSheetId="4">#REF!</definedName>
    <definedName name="dsad_82" localSheetId="7">#REF!</definedName>
    <definedName name="dsad_82" localSheetId="5">#REF!</definedName>
    <definedName name="dsad_82" localSheetId="2">#REF!</definedName>
    <definedName name="dsad_82" localSheetId="6">#REF!</definedName>
    <definedName name="dsad_82">#REF!</definedName>
    <definedName name="dsad_84" localSheetId="4">#REF!</definedName>
    <definedName name="dsad_84" localSheetId="7">#REF!</definedName>
    <definedName name="dsad_84" localSheetId="5">#REF!</definedName>
    <definedName name="dsad_84" localSheetId="2">#REF!</definedName>
    <definedName name="dsad_84" localSheetId="6">#REF!</definedName>
    <definedName name="dsad_84">#REF!</definedName>
    <definedName name="dsad_88" localSheetId="4">#REF!</definedName>
    <definedName name="dsad_88" localSheetId="7">#REF!</definedName>
    <definedName name="dsad_88" localSheetId="5">#REF!</definedName>
    <definedName name="dsad_88" localSheetId="2">#REF!</definedName>
    <definedName name="dsad_88" localSheetId="6">#REF!</definedName>
    <definedName name="dsad_88">#REF!</definedName>
    <definedName name="dsad_90" localSheetId="4">#REF!</definedName>
    <definedName name="dsad_90" localSheetId="7">#REF!</definedName>
    <definedName name="dsad_90" localSheetId="5">#REF!</definedName>
    <definedName name="dsad_90" localSheetId="2">#REF!</definedName>
    <definedName name="dsad_90" localSheetId="6">#REF!</definedName>
    <definedName name="dsad_90">#REF!</definedName>
    <definedName name="dsad_91" localSheetId="4">#REF!</definedName>
    <definedName name="dsad_91" localSheetId="7">#REF!</definedName>
    <definedName name="dsad_91" localSheetId="5">#REF!</definedName>
    <definedName name="dsad_91" localSheetId="2">#REF!</definedName>
    <definedName name="dsad_91" localSheetId="6">#REF!</definedName>
    <definedName name="dsad_91">#REF!</definedName>
    <definedName name="dsad_92" localSheetId="4">#REF!</definedName>
    <definedName name="dsad_92" localSheetId="7">#REF!</definedName>
    <definedName name="dsad_92" localSheetId="5">#REF!</definedName>
    <definedName name="dsad_92" localSheetId="2">#REF!</definedName>
    <definedName name="dsad_92" localSheetId="6">#REF!</definedName>
    <definedName name="dsad_92">#REF!</definedName>
    <definedName name="dsad_93" localSheetId="4">#REF!</definedName>
    <definedName name="dsad_93" localSheetId="7">#REF!</definedName>
    <definedName name="dsad_93" localSheetId="5">#REF!</definedName>
    <definedName name="dsad_93" localSheetId="2">#REF!</definedName>
    <definedName name="dsad_93" localSheetId="6">#REF!</definedName>
    <definedName name="dsad_93">#REF!</definedName>
    <definedName name="dsad_94" localSheetId="4">#REF!</definedName>
    <definedName name="dsad_94" localSheetId="7">#REF!</definedName>
    <definedName name="dsad_94" localSheetId="5">#REF!</definedName>
    <definedName name="dsad_94" localSheetId="2">#REF!</definedName>
    <definedName name="dsad_94" localSheetId="6">#REF!</definedName>
    <definedName name="dsad_94">#REF!</definedName>
    <definedName name="e" localSheetId="4">#REF!</definedName>
    <definedName name="e" localSheetId="7">#REF!</definedName>
    <definedName name="e" localSheetId="1">#REF!</definedName>
    <definedName name="e" localSheetId="5">#REF!</definedName>
    <definedName name="e" localSheetId="2">#REF!</definedName>
    <definedName name="e" localSheetId="6">#REF!</definedName>
    <definedName name="e">#REF!</definedName>
    <definedName name="E709_01" localSheetId="4">#REF!</definedName>
    <definedName name="E709_01" localSheetId="7">#REF!</definedName>
    <definedName name="E709_01" localSheetId="5">#REF!</definedName>
    <definedName name="E709_01" localSheetId="2">#REF!</definedName>
    <definedName name="E709_01" localSheetId="6">#REF!</definedName>
    <definedName name="E709_01">#REF!</definedName>
    <definedName name="edc" localSheetId="0">#REF!</definedName>
    <definedName name="edc" localSheetId="4">#REF!</definedName>
    <definedName name="edc" localSheetId="7">#REF!</definedName>
    <definedName name="edc" localSheetId="5">#REF!</definedName>
    <definedName name="edc" localSheetId="2">#REF!</definedName>
    <definedName name="edc" localSheetId="6">#REF!</definedName>
    <definedName name="edc">#REF!</definedName>
    <definedName name="EDIFICAÇÕES">#N/A</definedName>
    <definedName name="EE" localSheetId="0">#REF!</definedName>
    <definedName name="EE" localSheetId="4">#REF!</definedName>
    <definedName name="EE" localSheetId="7">#REF!</definedName>
    <definedName name="EE" localSheetId="5">#REF!</definedName>
    <definedName name="EE" localSheetId="2">#REF!</definedName>
    <definedName name="EE" localSheetId="6">#REF!</definedName>
    <definedName name="EE">#REF!</definedName>
    <definedName name="eee" localSheetId="0">#REF!</definedName>
    <definedName name="eee" localSheetId="4">#REF!</definedName>
    <definedName name="eee" localSheetId="7" hidden="1">#REF!</definedName>
    <definedName name="eee" localSheetId="5" hidden="1">#REF!</definedName>
    <definedName name="eee" localSheetId="2" hidden="1">#REF!</definedName>
    <definedName name="eee" localSheetId="6" hidden="1">#REF!</definedName>
    <definedName name="eee" hidden="1">#REF!</definedName>
    <definedName name="EJ" localSheetId="4">#REF!</definedName>
    <definedName name="EJ" localSheetId="7">#REF!</definedName>
    <definedName name="EJ" localSheetId="5">#REF!</definedName>
    <definedName name="EJ" localSheetId="2">#REF!</definedName>
    <definedName name="EJ" localSheetId="6">#REF!</definedName>
    <definedName name="EJ">#REF!</definedName>
    <definedName name="ELÉTRICA">#N/A</definedName>
    <definedName name="eletrica1" localSheetId="4">#REF!</definedName>
    <definedName name="eletrica1" localSheetId="7">#REF!</definedName>
    <definedName name="eletrica1" localSheetId="1">#REF!</definedName>
    <definedName name="eletrica1" localSheetId="5">#REF!</definedName>
    <definedName name="eletrica1" localSheetId="2">#REF!</definedName>
    <definedName name="eletrica1" localSheetId="6">#REF!</definedName>
    <definedName name="eletrica1">#REF!</definedName>
    <definedName name="EMOP" localSheetId="4">#REF!</definedName>
    <definedName name="EMOP" localSheetId="7">#REF!</definedName>
    <definedName name="EMOP" localSheetId="5">#REF!</definedName>
    <definedName name="EMOP" localSheetId="2">#REF!</definedName>
    <definedName name="EMOP" localSheetId="6">#REF!</definedName>
    <definedName name="EMOP">#REF!</definedName>
    <definedName name="empolamento" localSheetId="4">#REF!</definedName>
    <definedName name="empolamento" localSheetId="7">#REF!</definedName>
    <definedName name="empolamento" localSheetId="1">#REF!</definedName>
    <definedName name="empolamento" localSheetId="5">#REF!</definedName>
    <definedName name="empolamento" localSheetId="2">#REF!</definedName>
    <definedName name="empolamento" localSheetId="6">#REF!</definedName>
    <definedName name="empolamento">#REF!</definedName>
    <definedName name="Entra" localSheetId="0">#REF!</definedName>
    <definedName name="Entra" localSheetId="4">#REF!</definedName>
    <definedName name="Entra" localSheetId="7">#REF!</definedName>
    <definedName name="Entra" localSheetId="5">#REF!</definedName>
    <definedName name="Entra" localSheetId="2">#REF!</definedName>
    <definedName name="Entra" localSheetId="6">#REF!</definedName>
    <definedName name="Entra">#REF!</definedName>
    <definedName name="ENTRA_04" localSheetId="4">#REF!</definedName>
    <definedName name="ENTRA_04" localSheetId="7">#REF!</definedName>
    <definedName name="ENTRA_04" localSheetId="5">#REF!</definedName>
    <definedName name="ENTRA_04" localSheetId="2">#REF!</definedName>
    <definedName name="ENTRA_04" localSheetId="6">#REF!</definedName>
    <definedName name="ENTRA_04">#REF!</definedName>
    <definedName name="eqpto" localSheetId="0">#REF!</definedName>
    <definedName name="eqpto" localSheetId="4">#REF!</definedName>
    <definedName name="eqpto" localSheetId="7">#REF!</definedName>
    <definedName name="eqpto" localSheetId="5">#REF!</definedName>
    <definedName name="eqpto" localSheetId="2">#REF!</definedName>
    <definedName name="eqpto" localSheetId="6">#REF!</definedName>
    <definedName name="eqpto">#REF!</definedName>
    <definedName name="EQUIP" localSheetId="0">#REF!</definedName>
    <definedName name="EQUIP" localSheetId="4">#REF!</definedName>
    <definedName name="EQUIP" localSheetId="7">#REF!</definedName>
    <definedName name="EQUIP" localSheetId="5">#REF!</definedName>
    <definedName name="EQUIP" localSheetId="2">#REF!</definedName>
    <definedName name="EQUIP" localSheetId="6">#REF!</definedName>
    <definedName name="EQUIP">#REF!</definedName>
    <definedName name="EQUIP_INFO" localSheetId="4">#REF!</definedName>
    <definedName name="EQUIP_INFO" localSheetId="7">#REF!</definedName>
    <definedName name="EQUIP_INFO" localSheetId="1">#REF!</definedName>
    <definedName name="EQUIP_INFO" localSheetId="5">#REF!</definedName>
    <definedName name="EQUIP_INFO" localSheetId="2">#REF!</definedName>
    <definedName name="EQUIP_INFO" localSheetId="6">#REF!</definedName>
    <definedName name="EQUIP_INFO">#REF!</definedName>
    <definedName name="EQUIP1" localSheetId="4">#REF!</definedName>
    <definedName name="EQUIP1" localSheetId="7">#REF!</definedName>
    <definedName name="EQUIP1" localSheetId="5">#REF!</definedName>
    <definedName name="EQUIP1" localSheetId="2">#REF!</definedName>
    <definedName name="EQUIP1" localSheetId="6">#REF!</definedName>
    <definedName name="EQUIP1">#REF!</definedName>
    <definedName name="EQUIP243" localSheetId="4">#REF!</definedName>
    <definedName name="EQUIP243" localSheetId="7">#REF!</definedName>
    <definedName name="EQUIP243" localSheetId="1">#REF!</definedName>
    <definedName name="EQUIP243" localSheetId="5">#REF!</definedName>
    <definedName name="EQUIP243" localSheetId="2">#REF!</definedName>
    <definedName name="EQUIP243" localSheetId="6">#REF!</definedName>
    <definedName name="EQUIP243">#REF!</definedName>
    <definedName name="equipe_de_projeto__gerenciamento__meio_ambiente_e_obra" localSheetId="4">#REF!</definedName>
    <definedName name="equipe_de_projeto__gerenciamento__meio_ambiente_e_obra" localSheetId="7">#REF!</definedName>
    <definedName name="equipe_de_projeto__gerenciamento__meio_ambiente_e_obra" localSheetId="5">#REF!</definedName>
    <definedName name="equipe_de_projeto__gerenciamento__meio_ambiente_e_obra" localSheetId="2">#REF!</definedName>
    <definedName name="equipe_de_projeto__gerenciamento__meio_ambiente_e_obra" localSheetId="6">#REF!</definedName>
    <definedName name="equipe_de_projeto__gerenciamento__meio_ambiente_e_obra">#REF!</definedName>
    <definedName name="equipe_de_projeto__gerenciamento__meio_ambiente_e_obra_2" localSheetId="4">#REF!</definedName>
    <definedName name="equipe_de_projeto__gerenciamento__meio_ambiente_e_obra_2" localSheetId="7">#REF!</definedName>
    <definedName name="equipe_de_projeto__gerenciamento__meio_ambiente_e_obra_2" localSheetId="5">#REF!</definedName>
    <definedName name="equipe_de_projeto__gerenciamento__meio_ambiente_e_obra_2" localSheetId="2">#REF!</definedName>
    <definedName name="equipe_de_projeto__gerenciamento__meio_ambiente_e_obra_2" localSheetId="6">#REF!</definedName>
    <definedName name="equipe_de_projeto__gerenciamento__meio_ambiente_e_obra_2">#REF!</definedName>
    <definedName name="Estaca_fim" localSheetId="4">#REF!</definedName>
    <definedName name="Estaca_fim" localSheetId="7">#REF!</definedName>
    <definedName name="Estaca_fim" localSheetId="5">#REF!</definedName>
    <definedName name="Estaca_fim" localSheetId="2">#REF!</definedName>
    <definedName name="Estaca_fim" localSheetId="6">#REF!</definedName>
    <definedName name="Estaca_fim">#REF!</definedName>
    <definedName name="Estaca_inic" localSheetId="4">#REF!</definedName>
    <definedName name="Estaca_inic" localSheetId="7">#REF!</definedName>
    <definedName name="Estaca_inic" localSheetId="5">#REF!</definedName>
    <definedName name="Estaca_inic" localSheetId="2">#REF!</definedName>
    <definedName name="Estaca_inic" localSheetId="6">#REF!</definedName>
    <definedName name="Estaca_inic">#REF!</definedName>
    <definedName name="Estaca_Local" localSheetId="4">#REF!</definedName>
    <definedName name="Estaca_Local" localSheetId="7">#REF!</definedName>
    <definedName name="Estaca_Local" localSheetId="5">#REF!</definedName>
    <definedName name="Estaca_Local" localSheetId="2">#REF!</definedName>
    <definedName name="Estaca_Local" localSheetId="6">#REF!</definedName>
    <definedName name="Estaca_Local">#REF!</definedName>
    <definedName name="estaca3" localSheetId="4">#REF!</definedName>
    <definedName name="estaca3" localSheetId="7">#REF!</definedName>
    <definedName name="estaca3" localSheetId="5">#REF!</definedName>
    <definedName name="estaca3" localSheetId="2">#REF!</definedName>
    <definedName name="estaca3" localSheetId="6">#REF!</definedName>
    <definedName name="estaca3">#REF!</definedName>
    <definedName name="Etiqueta" localSheetId="4">#REF!</definedName>
    <definedName name="Etiqueta" localSheetId="7">#REF!</definedName>
    <definedName name="Etiqueta" localSheetId="1">#REF!</definedName>
    <definedName name="Etiqueta" localSheetId="5">#REF!</definedName>
    <definedName name="Etiqueta" localSheetId="2">#REF!</definedName>
    <definedName name="Etiqueta" localSheetId="6">#REF!</definedName>
    <definedName name="Etiqueta">#REF!</definedName>
    <definedName name="Etiqueta1" localSheetId="4">#REF!</definedName>
    <definedName name="Etiqueta1" localSheetId="7">#REF!</definedName>
    <definedName name="Etiqueta1" localSheetId="1">#REF!</definedName>
    <definedName name="Etiqueta1" localSheetId="5">#REF!</definedName>
    <definedName name="Etiqueta1" localSheetId="2">#REF!</definedName>
    <definedName name="Etiqueta1" localSheetId="6">#REF!</definedName>
    <definedName name="Etiqueta1">#REF!</definedName>
    <definedName name="Etiqueta2" localSheetId="4">#REF!</definedName>
    <definedName name="Etiqueta2" localSheetId="7">#REF!</definedName>
    <definedName name="Etiqueta2" localSheetId="1">#REF!</definedName>
    <definedName name="Etiqueta2" localSheetId="5">#REF!</definedName>
    <definedName name="Etiqueta2" localSheetId="2">#REF!</definedName>
    <definedName name="Etiqueta2" localSheetId="6">#REF!</definedName>
    <definedName name="Etiqueta2">#REF!</definedName>
    <definedName name="Etiqueta3" localSheetId="4">#REF!</definedName>
    <definedName name="Etiqueta3" localSheetId="7">#REF!</definedName>
    <definedName name="Etiqueta3" localSheetId="1">#REF!</definedName>
    <definedName name="Etiqueta3" localSheetId="5">#REF!</definedName>
    <definedName name="Etiqueta3" localSheetId="2">#REF!</definedName>
    <definedName name="Etiqueta3" localSheetId="6">#REF!</definedName>
    <definedName name="Etiqueta3">#REF!</definedName>
    <definedName name="ew" localSheetId="0">#REF!</definedName>
    <definedName name="ew" localSheetId="4">#REF!</definedName>
    <definedName name="ew" localSheetId="7">#REF!</definedName>
    <definedName name="ew" localSheetId="5">#REF!</definedName>
    <definedName name="ew" localSheetId="2">#REF!</definedName>
    <definedName name="ew" localSheetId="6">#REF!</definedName>
    <definedName name="ew">#REF!</definedName>
    <definedName name="ewq" localSheetId="0">#REF!</definedName>
    <definedName name="ewq" localSheetId="4">#REF!</definedName>
    <definedName name="ewq" localSheetId="7">#REF!</definedName>
    <definedName name="ewq" localSheetId="5">#REF!</definedName>
    <definedName name="ewq" localSheetId="2">#REF!</definedName>
    <definedName name="ewq" localSheetId="6">#REF!</definedName>
    <definedName name="ewq">#REF!</definedName>
    <definedName name="Excel_BuiltIn_Criteria" localSheetId="4">#REF!</definedName>
    <definedName name="Excel_BuiltIn_Criteria" localSheetId="7">#REF!</definedName>
    <definedName name="Excel_BuiltIn_Criteria" localSheetId="5">#REF!</definedName>
    <definedName name="Excel_BuiltIn_Criteria" localSheetId="2">#REF!</definedName>
    <definedName name="Excel_BuiltIn_Criteria" localSheetId="6">#REF!</definedName>
    <definedName name="Excel_BuiltIn_Criteria">#REF!</definedName>
    <definedName name="Excel_BuiltIn_Criteria_12" localSheetId="4">#REF!</definedName>
    <definedName name="Excel_BuiltIn_Criteria_12" localSheetId="7">#REF!</definedName>
    <definedName name="Excel_BuiltIn_Criteria_12" localSheetId="5">#REF!</definedName>
    <definedName name="Excel_BuiltIn_Criteria_12" localSheetId="2">#REF!</definedName>
    <definedName name="Excel_BuiltIn_Criteria_12" localSheetId="6">#REF!</definedName>
    <definedName name="Excel_BuiltIn_Criteria_12">#REF!</definedName>
    <definedName name="Excel_BuiltIn_Criteria_13" localSheetId="4">#REF!</definedName>
    <definedName name="Excel_BuiltIn_Criteria_13" localSheetId="7">#REF!</definedName>
    <definedName name="Excel_BuiltIn_Criteria_13" localSheetId="5">#REF!</definedName>
    <definedName name="Excel_BuiltIn_Criteria_13" localSheetId="2">#REF!</definedName>
    <definedName name="Excel_BuiltIn_Criteria_13" localSheetId="6">#REF!</definedName>
    <definedName name="Excel_BuiltIn_Criteria_13">#REF!</definedName>
    <definedName name="Excel_BuiltIn_Criteria_13_2" localSheetId="4">#REF!</definedName>
    <definedName name="Excel_BuiltIn_Criteria_13_2" localSheetId="7">#REF!</definedName>
    <definedName name="Excel_BuiltIn_Criteria_13_2" localSheetId="5">#REF!</definedName>
    <definedName name="Excel_BuiltIn_Criteria_13_2" localSheetId="2">#REF!</definedName>
    <definedName name="Excel_BuiltIn_Criteria_13_2" localSheetId="6">#REF!</definedName>
    <definedName name="Excel_BuiltIn_Criteria_13_2">#REF!</definedName>
    <definedName name="Excel_BuiltIn_Criteria_19" localSheetId="4">#REF!</definedName>
    <definedName name="Excel_BuiltIn_Criteria_19" localSheetId="7">#REF!</definedName>
    <definedName name="Excel_BuiltIn_Criteria_19" localSheetId="5">#REF!</definedName>
    <definedName name="Excel_BuiltIn_Criteria_19" localSheetId="2">#REF!</definedName>
    <definedName name="Excel_BuiltIn_Criteria_19" localSheetId="6">#REF!</definedName>
    <definedName name="Excel_BuiltIn_Criteria_19">#REF!</definedName>
    <definedName name="Excel_BuiltIn_Criteria_2" localSheetId="4">#REF!</definedName>
    <definedName name="Excel_BuiltIn_Criteria_2" localSheetId="7">#REF!</definedName>
    <definedName name="Excel_BuiltIn_Criteria_2" localSheetId="5">#REF!</definedName>
    <definedName name="Excel_BuiltIn_Criteria_2" localSheetId="2">#REF!</definedName>
    <definedName name="Excel_BuiltIn_Criteria_2" localSheetId="6">#REF!</definedName>
    <definedName name="Excel_BuiltIn_Criteria_2">#REF!</definedName>
    <definedName name="Excel_BuiltIn_Criteria_20" localSheetId="4">#REF!</definedName>
    <definedName name="Excel_BuiltIn_Criteria_20" localSheetId="7">#REF!</definedName>
    <definedName name="Excel_BuiltIn_Criteria_20" localSheetId="5">#REF!</definedName>
    <definedName name="Excel_BuiltIn_Criteria_20" localSheetId="2">#REF!</definedName>
    <definedName name="Excel_BuiltIn_Criteria_20" localSheetId="6">#REF!</definedName>
    <definedName name="Excel_BuiltIn_Criteria_20">#REF!</definedName>
    <definedName name="Excel_BuiltIn_Criteria_24" localSheetId="4">#REF!</definedName>
    <definedName name="Excel_BuiltIn_Criteria_24" localSheetId="7">#REF!</definedName>
    <definedName name="Excel_BuiltIn_Criteria_24" localSheetId="5">#REF!</definedName>
    <definedName name="Excel_BuiltIn_Criteria_24" localSheetId="2">#REF!</definedName>
    <definedName name="Excel_BuiltIn_Criteria_24" localSheetId="6">#REF!</definedName>
    <definedName name="Excel_BuiltIn_Criteria_24">#REF!</definedName>
    <definedName name="Excel_BuiltIn_Criteria_25" localSheetId="4">#REF!</definedName>
    <definedName name="Excel_BuiltIn_Criteria_25" localSheetId="7">#REF!</definedName>
    <definedName name="Excel_BuiltIn_Criteria_25" localSheetId="5">#REF!</definedName>
    <definedName name="Excel_BuiltIn_Criteria_25" localSheetId="2">#REF!</definedName>
    <definedName name="Excel_BuiltIn_Criteria_25" localSheetId="6">#REF!</definedName>
    <definedName name="Excel_BuiltIn_Criteria_25">#REF!</definedName>
    <definedName name="Excel_BuiltIn_Criteria_26" localSheetId="4">#REF!</definedName>
    <definedName name="Excel_BuiltIn_Criteria_26" localSheetId="7">#REF!</definedName>
    <definedName name="Excel_BuiltIn_Criteria_26" localSheetId="5">#REF!</definedName>
    <definedName name="Excel_BuiltIn_Criteria_26" localSheetId="2">#REF!</definedName>
    <definedName name="Excel_BuiltIn_Criteria_26" localSheetId="6">#REF!</definedName>
    <definedName name="Excel_BuiltIn_Criteria_26">#REF!</definedName>
    <definedName name="Excel_BuiltIn_Criteria_30" localSheetId="4">#REF!</definedName>
    <definedName name="Excel_BuiltIn_Criteria_30" localSheetId="7">#REF!</definedName>
    <definedName name="Excel_BuiltIn_Criteria_30" localSheetId="5">#REF!</definedName>
    <definedName name="Excel_BuiltIn_Criteria_30" localSheetId="2">#REF!</definedName>
    <definedName name="Excel_BuiltIn_Criteria_30" localSheetId="6">#REF!</definedName>
    <definedName name="Excel_BuiltIn_Criteria_30">#REF!</definedName>
    <definedName name="Excel_BuiltIn_Criteria_31" localSheetId="4">#REF!</definedName>
    <definedName name="Excel_BuiltIn_Criteria_31" localSheetId="7">#REF!</definedName>
    <definedName name="Excel_BuiltIn_Criteria_31" localSheetId="5">#REF!</definedName>
    <definedName name="Excel_BuiltIn_Criteria_31" localSheetId="2">#REF!</definedName>
    <definedName name="Excel_BuiltIn_Criteria_31" localSheetId="6">#REF!</definedName>
    <definedName name="Excel_BuiltIn_Criteria_31">#REF!</definedName>
    <definedName name="Excel_BuiltIn_Criteria_5" localSheetId="4">#REF!</definedName>
    <definedName name="Excel_BuiltIn_Criteria_5" localSheetId="7">#REF!</definedName>
    <definedName name="Excel_BuiltIn_Criteria_5" localSheetId="5">#REF!</definedName>
    <definedName name="Excel_BuiltIn_Criteria_5" localSheetId="2">#REF!</definedName>
    <definedName name="Excel_BuiltIn_Criteria_5" localSheetId="6">#REF!</definedName>
    <definedName name="Excel_BuiltIn_Criteria_5">#REF!</definedName>
    <definedName name="Excel_BuiltIn_Criteria_5_2" localSheetId="4">#REF!</definedName>
    <definedName name="Excel_BuiltIn_Criteria_5_2" localSheetId="7">#REF!</definedName>
    <definedName name="Excel_BuiltIn_Criteria_5_2" localSheetId="5">#REF!</definedName>
    <definedName name="Excel_BuiltIn_Criteria_5_2" localSheetId="2">#REF!</definedName>
    <definedName name="Excel_BuiltIn_Criteria_5_2" localSheetId="6">#REF!</definedName>
    <definedName name="Excel_BuiltIn_Criteria_5_2">#REF!</definedName>
    <definedName name="Excel_BuiltIn_Criteria_7" localSheetId="4">#REF!</definedName>
    <definedName name="Excel_BuiltIn_Criteria_7" localSheetId="7">#REF!</definedName>
    <definedName name="Excel_BuiltIn_Criteria_7" localSheetId="5">#REF!</definedName>
    <definedName name="Excel_BuiltIn_Criteria_7" localSheetId="2">#REF!</definedName>
    <definedName name="Excel_BuiltIn_Criteria_7" localSheetId="6">#REF!</definedName>
    <definedName name="Excel_BuiltIn_Criteria_7">#REF!</definedName>
    <definedName name="Excel_BuiltIn_Criteria_72" localSheetId="4">#REF!</definedName>
    <definedName name="Excel_BuiltIn_Criteria_72" localSheetId="7">#REF!</definedName>
    <definedName name="Excel_BuiltIn_Criteria_72" localSheetId="5">#REF!</definedName>
    <definedName name="Excel_BuiltIn_Criteria_72" localSheetId="2">#REF!</definedName>
    <definedName name="Excel_BuiltIn_Criteria_72" localSheetId="6">#REF!</definedName>
    <definedName name="Excel_BuiltIn_Criteria_72">#REF!</definedName>
    <definedName name="Excel_BuiltIn_Criteria_78" localSheetId="4">#REF!</definedName>
    <definedName name="Excel_BuiltIn_Criteria_78" localSheetId="7">#REF!</definedName>
    <definedName name="Excel_BuiltIn_Criteria_78" localSheetId="5">#REF!</definedName>
    <definedName name="Excel_BuiltIn_Criteria_78" localSheetId="2">#REF!</definedName>
    <definedName name="Excel_BuiltIn_Criteria_78" localSheetId="6">#REF!</definedName>
    <definedName name="Excel_BuiltIn_Criteria_78">#REF!</definedName>
    <definedName name="Excel_BuiltIn_Criteria_82" localSheetId="4">#REF!</definedName>
    <definedName name="Excel_BuiltIn_Criteria_82" localSheetId="7">#REF!</definedName>
    <definedName name="Excel_BuiltIn_Criteria_82" localSheetId="5">#REF!</definedName>
    <definedName name="Excel_BuiltIn_Criteria_82" localSheetId="2">#REF!</definedName>
    <definedName name="Excel_BuiltIn_Criteria_82" localSheetId="6">#REF!</definedName>
    <definedName name="Excel_BuiltIn_Criteria_82">#REF!</definedName>
    <definedName name="Excel_BuiltIn_Criteria_84" localSheetId="4">#REF!</definedName>
    <definedName name="Excel_BuiltIn_Criteria_84" localSheetId="7">#REF!</definedName>
    <definedName name="Excel_BuiltIn_Criteria_84" localSheetId="5">#REF!</definedName>
    <definedName name="Excel_BuiltIn_Criteria_84" localSheetId="2">#REF!</definedName>
    <definedName name="Excel_BuiltIn_Criteria_84" localSheetId="6">#REF!</definedName>
    <definedName name="Excel_BuiltIn_Criteria_84">#REF!</definedName>
    <definedName name="Excel_BuiltIn_Criteria_88" localSheetId="4">#REF!</definedName>
    <definedName name="Excel_BuiltIn_Criteria_88" localSheetId="7">#REF!</definedName>
    <definedName name="Excel_BuiltIn_Criteria_88" localSheetId="5">#REF!</definedName>
    <definedName name="Excel_BuiltIn_Criteria_88" localSheetId="2">#REF!</definedName>
    <definedName name="Excel_BuiltIn_Criteria_88" localSheetId="6">#REF!</definedName>
    <definedName name="Excel_BuiltIn_Criteria_88">#REF!</definedName>
    <definedName name="Excel_BuiltIn_Criteria_90" localSheetId="4">#REF!</definedName>
    <definedName name="Excel_BuiltIn_Criteria_90" localSheetId="7">#REF!</definedName>
    <definedName name="Excel_BuiltIn_Criteria_90" localSheetId="5">#REF!</definedName>
    <definedName name="Excel_BuiltIn_Criteria_90" localSheetId="2">#REF!</definedName>
    <definedName name="Excel_BuiltIn_Criteria_90" localSheetId="6">#REF!</definedName>
    <definedName name="Excel_BuiltIn_Criteria_90">#REF!</definedName>
    <definedName name="Excel_BuiltIn_Criteria_91" localSheetId="4">#REF!</definedName>
    <definedName name="Excel_BuiltIn_Criteria_91" localSheetId="7">#REF!</definedName>
    <definedName name="Excel_BuiltIn_Criteria_91" localSheetId="5">#REF!</definedName>
    <definedName name="Excel_BuiltIn_Criteria_91" localSheetId="2">#REF!</definedName>
    <definedName name="Excel_BuiltIn_Criteria_91" localSheetId="6">#REF!</definedName>
    <definedName name="Excel_BuiltIn_Criteria_91">#REF!</definedName>
    <definedName name="Excel_BuiltIn_Criteria_92" localSheetId="4">#REF!</definedName>
    <definedName name="Excel_BuiltIn_Criteria_92" localSheetId="7">#REF!</definedName>
    <definedName name="Excel_BuiltIn_Criteria_92" localSheetId="5">#REF!</definedName>
    <definedName name="Excel_BuiltIn_Criteria_92" localSheetId="2">#REF!</definedName>
    <definedName name="Excel_BuiltIn_Criteria_92" localSheetId="6">#REF!</definedName>
    <definedName name="Excel_BuiltIn_Criteria_92">#REF!</definedName>
    <definedName name="Excel_BuiltIn_Criteria_93" localSheetId="4">#REF!</definedName>
    <definedName name="Excel_BuiltIn_Criteria_93" localSheetId="7">#REF!</definedName>
    <definedName name="Excel_BuiltIn_Criteria_93" localSheetId="5">#REF!</definedName>
    <definedName name="Excel_BuiltIn_Criteria_93" localSheetId="2">#REF!</definedName>
    <definedName name="Excel_BuiltIn_Criteria_93" localSheetId="6">#REF!</definedName>
    <definedName name="Excel_BuiltIn_Criteria_93">#REF!</definedName>
    <definedName name="Excel_BuiltIn_Criteria_94" localSheetId="4">#REF!</definedName>
    <definedName name="Excel_BuiltIn_Criteria_94" localSheetId="7">#REF!</definedName>
    <definedName name="Excel_BuiltIn_Criteria_94" localSheetId="5">#REF!</definedName>
    <definedName name="Excel_BuiltIn_Criteria_94" localSheetId="2">#REF!</definedName>
    <definedName name="Excel_BuiltIn_Criteria_94" localSheetId="6">#REF!</definedName>
    <definedName name="Excel_BuiltIn_Criteria_94">#REF!</definedName>
    <definedName name="Excel_BuiltIn_Database" localSheetId="4">#REF!</definedName>
    <definedName name="Excel_BuiltIn_Database" localSheetId="7">#REF!</definedName>
    <definedName name="Excel_BuiltIn_Database" localSheetId="5">#REF!</definedName>
    <definedName name="Excel_BuiltIn_Database" localSheetId="2">#REF!</definedName>
    <definedName name="Excel_BuiltIn_Database" localSheetId="6">#REF!</definedName>
    <definedName name="Excel_BuiltIn_Database">#REF!</definedName>
    <definedName name="Excel_BuiltIn_Database_12" localSheetId="4">#REF!</definedName>
    <definedName name="Excel_BuiltIn_Database_12" localSheetId="7">#REF!</definedName>
    <definedName name="Excel_BuiltIn_Database_12" localSheetId="5">#REF!</definedName>
    <definedName name="Excel_BuiltIn_Database_12" localSheetId="2">#REF!</definedName>
    <definedName name="Excel_BuiltIn_Database_12" localSheetId="6">#REF!</definedName>
    <definedName name="Excel_BuiltIn_Database_12">#REF!</definedName>
    <definedName name="Excel_BuiltIn_Database_13" localSheetId="4">#REF!</definedName>
    <definedName name="Excel_BuiltIn_Database_13" localSheetId="7">#REF!</definedName>
    <definedName name="Excel_BuiltIn_Database_13" localSheetId="5">#REF!</definedName>
    <definedName name="Excel_BuiltIn_Database_13" localSheetId="2">#REF!</definedName>
    <definedName name="Excel_BuiltIn_Database_13" localSheetId="6">#REF!</definedName>
    <definedName name="Excel_BuiltIn_Database_13">#REF!</definedName>
    <definedName name="Excel_BuiltIn_Database_19" localSheetId="4">#REF!</definedName>
    <definedName name="Excel_BuiltIn_Database_19" localSheetId="7">#REF!</definedName>
    <definedName name="Excel_BuiltIn_Database_19" localSheetId="5">#REF!</definedName>
    <definedName name="Excel_BuiltIn_Database_19" localSheetId="2">#REF!</definedName>
    <definedName name="Excel_BuiltIn_Database_19" localSheetId="6">#REF!</definedName>
    <definedName name="Excel_BuiltIn_Database_19">#REF!</definedName>
    <definedName name="Excel_BuiltIn_Database_2" localSheetId="4">#REF!</definedName>
    <definedName name="Excel_BuiltIn_Database_2" localSheetId="7">#REF!</definedName>
    <definedName name="Excel_BuiltIn_Database_2" localSheetId="5">#REF!</definedName>
    <definedName name="Excel_BuiltIn_Database_2" localSheetId="2">#REF!</definedName>
    <definedName name="Excel_BuiltIn_Database_2" localSheetId="6">#REF!</definedName>
    <definedName name="Excel_BuiltIn_Database_2">#REF!</definedName>
    <definedName name="Excel_BuiltIn_Database_20" localSheetId="4">#REF!</definedName>
    <definedName name="Excel_BuiltIn_Database_20" localSheetId="7">#REF!</definedName>
    <definedName name="Excel_BuiltIn_Database_20" localSheetId="5">#REF!</definedName>
    <definedName name="Excel_BuiltIn_Database_20" localSheetId="2">#REF!</definedName>
    <definedName name="Excel_BuiltIn_Database_20" localSheetId="6">#REF!</definedName>
    <definedName name="Excel_BuiltIn_Database_20">#REF!</definedName>
    <definedName name="Excel_BuiltIn_Database_24" localSheetId="4">#REF!</definedName>
    <definedName name="Excel_BuiltIn_Database_24" localSheetId="7">#REF!</definedName>
    <definedName name="Excel_BuiltIn_Database_24" localSheetId="5">#REF!</definedName>
    <definedName name="Excel_BuiltIn_Database_24" localSheetId="2">#REF!</definedName>
    <definedName name="Excel_BuiltIn_Database_24" localSheetId="6">#REF!</definedName>
    <definedName name="Excel_BuiltIn_Database_24">#REF!</definedName>
    <definedName name="Excel_BuiltIn_Database_25" localSheetId="4">#REF!</definedName>
    <definedName name="Excel_BuiltIn_Database_25" localSheetId="7">#REF!</definedName>
    <definedName name="Excel_BuiltIn_Database_25" localSheetId="5">#REF!</definedName>
    <definedName name="Excel_BuiltIn_Database_25" localSheetId="2">#REF!</definedName>
    <definedName name="Excel_BuiltIn_Database_25" localSheetId="6">#REF!</definedName>
    <definedName name="Excel_BuiltIn_Database_25">#REF!</definedName>
    <definedName name="Excel_BuiltIn_Database_26" localSheetId="4">#REF!</definedName>
    <definedName name="Excel_BuiltIn_Database_26" localSheetId="7">#REF!</definedName>
    <definedName name="Excel_BuiltIn_Database_26" localSheetId="5">#REF!</definedName>
    <definedName name="Excel_BuiltIn_Database_26" localSheetId="2">#REF!</definedName>
    <definedName name="Excel_BuiltIn_Database_26" localSheetId="6">#REF!</definedName>
    <definedName name="Excel_BuiltIn_Database_26">#REF!</definedName>
    <definedName name="Excel_BuiltIn_Database_30" localSheetId="4">#REF!</definedName>
    <definedName name="Excel_BuiltIn_Database_30" localSheetId="7">#REF!</definedName>
    <definedName name="Excel_BuiltIn_Database_30" localSheetId="5">#REF!</definedName>
    <definedName name="Excel_BuiltIn_Database_30" localSheetId="2">#REF!</definedName>
    <definedName name="Excel_BuiltIn_Database_30" localSheetId="6">#REF!</definedName>
    <definedName name="Excel_BuiltIn_Database_30">#REF!</definedName>
    <definedName name="Excel_BuiltIn_Database_31" localSheetId="4">#REF!</definedName>
    <definedName name="Excel_BuiltIn_Database_31" localSheetId="7">#REF!</definedName>
    <definedName name="Excel_BuiltIn_Database_31" localSheetId="5">#REF!</definedName>
    <definedName name="Excel_BuiltIn_Database_31" localSheetId="2">#REF!</definedName>
    <definedName name="Excel_BuiltIn_Database_31" localSheetId="6">#REF!</definedName>
    <definedName name="Excel_BuiltIn_Database_31">#REF!</definedName>
    <definedName name="Excel_BuiltIn_Database_7" localSheetId="4">#REF!</definedName>
    <definedName name="Excel_BuiltIn_Database_7" localSheetId="7">#REF!</definedName>
    <definedName name="Excel_BuiltIn_Database_7" localSheetId="5">#REF!</definedName>
    <definedName name="Excel_BuiltIn_Database_7" localSheetId="2">#REF!</definedName>
    <definedName name="Excel_BuiltIn_Database_7" localSheetId="6">#REF!</definedName>
    <definedName name="Excel_BuiltIn_Database_7">#REF!</definedName>
    <definedName name="Excel_BuiltIn_Database_72" localSheetId="4">#REF!</definedName>
    <definedName name="Excel_BuiltIn_Database_72" localSheetId="7">#REF!</definedName>
    <definedName name="Excel_BuiltIn_Database_72" localSheetId="5">#REF!</definedName>
    <definedName name="Excel_BuiltIn_Database_72" localSheetId="2">#REF!</definedName>
    <definedName name="Excel_BuiltIn_Database_72" localSheetId="6">#REF!</definedName>
    <definedName name="Excel_BuiltIn_Database_72">#REF!</definedName>
    <definedName name="Excel_BuiltIn_Database_78" localSheetId="4">#REF!</definedName>
    <definedName name="Excel_BuiltIn_Database_78" localSheetId="7">#REF!</definedName>
    <definedName name="Excel_BuiltIn_Database_78" localSheetId="5">#REF!</definedName>
    <definedName name="Excel_BuiltIn_Database_78" localSheetId="2">#REF!</definedName>
    <definedName name="Excel_BuiltIn_Database_78" localSheetId="6">#REF!</definedName>
    <definedName name="Excel_BuiltIn_Database_78">#REF!</definedName>
    <definedName name="Excel_BuiltIn_Database_82" localSheetId="4">#REF!</definedName>
    <definedName name="Excel_BuiltIn_Database_82" localSheetId="7">#REF!</definedName>
    <definedName name="Excel_BuiltIn_Database_82" localSheetId="5">#REF!</definedName>
    <definedName name="Excel_BuiltIn_Database_82" localSheetId="2">#REF!</definedName>
    <definedName name="Excel_BuiltIn_Database_82" localSheetId="6">#REF!</definedName>
    <definedName name="Excel_BuiltIn_Database_82">#REF!</definedName>
    <definedName name="Excel_BuiltIn_Database_84" localSheetId="4">#REF!</definedName>
    <definedName name="Excel_BuiltIn_Database_84" localSheetId="7">#REF!</definedName>
    <definedName name="Excel_BuiltIn_Database_84" localSheetId="5">#REF!</definedName>
    <definedName name="Excel_BuiltIn_Database_84" localSheetId="2">#REF!</definedName>
    <definedName name="Excel_BuiltIn_Database_84" localSheetId="6">#REF!</definedName>
    <definedName name="Excel_BuiltIn_Database_84">#REF!</definedName>
    <definedName name="Excel_BuiltIn_Database_88" localSheetId="4">#REF!</definedName>
    <definedName name="Excel_BuiltIn_Database_88" localSheetId="7">#REF!</definedName>
    <definedName name="Excel_BuiltIn_Database_88" localSheetId="5">#REF!</definedName>
    <definedName name="Excel_BuiltIn_Database_88" localSheetId="2">#REF!</definedName>
    <definedName name="Excel_BuiltIn_Database_88" localSheetId="6">#REF!</definedName>
    <definedName name="Excel_BuiltIn_Database_88">#REF!</definedName>
    <definedName name="Excel_BuiltIn_Database_90" localSheetId="4">#REF!</definedName>
    <definedName name="Excel_BuiltIn_Database_90" localSheetId="7">#REF!</definedName>
    <definedName name="Excel_BuiltIn_Database_90" localSheetId="5">#REF!</definedName>
    <definedName name="Excel_BuiltIn_Database_90" localSheetId="2">#REF!</definedName>
    <definedName name="Excel_BuiltIn_Database_90" localSheetId="6">#REF!</definedName>
    <definedName name="Excel_BuiltIn_Database_90">#REF!</definedName>
    <definedName name="Excel_BuiltIn_Database_91" localSheetId="4">#REF!</definedName>
    <definedName name="Excel_BuiltIn_Database_91" localSheetId="7">#REF!</definedName>
    <definedName name="Excel_BuiltIn_Database_91" localSheetId="5">#REF!</definedName>
    <definedName name="Excel_BuiltIn_Database_91" localSheetId="2">#REF!</definedName>
    <definedName name="Excel_BuiltIn_Database_91" localSheetId="6">#REF!</definedName>
    <definedName name="Excel_BuiltIn_Database_91">#REF!</definedName>
    <definedName name="Excel_BuiltIn_Database_92" localSheetId="4">#REF!</definedName>
    <definedName name="Excel_BuiltIn_Database_92" localSheetId="7">#REF!</definedName>
    <definedName name="Excel_BuiltIn_Database_92" localSheetId="5">#REF!</definedName>
    <definedName name="Excel_BuiltIn_Database_92" localSheetId="2">#REF!</definedName>
    <definedName name="Excel_BuiltIn_Database_92" localSheetId="6">#REF!</definedName>
    <definedName name="Excel_BuiltIn_Database_92">#REF!</definedName>
    <definedName name="Excel_BuiltIn_Database_93" localSheetId="4">#REF!</definedName>
    <definedName name="Excel_BuiltIn_Database_93" localSheetId="7">#REF!</definedName>
    <definedName name="Excel_BuiltIn_Database_93" localSheetId="5">#REF!</definedName>
    <definedName name="Excel_BuiltIn_Database_93" localSheetId="2">#REF!</definedName>
    <definedName name="Excel_BuiltIn_Database_93" localSheetId="6">#REF!</definedName>
    <definedName name="Excel_BuiltIn_Database_93">#REF!</definedName>
    <definedName name="Excel_BuiltIn_Database_94" localSheetId="4">#REF!</definedName>
    <definedName name="Excel_BuiltIn_Database_94" localSheetId="7">#REF!</definedName>
    <definedName name="Excel_BuiltIn_Database_94" localSheetId="5">#REF!</definedName>
    <definedName name="Excel_BuiltIn_Database_94" localSheetId="2">#REF!</definedName>
    <definedName name="Excel_BuiltIn_Database_94" localSheetId="6">#REF!</definedName>
    <definedName name="Excel_BuiltIn_Database_94">#REF!</definedName>
    <definedName name="Excel_BuiltIn_Extract" localSheetId="4">#REF!</definedName>
    <definedName name="Excel_BuiltIn_Extract" localSheetId="7">#REF!</definedName>
    <definedName name="Excel_BuiltIn_Extract" localSheetId="5">#REF!</definedName>
    <definedName name="Excel_BuiltIn_Extract" localSheetId="2">#REF!</definedName>
    <definedName name="Excel_BuiltIn_Extract" localSheetId="6">#REF!</definedName>
    <definedName name="Excel_BuiltIn_Extract">#REF!</definedName>
    <definedName name="Excel_BuiltIn_Extract_12" localSheetId="4">#REF!</definedName>
    <definedName name="Excel_BuiltIn_Extract_12" localSheetId="7">#REF!</definedName>
    <definedName name="Excel_BuiltIn_Extract_12" localSheetId="5">#REF!</definedName>
    <definedName name="Excel_BuiltIn_Extract_12" localSheetId="2">#REF!</definedName>
    <definedName name="Excel_BuiltIn_Extract_12" localSheetId="6">#REF!</definedName>
    <definedName name="Excel_BuiltIn_Extract_12">#REF!</definedName>
    <definedName name="Excel_BuiltIn_Extract_13" localSheetId="4">#REF!</definedName>
    <definedName name="Excel_BuiltIn_Extract_13" localSheetId="7">#REF!</definedName>
    <definedName name="Excel_BuiltIn_Extract_13" localSheetId="5">#REF!</definedName>
    <definedName name="Excel_BuiltIn_Extract_13" localSheetId="2">#REF!</definedName>
    <definedName name="Excel_BuiltIn_Extract_13" localSheetId="6">#REF!</definedName>
    <definedName name="Excel_BuiltIn_Extract_13">#REF!</definedName>
    <definedName name="Excel_BuiltIn_Extract_19" localSheetId="4">#REF!</definedName>
    <definedName name="Excel_BuiltIn_Extract_19" localSheetId="7">#REF!</definedName>
    <definedName name="Excel_BuiltIn_Extract_19" localSheetId="5">#REF!</definedName>
    <definedName name="Excel_BuiltIn_Extract_19" localSheetId="2">#REF!</definedName>
    <definedName name="Excel_BuiltIn_Extract_19" localSheetId="6">#REF!</definedName>
    <definedName name="Excel_BuiltIn_Extract_19">#REF!</definedName>
    <definedName name="Excel_BuiltIn_Extract_2" localSheetId="4">#REF!</definedName>
    <definedName name="Excel_BuiltIn_Extract_2" localSheetId="7">#REF!</definedName>
    <definedName name="Excel_BuiltIn_Extract_2" localSheetId="5">#REF!</definedName>
    <definedName name="Excel_BuiltIn_Extract_2" localSheetId="2">#REF!</definedName>
    <definedName name="Excel_BuiltIn_Extract_2" localSheetId="6">#REF!</definedName>
    <definedName name="Excel_BuiltIn_Extract_2">#REF!</definedName>
    <definedName name="Excel_BuiltIn_Extract_20" localSheetId="4">#REF!</definedName>
    <definedName name="Excel_BuiltIn_Extract_20" localSheetId="7">#REF!</definedName>
    <definedName name="Excel_BuiltIn_Extract_20" localSheetId="5">#REF!</definedName>
    <definedName name="Excel_BuiltIn_Extract_20" localSheetId="2">#REF!</definedName>
    <definedName name="Excel_BuiltIn_Extract_20" localSheetId="6">#REF!</definedName>
    <definedName name="Excel_BuiltIn_Extract_20">#REF!</definedName>
    <definedName name="Excel_BuiltIn_Extract_24" localSheetId="4">#REF!</definedName>
    <definedName name="Excel_BuiltIn_Extract_24" localSheetId="7">#REF!</definedName>
    <definedName name="Excel_BuiltIn_Extract_24" localSheetId="5">#REF!</definedName>
    <definedName name="Excel_BuiltIn_Extract_24" localSheetId="2">#REF!</definedName>
    <definedName name="Excel_BuiltIn_Extract_24" localSheetId="6">#REF!</definedName>
    <definedName name="Excel_BuiltIn_Extract_24">#REF!</definedName>
    <definedName name="Excel_BuiltIn_Extract_25" localSheetId="4">#REF!</definedName>
    <definedName name="Excel_BuiltIn_Extract_25" localSheetId="7">#REF!</definedName>
    <definedName name="Excel_BuiltIn_Extract_25" localSheetId="5">#REF!</definedName>
    <definedName name="Excel_BuiltIn_Extract_25" localSheetId="2">#REF!</definedName>
    <definedName name="Excel_BuiltIn_Extract_25" localSheetId="6">#REF!</definedName>
    <definedName name="Excel_BuiltIn_Extract_25">#REF!</definedName>
    <definedName name="Excel_BuiltIn_Extract_26" localSheetId="4">#REF!</definedName>
    <definedName name="Excel_BuiltIn_Extract_26" localSheetId="7">#REF!</definedName>
    <definedName name="Excel_BuiltIn_Extract_26" localSheetId="5">#REF!</definedName>
    <definedName name="Excel_BuiltIn_Extract_26" localSheetId="2">#REF!</definedName>
    <definedName name="Excel_BuiltIn_Extract_26" localSheetId="6">#REF!</definedName>
    <definedName name="Excel_BuiltIn_Extract_26">#REF!</definedName>
    <definedName name="Excel_BuiltIn_Extract_30" localSheetId="4">#REF!</definedName>
    <definedName name="Excel_BuiltIn_Extract_30" localSheetId="7">#REF!</definedName>
    <definedName name="Excel_BuiltIn_Extract_30" localSheetId="5">#REF!</definedName>
    <definedName name="Excel_BuiltIn_Extract_30" localSheetId="2">#REF!</definedName>
    <definedName name="Excel_BuiltIn_Extract_30" localSheetId="6">#REF!</definedName>
    <definedName name="Excel_BuiltIn_Extract_30">#REF!</definedName>
    <definedName name="Excel_BuiltIn_Extract_31" localSheetId="4">#REF!</definedName>
    <definedName name="Excel_BuiltIn_Extract_31" localSheetId="7">#REF!</definedName>
    <definedName name="Excel_BuiltIn_Extract_31" localSheetId="5">#REF!</definedName>
    <definedName name="Excel_BuiltIn_Extract_31" localSheetId="2">#REF!</definedName>
    <definedName name="Excel_BuiltIn_Extract_31" localSheetId="6">#REF!</definedName>
    <definedName name="Excel_BuiltIn_Extract_31">#REF!</definedName>
    <definedName name="Excel_BuiltIn_Extract_5" localSheetId="4">#REF!</definedName>
    <definedName name="Excel_BuiltIn_Extract_5" localSheetId="7">#REF!</definedName>
    <definedName name="Excel_BuiltIn_Extract_5" localSheetId="5">#REF!</definedName>
    <definedName name="Excel_BuiltIn_Extract_5" localSheetId="2">#REF!</definedName>
    <definedName name="Excel_BuiltIn_Extract_5" localSheetId="6">#REF!</definedName>
    <definedName name="Excel_BuiltIn_Extract_5">#REF!</definedName>
    <definedName name="Excel_BuiltIn_Extract_5_2" localSheetId="4">#REF!</definedName>
    <definedName name="Excel_BuiltIn_Extract_5_2" localSheetId="7">#REF!</definedName>
    <definedName name="Excel_BuiltIn_Extract_5_2" localSheetId="5">#REF!</definedName>
    <definedName name="Excel_BuiltIn_Extract_5_2" localSheetId="2">#REF!</definedName>
    <definedName name="Excel_BuiltIn_Extract_5_2" localSheetId="6">#REF!</definedName>
    <definedName name="Excel_BuiltIn_Extract_5_2">#REF!</definedName>
    <definedName name="Excel_BuiltIn_Extract_7" localSheetId="4">#REF!</definedName>
    <definedName name="Excel_BuiltIn_Extract_7" localSheetId="7">#REF!</definedName>
    <definedName name="Excel_BuiltIn_Extract_7" localSheetId="5">#REF!</definedName>
    <definedName name="Excel_BuiltIn_Extract_7" localSheetId="2">#REF!</definedName>
    <definedName name="Excel_BuiltIn_Extract_7" localSheetId="6">#REF!</definedName>
    <definedName name="Excel_BuiltIn_Extract_7">#REF!</definedName>
    <definedName name="Excel_BuiltIn_Extract_72" localSheetId="4">#REF!</definedName>
    <definedName name="Excel_BuiltIn_Extract_72" localSheetId="7">#REF!</definedName>
    <definedName name="Excel_BuiltIn_Extract_72" localSheetId="5">#REF!</definedName>
    <definedName name="Excel_BuiltIn_Extract_72" localSheetId="2">#REF!</definedName>
    <definedName name="Excel_BuiltIn_Extract_72" localSheetId="6">#REF!</definedName>
    <definedName name="Excel_BuiltIn_Extract_72">#REF!</definedName>
    <definedName name="Excel_BuiltIn_Extract_78" localSheetId="4">#REF!</definedName>
    <definedName name="Excel_BuiltIn_Extract_78" localSheetId="7">#REF!</definedName>
    <definedName name="Excel_BuiltIn_Extract_78" localSheetId="5">#REF!</definedName>
    <definedName name="Excel_BuiltIn_Extract_78" localSheetId="2">#REF!</definedName>
    <definedName name="Excel_BuiltIn_Extract_78" localSheetId="6">#REF!</definedName>
    <definedName name="Excel_BuiltIn_Extract_78">#REF!</definedName>
    <definedName name="Excel_BuiltIn_Extract_82" localSheetId="4">#REF!</definedName>
    <definedName name="Excel_BuiltIn_Extract_82" localSheetId="7">#REF!</definedName>
    <definedName name="Excel_BuiltIn_Extract_82" localSheetId="5">#REF!</definedName>
    <definedName name="Excel_BuiltIn_Extract_82" localSheetId="2">#REF!</definedName>
    <definedName name="Excel_BuiltIn_Extract_82" localSheetId="6">#REF!</definedName>
    <definedName name="Excel_BuiltIn_Extract_82">#REF!</definedName>
    <definedName name="Excel_BuiltIn_Extract_84" localSheetId="4">#REF!</definedName>
    <definedName name="Excel_BuiltIn_Extract_84" localSheetId="7">#REF!</definedName>
    <definedName name="Excel_BuiltIn_Extract_84" localSheetId="5">#REF!</definedName>
    <definedName name="Excel_BuiltIn_Extract_84" localSheetId="2">#REF!</definedName>
    <definedName name="Excel_BuiltIn_Extract_84" localSheetId="6">#REF!</definedName>
    <definedName name="Excel_BuiltIn_Extract_84">#REF!</definedName>
    <definedName name="Excel_BuiltIn_Extract_88" localSheetId="4">#REF!</definedName>
    <definedName name="Excel_BuiltIn_Extract_88" localSheetId="7">#REF!</definedName>
    <definedName name="Excel_BuiltIn_Extract_88" localSheetId="5">#REF!</definedName>
    <definedName name="Excel_BuiltIn_Extract_88" localSheetId="2">#REF!</definedName>
    <definedName name="Excel_BuiltIn_Extract_88" localSheetId="6">#REF!</definedName>
    <definedName name="Excel_BuiltIn_Extract_88">#REF!</definedName>
    <definedName name="Excel_BuiltIn_Extract_90" localSheetId="4">#REF!</definedName>
    <definedName name="Excel_BuiltIn_Extract_90" localSheetId="7">#REF!</definedName>
    <definedName name="Excel_BuiltIn_Extract_90" localSheetId="5">#REF!</definedName>
    <definedName name="Excel_BuiltIn_Extract_90" localSheetId="2">#REF!</definedName>
    <definedName name="Excel_BuiltIn_Extract_90" localSheetId="6">#REF!</definedName>
    <definedName name="Excel_BuiltIn_Extract_90">#REF!</definedName>
    <definedName name="Excel_BuiltIn_Extract_91" localSheetId="4">#REF!</definedName>
    <definedName name="Excel_BuiltIn_Extract_91" localSheetId="7">#REF!</definedName>
    <definedName name="Excel_BuiltIn_Extract_91" localSheetId="5">#REF!</definedName>
    <definedName name="Excel_BuiltIn_Extract_91" localSheetId="2">#REF!</definedName>
    <definedName name="Excel_BuiltIn_Extract_91" localSheetId="6">#REF!</definedName>
    <definedName name="Excel_BuiltIn_Extract_91">#REF!</definedName>
    <definedName name="Excel_BuiltIn_Extract_92" localSheetId="4">#REF!</definedName>
    <definedName name="Excel_BuiltIn_Extract_92" localSheetId="7">#REF!</definedName>
    <definedName name="Excel_BuiltIn_Extract_92" localSheetId="5">#REF!</definedName>
    <definedName name="Excel_BuiltIn_Extract_92" localSheetId="2">#REF!</definedName>
    <definedName name="Excel_BuiltIn_Extract_92" localSheetId="6">#REF!</definedName>
    <definedName name="Excel_BuiltIn_Extract_92">#REF!</definedName>
    <definedName name="Excel_BuiltIn_Extract_93" localSheetId="4">#REF!</definedName>
    <definedName name="Excel_BuiltIn_Extract_93" localSheetId="7">#REF!</definedName>
    <definedName name="Excel_BuiltIn_Extract_93" localSheetId="5">#REF!</definedName>
    <definedName name="Excel_BuiltIn_Extract_93" localSheetId="2">#REF!</definedName>
    <definedName name="Excel_BuiltIn_Extract_93" localSheetId="6">#REF!</definedName>
    <definedName name="Excel_BuiltIn_Extract_93">#REF!</definedName>
    <definedName name="Excel_BuiltIn_Extract_94" localSheetId="4">#REF!</definedName>
    <definedName name="Excel_BuiltIn_Extract_94" localSheetId="7">#REF!</definedName>
    <definedName name="Excel_BuiltIn_Extract_94" localSheetId="5">#REF!</definedName>
    <definedName name="Excel_BuiltIn_Extract_94" localSheetId="2">#REF!</definedName>
    <definedName name="Excel_BuiltIn_Extract_94" localSheetId="6">#REF!</definedName>
    <definedName name="Excel_BuiltIn_Extract_94">#REF!</definedName>
    <definedName name="Excel_BuiltIn_Print_Area_1" localSheetId="4">#REF!</definedName>
    <definedName name="Excel_BuiltIn_Print_Area_1" localSheetId="7">#REF!</definedName>
    <definedName name="Excel_BuiltIn_Print_Area_1" localSheetId="5">#REF!</definedName>
    <definedName name="Excel_BuiltIn_Print_Area_1" localSheetId="2">#REF!</definedName>
    <definedName name="Excel_BuiltIn_Print_Area_1" localSheetId="6">#REF!</definedName>
    <definedName name="Excel_BuiltIn_Print_Area_1">#REF!</definedName>
    <definedName name="Excel_BuiltIn_Print_Area_1_1" localSheetId="4">#REF!</definedName>
    <definedName name="Excel_BuiltIn_Print_Area_1_1" localSheetId="7">#REF!</definedName>
    <definedName name="Excel_BuiltIn_Print_Area_1_1" localSheetId="5">#REF!</definedName>
    <definedName name="Excel_BuiltIn_Print_Area_1_1" localSheetId="2">#REF!</definedName>
    <definedName name="Excel_BuiltIn_Print_Area_1_1" localSheetId="6">#REF!</definedName>
    <definedName name="Excel_BuiltIn_Print_Area_1_1">#REF!</definedName>
    <definedName name="Excel_BuiltIn_Print_Area_1_1_1" localSheetId="4">#REF!</definedName>
    <definedName name="Excel_BuiltIn_Print_Area_1_1_1" localSheetId="7">#REF!</definedName>
    <definedName name="Excel_BuiltIn_Print_Area_1_1_1" localSheetId="5">#REF!</definedName>
    <definedName name="Excel_BuiltIn_Print_Area_1_1_1" localSheetId="2">#REF!</definedName>
    <definedName name="Excel_BuiltIn_Print_Area_1_1_1" localSheetId="6">#REF!</definedName>
    <definedName name="Excel_BuiltIn_Print_Area_1_1_1">#REF!</definedName>
    <definedName name="Excel_BuiltIn_Print_Area_1_1_1_1" localSheetId="4">#REF!</definedName>
    <definedName name="Excel_BuiltIn_Print_Area_1_1_1_1" localSheetId="7">#REF!</definedName>
    <definedName name="Excel_BuiltIn_Print_Area_1_1_1_1" localSheetId="5">#REF!</definedName>
    <definedName name="Excel_BuiltIn_Print_Area_1_1_1_1" localSheetId="2">#REF!</definedName>
    <definedName name="Excel_BuiltIn_Print_Area_1_1_1_1" localSheetId="6">#REF!</definedName>
    <definedName name="Excel_BuiltIn_Print_Area_1_1_1_1">#REF!</definedName>
    <definedName name="Excel_BuiltIn_Print_Area_1_1_1_1_1" localSheetId="4">#REF!</definedName>
    <definedName name="Excel_BuiltIn_Print_Area_1_1_1_1_1" localSheetId="7">#REF!</definedName>
    <definedName name="Excel_BuiltIn_Print_Area_1_1_1_1_1" localSheetId="5">#REF!</definedName>
    <definedName name="Excel_BuiltIn_Print_Area_1_1_1_1_1" localSheetId="2">#REF!</definedName>
    <definedName name="Excel_BuiltIn_Print_Area_1_1_1_1_1" localSheetId="6">#REF!</definedName>
    <definedName name="Excel_BuiltIn_Print_Area_1_1_1_1_1">#REF!</definedName>
    <definedName name="Excel_BuiltIn_Print_Area_12_1" localSheetId="4">#REF!</definedName>
    <definedName name="Excel_BuiltIn_Print_Area_12_1" localSheetId="7">#REF!</definedName>
    <definedName name="Excel_BuiltIn_Print_Area_12_1" localSheetId="5">#REF!</definedName>
    <definedName name="Excel_BuiltIn_Print_Area_12_1" localSheetId="2">#REF!</definedName>
    <definedName name="Excel_BuiltIn_Print_Area_12_1" localSheetId="6">#REF!</definedName>
    <definedName name="Excel_BuiltIn_Print_Area_12_1">#REF!</definedName>
    <definedName name="Excel_BuiltIn_Print_Area_13_1" localSheetId="4">#REF!</definedName>
    <definedName name="Excel_BuiltIn_Print_Area_13_1" localSheetId="7">#REF!</definedName>
    <definedName name="Excel_BuiltIn_Print_Area_13_1" localSheetId="5">#REF!</definedName>
    <definedName name="Excel_BuiltIn_Print_Area_13_1" localSheetId="2">#REF!</definedName>
    <definedName name="Excel_BuiltIn_Print_Area_13_1" localSheetId="6">#REF!</definedName>
    <definedName name="Excel_BuiltIn_Print_Area_13_1">#REF!</definedName>
    <definedName name="Excel_BuiltIn_Print_Area_16_1" localSheetId="4">#REF!</definedName>
    <definedName name="Excel_BuiltIn_Print_Area_16_1" localSheetId="7">#REF!</definedName>
    <definedName name="Excel_BuiltIn_Print_Area_16_1" localSheetId="5">#REF!</definedName>
    <definedName name="Excel_BuiltIn_Print_Area_16_1" localSheetId="2">#REF!</definedName>
    <definedName name="Excel_BuiltIn_Print_Area_16_1" localSheetId="6">#REF!</definedName>
    <definedName name="Excel_BuiltIn_Print_Area_16_1">#REF!</definedName>
    <definedName name="Excel_BuiltIn_Print_Area_17_1" localSheetId="4">#REF!</definedName>
    <definedName name="Excel_BuiltIn_Print_Area_17_1" localSheetId="7">#REF!</definedName>
    <definedName name="Excel_BuiltIn_Print_Area_17_1" localSheetId="5">#REF!</definedName>
    <definedName name="Excel_BuiltIn_Print_Area_17_1" localSheetId="2">#REF!</definedName>
    <definedName name="Excel_BuiltIn_Print_Area_17_1" localSheetId="6">#REF!</definedName>
    <definedName name="Excel_BuiltIn_Print_Area_17_1">#REF!</definedName>
    <definedName name="Excel_BuiltIn_Print_Area_18_1" localSheetId="4">#REF!</definedName>
    <definedName name="Excel_BuiltIn_Print_Area_18_1" localSheetId="7">#REF!</definedName>
    <definedName name="Excel_BuiltIn_Print_Area_18_1" localSheetId="5">#REF!</definedName>
    <definedName name="Excel_BuiltIn_Print_Area_18_1" localSheetId="2">#REF!</definedName>
    <definedName name="Excel_BuiltIn_Print_Area_18_1" localSheetId="6">#REF!</definedName>
    <definedName name="Excel_BuiltIn_Print_Area_18_1">#REF!</definedName>
    <definedName name="Excel_BuiltIn_Print_Area_19_1" localSheetId="4">#REF!</definedName>
    <definedName name="Excel_BuiltIn_Print_Area_19_1" localSheetId="7">#REF!</definedName>
    <definedName name="Excel_BuiltIn_Print_Area_19_1" localSheetId="5">#REF!</definedName>
    <definedName name="Excel_BuiltIn_Print_Area_19_1" localSheetId="2">#REF!</definedName>
    <definedName name="Excel_BuiltIn_Print_Area_19_1" localSheetId="6">#REF!</definedName>
    <definedName name="Excel_BuiltIn_Print_Area_19_1">#REF!</definedName>
    <definedName name="Excel_BuiltIn_Print_Area_19_1_1" localSheetId="4">#REF!</definedName>
    <definedName name="Excel_BuiltIn_Print_Area_19_1_1" localSheetId="7">#REF!</definedName>
    <definedName name="Excel_BuiltIn_Print_Area_19_1_1" localSheetId="5">#REF!</definedName>
    <definedName name="Excel_BuiltIn_Print_Area_19_1_1" localSheetId="2">#REF!</definedName>
    <definedName name="Excel_BuiltIn_Print_Area_19_1_1" localSheetId="6">#REF!</definedName>
    <definedName name="Excel_BuiltIn_Print_Area_19_1_1">#REF!</definedName>
    <definedName name="Excel_BuiltIn_Print_Area_2" localSheetId="4">#REF!</definedName>
    <definedName name="Excel_BuiltIn_Print_Area_2" localSheetId="7">#REF!</definedName>
    <definedName name="Excel_BuiltIn_Print_Area_2" localSheetId="5">#REF!</definedName>
    <definedName name="Excel_BuiltIn_Print_Area_2" localSheetId="2">#REF!</definedName>
    <definedName name="Excel_BuiltIn_Print_Area_2" localSheetId="6">#REF!</definedName>
    <definedName name="Excel_BuiltIn_Print_Area_2">#REF!</definedName>
    <definedName name="Excel_BuiltIn_Print_Area_2_1" localSheetId="4">#REF!</definedName>
    <definedName name="Excel_BuiltIn_Print_Area_2_1" localSheetId="7">#REF!</definedName>
    <definedName name="Excel_BuiltIn_Print_Area_2_1" localSheetId="5">#REF!</definedName>
    <definedName name="Excel_BuiltIn_Print_Area_2_1" localSheetId="2">#REF!</definedName>
    <definedName name="Excel_BuiltIn_Print_Area_2_1" localSheetId="6">#REF!</definedName>
    <definedName name="Excel_BuiltIn_Print_Area_2_1">#REF!</definedName>
    <definedName name="Excel_BuiltIn_Print_Area_2_1_1" localSheetId="4">#REF!</definedName>
    <definedName name="Excel_BuiltIn_Print_Area_2_1_1" localSheetId="7">#REF!</definedName>
    <definedName name="Excel_BuiltIn_Print_Area_2_1_1" localSheetId="5">#REF!</definedName>
    <definedName name="Excel_BuiltIn_Print_Area_2_1_1" localSheetId="2">#REF!</definedName>
    <definedName name="Excel_BuiltIn_Print_Area_2_1_1" localSheetId="6">#REF!</definedName>
    <definedName name="Excel_BuiltIn_Print_Area_2_1_1">#REF!</definedName>
    <definedName name="Excel_BuiltIn_Print_Area_20_1" localSheetId="4">#REF!</definedName>
    <definedName name="Excel_BuiltIn_Print_Area_20_1" localSheetId="7">#REF!</definedName>
    <definedName name="Excel_BuiltIn_Print_Area_20_1" localSheetId="5">#REF!</definedName>
    <definedName name="Excel_BuiltIn_Print_Area_20_1" localSheetId="2">#REF!</definedName>
    <definedName name="Excel_BuiltIn_Print_Area_20_1" localSheetId="6">#REF!</definedName>
    <definedName name="Excel_BuiltIn_Print_Area_20_1">#REF!</definedName>
    <definedName name="Excel_BuiltIn_Print_Area_21_1" localSheetId="4">#REF!</definedName>
    <definedName name="Excel_BuiltIn_Print_Area_21_1" localSheetId="7">#REF!</definedName>
    <definedName name="Excel_BuiltIn_Print_Area_21_1" localSheetId="5">#REF!</definedName>
    <definedName name="Excel_BuiltIn_Print_Area_21_1" localSheetId="2">#REF!</definedName>
    <definedName name="Excel_BuiltIn_Print_Area_21_1" localSheetId="6">#REF!</definedName>
    <definedName name="Excel_BuiltIn_Print_Area_21_1">#REF!</definedName>
    <definedName name="Excel_BuiltIn_Print_Area_22_1" localSheetId="4">#REF!</definedName>
    <definedName name="Excel_BuiltIn_Print_Area_22_1" localSheetId="7">#REF!</definedName>
    <definedName name="Excel_BuiltIn_Print_Area_22_1" localSheetId="5">#REF!</definedName>
    <definedName name="Excel_BuiltIn_Print_Area_22_1" localSheetId="2">#REF!</definedName>
    <definedName name="Excel_BuiltIn_Print_Area_22_1" localSheetId="6">#REF!</definedName>
    <definedName name="Excel_BuiltIn_Print_Area_22_1">#REF!</definedName>
    <definedName name="Excel_BuiltIn_Print_Area_22_1_1" localSheetId="4">#REF!</definedName>
    <definedName name="Excel_BuiltIn_Print_Area_22_1_1" localSheetId="7">#REF!</definedName>
    <definedName name="Excel_BuiltIn_Print_Area_22_1_1" localSheetId="5">#REF!</definedName>
    <definedName name="Excel_BuiltIn_Print_Area_22_1_1" localSheetId="2">#REF!</definedName>
    <definedName name="Excel_BuiltIn_Print_Area_22_1_1" localSheetId="6">#REF!</definedName>
    <definedName name="Excel_BuiltIn_Print_Area_22_1_1">#REF!</definedName>
    <definedName name="Excel_BuiltIn_Print_Area_23_1" localSheetId="4">#REF!</definedName>
    <definedName name="Excel_BuiltIn_Print_Area_23_1" localSheetId="7">#REF!</definedName>
    <definedName name="Excel_BuiltIn_Print_Area_23_1" localSheetId="5">#REF!</definedName>
    <definedName name="Excel_BuiltIn_Print_Area_23_1" localSheetId="2">#REF!</definedName>
    <definedName name="Excel_BuiltIn_Print_Area_23_1" localSheetId="6">#REF!</definedName>
    <definedName name="Excel_BuiltIn_Print_Area_23_1">#REF!</definedName>
    <definedName name="Excel_BuiltIn_Print_Area_23_1_1" localSheetId="4">#REF!</definedName>
    <definedName name="Excel_BuiltIn_Print_Area_23_1_1" localSheetId="7">#REF!</definedName>
    <definedName name="Excel_BuiltIn_Print_Area_23_1_1" localSheetId="5">#REF!</definedName>
    <definedName name="Excel_BuiltIn_Print_Area_23_1_1" localSheetId="2">#REF!</definedName>
    <definedName name="Excel_BuiltIn_Print_Area_23_1_1" localSheetId="6">#REF!</definedName>
    <definedName name="Excel_BuiltIn_Print_Area_23_1_1">#REF!</definedName>
    <definedName name="Excel_BuiltIn_Print_Area_23_1_1_1" localSheetId="4">#REF!</definedName>
    <definedName name="Excel_BuiltIn_Print_Area_23_1_1_1" localSheetId="7">#REF!</definedName>
    <definedName name="Excel_BuiltIn_Print_Area_23_1_1_1" localSheetId="5">#REF!</definedName>
    <definedName name="Excel_BuiltIn_Print_Area_23_1_1_1" localSheetId="2">#REF!</definedName>
    <definedName name="Excel_BuiltIn_Print_Area_23_1_1_1" localSheetId="6">#REF!</definedName>
    <definedName name="Excel_BuiltIn_Print_Area_23_1_1_1">#REF!</definedName>
    <definedName name="Excel_BuiltIn_Print_Area_24_1" localSheetId="4">#REF!</definedName>
    <definedName name="Excel_BuiltIn_Print_Area_24_1" localSheetId="7">#REF!</definedName>
    <definedName name="Excel_BuiltIn_Print_Area_24_1" localSheetId="5">#REF!</definedName>
    <definedName name="Excel_BuiltIn_Print_Area_24_1" localSheetId="2">#REF!</definedName>
    <definedName name="Excel_BuiltIn_Print_Area_24_1" localSheetId="6">#REF!</definedName>
    <definedName name="Excel_BuiltIn_Print_Area_24_1">#REF!</definedName>
    <definedName name="Excel_BuiltIn_Print_Area_24_1_1" localSheetId="4">#REF!</definedName>
    <definedName name="Excel_BuiltIn_Print_Area_24_1_1" localSheetId="7">#REF!</definedName>
    <definedName name="Excel_BuiltIn_Print_Area_24_1_1" localSheetId="5">#REF!</definedName>
    <definedName name="Excel_BuiltIn_Print_Area_24_1_1" localSheetId="2">#REF!</definedName>
    <definedName name="Excel_BuiltIn_Print_Area_24_1_1" localSheetId="6">#REF!</definedName>
    <definedName name="Excel_BuiltIn_Print_Area_24_1_1">#REF!</definedName>
    <definedName name="Excel_BuiltIn_Print_Area_25_1" localSheetId="4">#REF!</definedName>
    <definedName name="Excel_BuiltIn_Print_Area_25_1" localSheetId="7">#REF!</definedName>
    <definedName name="Excel_BuiltIn_Print_Area_25_1" localSheetId="5">#REF!</definedName>
    <definedName name="Excel_BuiltIn_Print_Area_25_1" localSheetId="2">#REF!</definedName>
    <definedName name="Excel_BuiltIn_Print_Area_25_1" localSheetId="6">#REF!</definedName>
    <definedName name="Excel_BuiltIn_Print_Area_25_1">#REF!</definedName>
    <definedName name="Excel_BuiltIn_Print_Area_25_1_1" localSheetId="4">#REF!</definedName>
    <definedName name="Excel_BuiltIn_Print_Area_25_1_1" localSheetId="7">#REF!</definedName>
    <definedName name="Excel_BuiltIn_Print_Area_25_1_1" localSheetId="5">#REF!</definedName>
    <definedName name="Excel_BuiltIn_Print_Area_25_1_1" localSheetId="2">#REF!</definedName>
    <definedName name="Excel_BuiltIn_Print_Area_25_1_1" localSheetId="6">#REF!</definedName>
    <definedName name="Excel_BuiltIn_Print_Area_25_1_1">#REF!</definedName>
    <definedName name="Excel_BuiltIn_Print_Area_26_1" localSheetId="4">#REF!</definedName>
    <definedName name="Excel_BuiltIn_Print_Area_26_1" localSheetId="7">#REF!</definedName>
    <definedName name="Excel_BuiltIn_Print_Area_26_1" localSheetId="5">#REF!</definedName>
    <definedName name="Excel_BuiltIn_Print_Area_26_1" localSheetId="2">#REF!</definedName>
    <definedName name="Excel_BuiltIn_Print_Area_26_1" localSheetId="6">#REF!</definedName>
    <definedName name="Excel_BuiltIn_Print_Area_26_1">#REF!</definedName>
    <definedName name="Excel_BuiltIn_Print_Area_26_1_1" localSheetId="4">#REF!</definedName>
    <definedName name="Excel_BuiltIn_Print_Area_26_1_1" localSheetId="7">#REF!</definedName>
    <definedName name="Excel_BuiltIn_Print_Area_26_1_1" localSheetId="5">#REF!</definedName>
    <definedName name="Excel_BuiltIn_Print_Area_26_1_1" localSheetId="2">#REF!</definedName>
    <definedName name="Excel_BuiltIn_Print_Area_26_1_1" localSheetId="6">#REF!</definedName>
    <definedName name="Excel_BuiltIn_Print_Area_26_1_1">#REF!</definedName>
    <definedName name="Excel_BuiltIn_Print_Area_26_1_1_1" localSheetId="4">#REF!</definedName>
    <definedName name="Excel_BuiltIn_Print_Area_26_1_1_1" localSheetId="7">#REF!</definedName>
    <definedName name="Excel_BuiltIn_Print_Area_26_1_1_1" localSheetId="5">#REF!</definedName>
    <definedName name="Excel_BuiltIn_Print_Area_26_1_1_1" localSheetId="2">#REF!</definedName>
    <definedName name="Excel_BuiltIn_Print_Area_26_1_1_1" localSheetId="6">#REF!</definedName>
    <definedName name="Excel_BuiltIn_Print_Area_26_1_1_1">#REF!</definedName>
    <definedName name="Excel_BuiltIn_Print_Area_27" localSheetId="4">#REF!</definedName>
    <definedName name="Excel_BuiltIn_Print_Area_27" localSheetId="7">#REF!</definedName>
    <definedName name="Excel_BuiltIn_Print_Area_27" localSheetId="5">#REF!</definedName>
    <definedName name="Excel_BuiltIn_Print_Area_27" localSheetId="2">#REF!</definedName>
    <definedName name="Excel_BuiltIn_Print_Area_27" localSheetId="6">#REF!</definedName>
    <definedName name="Excel_BuiltIn_Print_Area_27">#REF!</definedName>
    <definedName name="Excel_BuiltIn_Print_Area_27_1" localSheetId="4">#REF!</definedName>
    <definedName name="Excel_BuiltIn_Print_Area_27_1" localSheetId="7">#REF!</definedName>
    <definedName name="Excel_BuiltIn_Print_Area_27_1" localSheetId="5">#REF!</definedName>
    <definedName name="Excel_BuiltIn_Print_Area_27_1" localSheetId="2">#REF!</definedName>
    <definedName name="Excel_BuiltIn_Print_Area_27_1" localSheetId="6">#REF!</definedName>
    <definedName name="Excel_BuiltIn_Print_Area_27_1">#REF!</definedName>
    <definedName name="Excel_BuiltIn_Print_Area_27_1_1" localSheetId="4">#REF!</definedName>
    <definedName name="Excel_BuiltIn_Print_Area_27_1_1" localSheetId="7">#REF!</definedName>
    <definedName name="Excel_BuiltIn_Print_Area_27_1_1" localSheetId="5">#REF!</definedName>
    <definedName name="Excel_BuiltIn_Print_Area_27_1_1" localSheetId="2">#REF!</definedName>
    <definedName name="Excel_BuiltIn_Print_Area_27_1_1" localSheetId="6">#REF!</definedName>
    <definedName name="Excel_BuiltIn_Print_Area_27_1_1">#REF!</definedName>
    <definedName name="Excel_BuiltIn_Print_Area_27_1_1_1" localSheetId="4">#REF!</definedName>
    <definedName name="Excel_BuiltIn_Print_Area_27_1_1_1" localSheetId="7">#REF!</definedName>
    <definedName name="Excel_BuiltIn_Print_Area_27_1_1_1" localSheetId="5">#REF!</definedName>
    <definedName name="Excel_BuiltIn_Print_Area_27_1_1_1" localSheetId="2">#REF!</definedName>
    <definedName name="Excel_BuiltIn_Print_Area_27_1_1_1" localSheetId="6">#REF!</definedName>
    <definedName name="Excel_BuiltIn_Print_Area_27_1_1_1">#REF!</definedName>
    <definedName name="Excel_BuiltIn_Print_Area_28" localSheetId="4">#REF!</definedName>
    <definedName name="Excel_BuiltIn_Print_Area_28" localSheetId="7">#REF!</definedName>
    <definedName name="Excel_BuiltIn_Print_Area_28" localSheetId="5">#REF!</definedName>
    <definedName name="Excel_BuiltIn_Print_Area_28" localSheetId="2">#REF!</definedName>
    <definedName name="Excel_BuiltIn_Print_Area_28" localSheetId="6">#REF!</definedName>
    <definedName name="Excel_BuiltIn_Print_Area_28">#REF!</definedName>
    <definedName name="Excel_BuiltIn_Print_Area_28_1" localSheetId="4">#REF!</definedName>
    <definedName name="Excel_BuiltIn_Print_Area_28_1" localSheetId="7">#REF!</definedName>
    <definedName name="Excel_BuiltIn_Print_Area_28_1" localSheetId="5">#REF!</definedName>
    <definedName name="Excel_BuiltIn_Print_Area_28_1" localSheetId="2">#REF!</definedName>
    <definedName name="Excel_BuiltIn_Print_Area_28_1" localSheetId="6">#REF!</definedName>
    <definedName name="Excel_BuiltIn_Print_Area_28_1">#REF!</definedName>
    <definedName name="Excel_BuiltIn_Print_Area_28_1_1" localSheetId="4">#REF!</definedName>
    <definedName name="Excel_BuiltIn_Print_Area_28_1_1" localSheetId="7">#REF!</definedName>
    <definedName name="Excel_BuiltIn_Print_Area_28_1_1" localSheetId="5">#REF!</definedName>
    <definedName name="Excel_BuiltIn_Print_Area_28_1_1" localSheetId="2">#REF!</definedName>
    <definedName name="Excel_BuiltIn_Print_Area_28_1_1" localSheetId="6">#REF!</definedName>
    <definedName name="Excel_BuiltIn_Print_Area_28_1_1">#REF!</definedName>
    <definedName name="Excel_BuiltIn_Print_Area_28_1_1_1" localSheetId="4">#REF!</definedName>
    <definedName name="Excel_BuiltIn_Print_Area_28_1_1_1" localSheetId="7">#REF!</definedName>
    <definedName name="Excel_BuiltIn_Print_Area_28_1_1_1" localSheetId="5">#REF!</definedName>
    <definedName name="Excel_BuiltIn_Print_Area_28_1_1_1" localSheetId="2">#REF!</definedName>
    <definedName name="Excel_BuiltIn_Print_Area_28_1_1_1" localSheetId="6">#REF!</definedName>
    <definedName name="Excel_BuiltIn_Print_Area_28_1_1_1">#REF!</definedName>
    <definedName name="Excel_BuiltIn_Print_Area_29" localSheetId="4">#REF!</definedName>
    <definedName name="Excel_BuiltIn_Print_Area_29" localSheetId="7">#REF!</definedName>
    <definedName name="Excel_BuiltIn_Print_Area_29" localSheetId="5">#REF!</definedName>
    <definedName name="Excel_BuiltIn_Print_Area_29" localSheetId="2">#REF!</definedName>
    <definedName name="Excel_BuiltIn_Print_Area_29" localSheetId="6">#REF!</definedName>
    <definedName name="Excel_BuiltIn_Print_Area_29">#REF!</definedName>
    <definedName name="Excel_BuiltIn_Print_Area_29_1" localSheetId="4">#REF!</definedName>
    <definedName name="Excel_BuiltIn_Print_Area_29_1" localSheetId="7">#REF!</definedName>
    <definedName name="Excel_BuiltIn_Print_Area_29_1" localSheetId="5">#REF!</definedName>
    <definedName name="Excel_BuiltIn_Print_Area_29_1" localSheetId="2">#REF!</definedName>
    <definedName name="Excel_BuiltIn_Print_Area_29_1" localSheetId="6">#REF!</definedName>
    <definedName name="Excel_BuiltIn_Print_Area_29_1">#REF!</definedName>
    <definedName name="Excel_BuiltIn_Print_Area_3_1" localSheetId="4">#REF!</definedName>
    <definedName name="Excel_BuiltIn_Print_Area_3_1" localSheetId="7">#REF!</definedName>
    <definedName name="Excel_BuiltIn_Print_Area_3_1" localSheetId="5">#REF!</definedName>
    <definedName name="Excel_BuiltIn_Print_Area_3_1" localSheetId="2">#REF!</definedName>
    <definedName name="Excel_BuiltIn_Print_Area_3_1" localSheetId="6">#REF!</definedName>
    <definedName name="Excel_BuiltIn_Print_Area_3_1">#REF!</definedName>
    <definedName name="Excel_BuiltIn_Print_Area_3_1_1" localSheetId="4">#REF!</definedName>
    <definedName name="Excel_BuiltIn_Print_Area_3_1_1" localSheetId="7">#REF!</definedName>
    <definedName name="Excel_BuiltIn_Print_Area_3_1_1" localSheetId="5">#REF!</definedName>
    <definedName name="Excel_BuiltIn_Print_Area_3_1_1" localSheetId="2">#REF!</definedName>
    <definedName name="Excel_BuiltIn_Print_Area_3_1_1" localSheetId="6">#REF!</definedName>
    <definedName name="Excel_BuiltIn_Print_Area_3_1_1">#REF!</definedName>
    <definedName name="Excel_BuiltIn_Print_Area_3_1_5" localSheetId="4">#REF!</definedName>
    <definedName name="Excel_BuiltIn_Print_Area_3_1_5" localSheetId="7">#REF!</definedName>
    <definedName name="Excel_BuiltIn_Print_Area_3_1_5" localSheetId="5">#REF!</definedName>
    <definedName name="Excel_BuiltIn_Print_Area_3_1_5" localSheetId="2">#REF!</definedName>
    <definedName name="Excel_BuiltIn_Print_Area_3_1_5" localSheetId="6">#REF!</definedName>
    <definedName name="Excel_BuiltIn_Print_Area_3_1_5">#REF!</definedName>
    <definedName name="Excel_BuiltIn_Print_Area_3_1_5_2" localSheetId="4">#REF!</definedName>
    <definedName name="Excel_BuiltIn_Print_Area_3_1_5_2" localSheetId="7">#REF!</definedName>
    <definedName name="Excel_BuiltIn_Print_Area_3_1_5_2" localSheetId="5">#REF!</definedName>
    <definedName name="Excel_BuiltIn_Print_Area_3_1_5_2" localSheetId="2">#REF!</definedName>
    <definedName name="Excel_BuiltIn_Print_Area_3_1_5_2" localSheetId="6">#REF!</definedName>
    <definedName name="Excel_BuiltIn_Print_Area_3_1_5_2">#REF!</definedName>
    <definedName name="Excel_BuiltIn_Print_Area_30" localSheetId="4">#REF!</definedName>
    <definedName name="Excel_BuiltIn_Print_Area_30" localSheetId="7">#REF!</definedName>
    <definedName name="Excel_BuiltIn_Print_Area_30" localSheetId="5">#REF!</definedName>
    <definedName name="Excel_BuiltIn_Print_Area_30" localSheetId="2">#REF!</definedName>
    <definedName name="Excel_BuiltIn_Print_Area_30" localSheetId="6">#REF!</definedName>
    <definedName name="Excel_BuiltIn_Print_Area_30">#REF!</definedName>
    <definedName name="Excel_BuiltIn_Print_Area_30_1" localSheetId="4">#REF!</definedName>
    <definedName name="Excel_BuiltIn_Print_Area_30_1" localSheetId="7">#REF!</definedName>
    <definedName name="Excel_BuiltIn_Print_Area_30_1" localSheetId="5">#REF!</definedName>
    <definedName name="Excel_BuiltIn_Print_Area_30_1" localSheetId="2">#REF!</definedName>
    <definedName name="Excel_BuiltIn_Print_Area_30_1" localSheetId="6">#REF!</definedName>
    <definedName name="Excel_BuiltIn_Print_Area_30_1">#REF!</definedName>
    <definedName name="Excel_BuiltIn_Print_Area_31" localSheetId="4">#REF!</definedName>
    <definedName name="Excel_BuiltIn_Print_Area_31" localSheetId="7">#REF!</definedName>
    <definedName name="Excel_BuiltIn_Print_Area_31" localSheetId="5">#REF!</definedName>
    <definedName name="Excel_BuiltIn_Print_Area_31" localSheetId="2">#REF!</definedName>
    <definedName name="Excel_BuiltIn_Print_Area_31" localSheetId="6">#REF!</definedName>
    <definedName name="Excel_BuiltIn_Print_Area_31">#REF!</definedName>
    <definedName name="Excel_BuiltIn_Print_Area_31_1" localSheetId="4">#REF!</definedName>
    <definedName name="Excel_BuiltIn_Print_Area_31_1" localSheetId="7">#REF!</definedName>
    <definedName name="Excel_BuiltIn_Print_Area_31_1" localSheetId="5">#REF!</definedName>
    <definedName name="Excel_BuiltIn_Print_Area_31_1" localSheetId="2">#REF!</definedName>
    <definedName name="Excel_BuiltIn_Print_Area_31_1" localSheetId="6">#REF!</definedName>
    <definedName name="Excel_BuiltIn_Print_Area_31_1">#REF!</definedName>
    <definedName name="Excel_BuiltIn_Print_Area_32" localSheetId="4">#REF!</definedName>
    <definedName name="Excel_BuiltIn_Print_Area_32" localSheetId="7">#REF!</definedName>
    <definedName name="Excel_BuiltIn_Print_Area_32" localSheetId="5">#REF!</definedName>
    <definedName name="Excel_BuiltIn_Print_Area_32" localSheetId="2">#REF!</definedName>
    <definedName name="Excel_BuiltIn_Print_Area_32" localSheetId="6">#REF!</definedName>
    <definedName name="Excel_BuiltIn_Print_Area_32">#REF!</definedName>
    <definedName name="Excel_BuiltIn_Print_Area_32_1" localSheetId="4">#REF!</definedName>
    <definedName name="Excel_BuiltIn_Print_Area_32_1" localSheetId="7">#REF!</definedName>
    <definedName name="Excel_BuiltIn_Print_Area_32_1" localSheetId="5">#REF!</definedName>
    <definedName name="Excel_BuiltIn_Print_Area_32_1" localSheetId="2">#REF!</definedName>
    <definedName name="Excel_BuiltIn_Print_Area_32_1" localSheetId="6">#REF!</definedName>
    <definedName name="Excel_BuiltIn_Print_Area_32_1">#REF!</definedName>
    <definedName name="Excel_BuiltIn_Print_Area_33" localSheetId="4">#REF!</definedName>
    <definedName name="Excel_BuiltIn_Print_Area_33" localSheetId="7">#REF!</definedName>
    <definedName name="Excel_BuiltIn_Print_Area_33" localSheetId="5">#REF!</definedName>
    <definedName name="Excel_BuiltIn_Print_Area_33" localSheetId="2">#REF!</definedName>
    <definedName name="Excel_BuiltIn_Print_Area_33" localSheetId="6">#REF!</definedName>
    <definedName name="Excel_BuiltIn_Print_Area_33">#REF!</definedName>
    <definedName name="Excel_BuiltIn_Print_Area_33_1" localSheetId="4">#REF!</definedName>
    <definedName name="Excel_BuiltIn_Print_Area_33_1" localSheetId="7">#REF!</definedName>
    <definedName name="Excel_BuiltIn_Print_Area_33_1" localSheetId="5">#REF!</definedName>
    <definedName name="Excel_BuiltIn_Print_Area_33_1" localSheetId="2">#REF!</definedName>
    <definedName name="Excel_BuiltIn_Print_Area_33_1" localSheetId="6">#REF!</definedName>
    <definedName name="Excel_BuiltIn_Print_Area_33_1">#REF!</definedName>
    <definedName name="Excel_BuiltIn_Print_Area_33_1_1" localSheetId="4">#REF!</definedName>
    <definedName name="Excel_BuiltIn_Print_Area_33_1_1" localSheetId="7">#REF!</definedName>
    <definedName name="Excel_BuiltIn_Print_Area_33_1_1" localSheetId="5">#REF!</definedName>
    <definedName name="Excel_BuiltIn_Print_Area_33_1_1" localSheetId="2">#REF!</definedName>
    <definedName name="Excel_BuiltIn_Print_Area_33_1_1" localSheetId="6">#REF!</definedName>
    <definedName name="Excel_BuiltIn_Print_Area_33_1_1">#REF!</definedName>
    <definedName name="Excel_BuiltIn_Print_Area_34_1" localSheetId="4">#REF!</definedName>
    <definedName name="Excel_BuiltIn_Print_Area_34_1" localSheetId="7">#REF!</definedName>
    <definedName name="Excel_BuiltIn_Print_Area_34_1" localSheetId="5">#REF!</definedName>
    <definedName name="Excel_BuiltIn_Print_Area_34_1" localSheetId="2">#REF!</definedName>
    <definedName name="Excel_BuiltIn_Print_Area_34_1" localSheetId="6">#REF!</definedName>
    <definedName name="Excel_BuiltIn_Print_Area_34_1">#REF!</definedName>
    <definedName name="Excel_BuiltIn_Print_Area_35" localSheetId="4">#REF!</definedName>
    <definedName name="Excel_BuiltIn_Print_Area_35" localSheetId="7">#REF!</definedName>
    <definedName name="Excel_BuiltIn_Print_Area_35" localSheetId="5">#REF!</definedName>
    <definedName name="Excel_BuiltIn_Print_Area_35" localSheetId="2">#REF!</definedName>
    <definedName name="Excel_BuiltIn_Print_Area_35" localSheetId="6">#REF!</definedName>
    <definedName name="Excel_BuiltIn_Print_Area_35">#REF!</definedName>
    <definedName name="Excel_BuiltIn_Print_Area_39_1" localSheetId="4">#REF!</definedName>
    <definedName name="Excel_BuiltIn_Print_Area_39_1" localSheetId="7">#REF!</definedName>
    <definedName name="Excel_BuiltIn_Print_Area_39_1" localSheetId="5">#REF!</definedName>
    <definedName name="Excel_BuiltIn_Print_Area_39_1" localSheetId="2">#REF!</definedName>
    <definedName name="Excel_BuiltIn_Print_Area_39_1" localSheetId="6">#REF!</definedName>
    <definedName name="Excel_BuiltIn_Print_Area_39_1">#REF!</definedName>
    <definedName name="Excel_BuiltIn_Print_Area_4" localSheetId="4">#REF!</definedName>
    <definedName name="Excel_BuiltIn_Print_Area_4" localSheetId="7">#REF!</definedName>
    <definedName name="Excel_BuiltIn_Print_Area_4" localSheetId="5">#REF!</definedName>
    <definedName name="Excel_BuiltIn_Print_Area_4" localSheetId="2">#REF!</definedName>
    <definedName name="Excel_BuiltIn_Print_Area_4" localSheetId="6">#REF!</definedName>
    <definedName name="Excel_BuiltIn_Print_Area_4">#REF!</definedName>
    <definedName name="Excel_BuiltIn_Print_Area_4_1" localSheetId="4">#REF!</definedName>
    <definedName name="Excel_BuiltIn_Print_Area_4_1" localSheetId="7">#REF!</definedName>
    <definedName name="Excel_BuiltIn_Print_Area_4_1" localSheetId="5">#REF!</definedName>
    <definedName name="Excel_BuiltIn_Print_Area_4_1" localSheetId="2">#REF!</definedName>
    <definedName name="Excel_BuiltIn_Print_Area_4_1" localSheetId="6">#REF!</definedName>
    <definedName name="Excel_BuiltIn_Print_Area_4_1">#REF!</definedName>
    <definedName name="Excel_BuiltIn_Print_Area_4_1_1" localSheetId="4">#REF!</definedName>
    <definedName name="Excel_BuiltIn_Print_Area_4_1_1" localSheetId="7">#REF!</definedName>
    <definedName name="Excel_BuiltIn_Print_Area_4_1_1" localSheetId="5">#REF!</definedName>
    <definedName name="Excel_BuiltIn_Print_Area_4_1_1" localSheetId="2">#REF!</definedName>
    <definedName name="Excel_BuiltIn_Print_Area_4_1_1" localSheetId="6">#REF!</definedName>
    <definedName name="Excel_BuiltIn_Print_Area_4_1_1">#REF!</definedName>
    <definedName name="Excel_BuiltIn_Print_Area_40_1" localSheetId="4">#REF!</definedName>
    <definedName name="Excel_BuiltIn_Print_Area_40_1" localSheetId="7">#REF!</definedName>
    <definedName name="Excel_BuiltIn_Print_Area_40_1" localSheetId="5">#REF!</definedName>
    <definedName name="Excel_BuiltIn_Print_Area_40_1" localSheetId="2">#REF!</definedName>
    <definedName name="Excel_BuiltIn_Print_Area_40_1" localSheetId="6">#REF!</definedName>
    <definedName name="Excel_BuiltIn_Print_Area_40_1">#REF!</definedName>
    <definedName name="Excel_BuiltIn_Print_Area_43_1" localSheetId="4">#REF!</definedName>
    <definedName name="Excel_BuiltIn_Print_Area_43_1" localSheetId="7">#REF!</definedName>
    <definedName name="Excel_BuiltIn_Print_Area_43_1" localSheetId="5">#REF!</definedName>
    <definedName name="Excel_BuiltIn_Print_Area_43_1" localSheetId="2">#REF!</definedName>
    <definedName name="Excel_BuiltIn_Print_Area_43_1" localSheetId="6">#REF!</definedName>
    <definedName name="Excel_BuiltIn_Print_Area_43_1">#REF!</definedName>
    <definedName name="Excel_BuiltIn_Print_Area_44_1" localSheetId="4">#REF!</definedName>
    <definedName name="Excel_BuiltIn_Print_Area_44_1" localSheetId="7">#REF!</definedName>
    <definedName name="Excel_BuiltIn_Print_Area_44_1" localSheetId="5">#REF!</definedName>
    <definedName name="Excel_BuiltIn_Print_Area_44_1" localSheetId="2">#REF!</definedName>
    <definedName name="Excel_BuiltIn_Print_Area_44_1" localSheetId="6">#REF!</definedName>
    <definedName name="Excel_BuiltIn_Print_Area_44_1">#REF!</definedName>
    <definedName name="Excel_BuiltIn_Print_Area_45_1" localSheetId="4">#REF!</definedName>
    <definedName name="Excel_BuiltIn_Print_Area_45_1" localSheetId="7">#REF!</definedName>
    <definedName name="Excel_BuiltIn_Print_Area_45_1" localSheetId="5">#REF!</definedName>
    <definedName name="Excel_BuiltIn_Print_Area_45_1" localSheetId="2">#REF!</definedName>
    <definedName name="Excel_BuiltIn_Print_Area_45_1" localSheetId="6">#REF!</definedName>
    <definedName name="Excel_BuiltIn_Print_Area_45_1">#REF!</definedName>
    <definedName name="Excel_BuiltIn_Print_Area_46_1" localSheetId="4">#REF!</definedName>
    <definedName name="Excel_BuiltIn_Print_Area_46_1" localSheetId="7">#REF!</definedName>
    <definedName name="Excel_BuiltIn_Print_Area_46_1" localSheetId="5">#REF!</definedName>
    <definedName name="Excel_BuiltIn_Print_Area_46_1" localSheetId="2">#REF!</definedName>
    <definedName name="Excel_BuiltIn_Print_Area_46_1" localSheetId="6">#REF!</definedName>
    <definedName name="Excel_BuiltIn_Print_Area_46_1">#REF!</definedName>
    <definedName name="Excel_BuiltIn_Print_Area_47_1" localSheetId="4">#REF!</definedName>
    <definedName name="Excel_BuiltIn_Print_Area_47_1" localSheetId="7">#REF!</definedName>
    <definedName name="Excel_BuiltIn_Print_Area_47_1" localSheetId="5">#REF!</definedName>
    <definedName name="Excel_BuiltIn_Print_Area_47_1" localSheetId="2">#REF!</definedName>
    <definedName name="Excel_BuiltIn_Print_Area_47_1" localSheetId="6">#REF!</definedName>
    <definedName name="Excel_BuiltIn_Print_Area_47_1">#REF!</definedName>
    <definedName name="Excel_BuiltIn_Print_Area_48_1" localSheetId="4">#REF!</definedName>
    <definedName name="Excel_BuiltIn_Print_Area_48_1" localSheetId="7">#REF!</definedName>
    <definedName name="Excel_BuiltIn_Print_Area_48_1" localSheetId="5">#REF!</definedName>
    <definedName name="Excel_BuiltIn_Print_Area_48_1" localSheetId="2">#REF!</definedName>
    <definedName name="Excel_BuiltIn_Print_Area_48_1" localSheetId="6">#REF!</definedName>
    <definedName name="Excel_BuiltIn_Print_Area_48_1">#REF!</definedName>
    <definedName name="Excel_BuiltIn_Print_Area_49_1" localSheetId="4">#REF!</definedName>
    <definedName name="Excel_BuiltIn_Print_Area_49_1" localSheetId="7">#REF!</definedName>
    <definedName name="Excel_BuiltIn_Print_Area_49_1" localSheetId="5">#REF!</definedName>
    <definedName name="Excel_BuiltIn_Print_Area_49_1" localSheetId="2">#REF!</definedName>
    <definedName name="Excel_BuiltIn_Print_Area_49_1" localSheetId="6">#REF!</definedName>
    <definedName name="Excel_BuiltIn_Print_Area_49_1">#REF!</definedName>
    <definedName name="Excel_BuiltIn_Print_Area_5_1" localSheetId="4">#REF!</definedName>
    <definedName name="Excel_BuiltIn_Print_Area_5_1" localSheetId="7">#REF!</definedName>
    <definedName name="Excel_BuiltIn_Print_Area_5_1" localSheetId="5">#REF!</definedName>
    <definedName name="Excel_BuiltIn_Print_Area_5_1" localSheetId="2">#REF!</definedName>
    <definedName name="Excel_BuiltIn_Print_Area_5_1" localSheetId="6">#REF!</definedName>
    <definedName name="Excel_BuiltIn_Print_Area_5_1">#REF!</definedName>
    <definedName name="Excel_BuiltIn_Print_Area_5_1_2" localSheetId="4">#REF!</definedName>
    <definedName name="Excel_BuiltIn_Print_Area_5_1_2" localSheetId="7">#REF!</definedName>
    <definedName name="Excel_BuiltIn_Print_Area_5_1_2" localSheetId="5">#REF!</definedName>
    <definedName name="Excel_BuiltIn_Print_Area_5_1_2" localSheetId="2">#REF!</definedName>
    <definedName name="Excel_BuiltIn_Print_Area_5_1_2" localSheetId="6">#REF!</definedName>
    <definedName name="Excel_BuiltIn_Print_Area_5_1_2">#REF!</definedName>
    <definedName name="Excel_BuiltIn_Print_Area_6" localSheetId="4">#REF!</definedName>
    <definedName name="Excel_BuiltIn_Print_Area_6" localSheetId="7">#REF!</definedName>
    <definedName name="Excel_BuiltIn_Print_Area_6" localSheetId="5">#REF!</definedName>
    <definedName name="Excel_BuiltIn_Print_Area_6" localSheetId="2">#REF!</definedName>
    <definedName name="Excel_BuiltIn_Print_Area_6" localSheetId="6">#REF!</definedName>
    <definedName name="Excel_BuiltIn_Print_Area_6">#REF!</definedName>
    <definedName name="Excel_BuiltIn_Print_Area_7" localSheetId="4">#REF!</definedName>
    <definedName name="Excel_BuiltIn_Print_Area_7" localSheetId="7">#REF!</definedName>
    <definedName name="Excel_BuiltIn_Print_Area_7" localSheetId="5">#REF!</definedName>
    <definedName name="Excel_BuiltIn_Print_Area_7" localSheetId="2">#REF!</definedName>
    <definedName name="Excel_BuiltIn_Print_Area_7" localSheetId="6">#REF!</definedName>
    <definedName name="Excel_BuiltIn_Print_Area_7">#REF!</definedName>
    <definedName name="Excel_BuiltIn_Print_Area_7_1" localSheetId="4">#REF!</definedName>
    <definedName name="Excel_BuiltIn_Print_Area_7_1" localSheetId="7">#REF!</definedName>
    <definedName name="Excel_BuiltIn_Print_Area_7_1" localSheetId="5">#REF!</definedName>
    <definedName name="Excel_BuiltIn_Print_Area_7_1" localSheetId="2">#REF!</definedName>
    <definedName name="Excel_BuiltIn_Print_Area_7_1" localSheetId="6">#REF!</definedName>
    <definedName name="Excel_BuiltIn_Print_Area_7_1">#REF!</definedName>
    <definedName name="Excel_BuiltIn_Print_Titles_4" localSheetId="4">#REF!</definedName>
    <definedName name="Excel_BuiltIn_Print_Titles_4" localSheetId="7">#REF!</definedName>
    <definedName name="Excel_BuiltIn_Print_Titles_4" localSheetId="5">#REF!</definedName>
    <definedName name="Excel_BuiltIn_Print_Titles_4" localSheetId="2">#REF!</definedName>
    <definedName name="Excel_BuiltIn_Print_Titles_4" localSheetId="6">#REF!</definedName>
    <definedName name="Excel_BuiltIn_Print_Titles_4">#REF!</definedName>
    <definedName name="Excel_BuiltIn_Print_Titles_4_2" localSheetId="4">#REF!</definedName>
    <definedName name="Excel_BuiltIn_Print_Titles_4_2" localSheetId="7">#REF!</definedName>
    <definedName name="Excel_BuiltIn_Print_Titles_4_2" localSheetId="5">#REF!</definedName>
    <definedName name="Excel_BuiltIn_Print_Titles_4_2" localSheetId="2">#REF!</definedName>
    <definedName name="Excel_BuiltIn_Print_Titles_4_2" localSheetId="6">#REF!</definedName>
    <definedName name="Excel_BuiltIn_Print_Titles_4_2">#REF!</definedName>
    <definedName name="Excel_BuiltIn_Recorder" localSheetId="4">#REF!</definedName>
    <definedName name="Excel_BuiltIn_Recorder" localSheetId="7">#REF!</definedName>
    <definedName name="Excel_BuiltIn_Recorder" localSheetId="5">#REF!</definedName>
    <definedName name="Excel_BuiltIn_Recorder" localSheetId="2">#REF!</definedName>
    <definedName name="Excel_BuiltIn_Recorder" localSheetId="6">#REF!</definedName>
    <definedName name="Excel_BuiltIn_Recorder">#REF!</definedName>
    <definedName name="Excel_BuiltIn_Recorder_12" localSheetId="4">#REF!</definedName>
    <definedName name="Excel_BuiltIn_Recorder_12" localSheetId="7">#REF!</definedName>
    <definedName name="Excel_BuiltIn_Recorder_12" localSheetId="5">#REF!</definedName>
    <definedName name="Excel_BuiltIn_Recorder_12" localSheetId="2">#REF!</definedName>
    <definedName name="Excel_BuiltIn_Recorder_12" localSheetId="6">#REF!</definedName>
    <definedName name="Excel_BuiltIn_Recorder_12">#REF!</definedName>
    <definedName name="Excel_BuiltIn_Recorder_13" localSheetId="4">#REF!</definedName>
    <definedName name="Excel_BuiltIn_Recorder_13" localSheetId="7">#REF!</definedName>
    <definedName name="Excel_BuiltIn_Recorder_13" localSheetId="5">#REF!</definedName>
    <definedName name="Excel_BuiltIn_Recorder_13" localSheetId="2">#REF!</definedName>
    <definedName name="Excel_BuiltIn_Recorder_13" localSheetId="6">#REF!</definedName>
    <definedName name="Excel_BuiltIn_Recorder_13">#REF!</definedName>
    <definedName name="Excel_BuiltIn_Recorder_19" localSheetId="4">#REF!</definedName>
    <definedName name="Excel_BuiltIn_Recorder_19" localSheetId="7">#REF!</definedName>
    <definedName name="Excel_BuiltIn_Recorder_19" localSheetId="5">#REF!</definedName>
    <definedName name="Excel_BuiltIn_Recorder_19" localSheetId="2">#REF!</definedName>
    <definedName name="Excel_BuiltIn_Recorder_19" localSheetId="6">#REF!</definedName>
    <definedName name="Excel_BuiltIn_Recorder_19">#REF!</definedName>
    <definedName name="Excel_BuiltIn_Recorder_2" localSheetId="4">#REF!</definedName>
    <definedName name="Excel_BuiltIn_Recorder_2" localSheetId="7">#REF!</definedName>
    <definedName name="Excel_BuiltIn_Recorder_2" localSheetId="5">#REF!</definedName>
    <definedName name="Excel_BuiltIn_Recorder_2" localSheetId="2">#REF!</definedName>
    <definedName name="Excel_BuiltIn_Recorder_2" localSheetId="6">#REF!</definedName>
    <definedName name="Excel_BuiltIn_Recorder_2">#REF!</definedName>
    <definedName name="Excel_BuiltIn_Recorder_20" localSheetId="4">#REF!</definedName>
    <definedName name="Excel_BuiltIn_Recorder_20" localSheetId="7">#REF!</definedName>
    <definedName name="Excel_BuiltIn_Recorder_20" localSheetId="5">#REF!</definedName>
    <definedName name="Excel_BuiltIn_Recorder_20" localSheetId="2">#REF!</definedName>
    <definedName name="Excel_BuiltIn_Recorder_20" localSheetId="6">#REF!</definedName>
    <definedName name="Excel_BuiltIn_Recorder_20">#REF!</definedName>
    <definedName name="Excel_BuiltIn_Recorder_24" localSheetId="4">#REF!</definedName>
    <definedName name="Excel_BuiltIn_Recorder_24" localSheetId="7">#REF!</definedName>
    <definedName name="Excel_BuiltIn_Recorder_24" localSheetId="5">#REF!</definedName>
    <definedName name="Excel_BuiltIn_Recorder_24" localSheetId="2">#REF!</definedName>
    <definedName name="Excel_BuiltIn_Recorder_24" localSheetId="6">#REF!</definedName>
    <definedName name="Excel_BuiltIn_Recorder_24">#REF!</definedName>
    <definedName name="Excel_BuiltIn_Recorder_25" localSheetId="4">#REF!</definedName>
    <definedName name="Excel_BuiltIn_Recorder_25" localSheetId="7">#REF!</definedName>
    <definedName name="Excel_BuiltIn_Recorder_25" localSheetId="5">#REF!</definedName>
    <definedName name="Excel_BuiltIn_Recorder_25" localSheetId="2">#REF!</definedName>
    <definedName name="Excel_BuiltIn_Recorder_25" localSheetId="6">#REF!</definedName>
    <definedName name="Excel_BuiltIn_Recorder_25">#REF!</definedName>
    <definedName name="Excel_BuiltIn_Recorder_26" localSheetId="4">#REF!</definedName>
    <definedName name="Excel_BuiltIn_Recorder_26" localSheetId="7">#REF!</definedName>
    <definedName name="Excel_BuiltIn_Recorder_26" localSheetId="5">#REF!</definedName>
    <definedName name="Excel_BuiltIn_Recorder_26" localSheetId="2">#REF!</definedName>
    <definedName name="Excel_BuiltIn_Recorder_26" localSheetId="6">#REF!</definedName>
    <definedName name="Excel_BuiltIn_Recorder_26">#REF!</definedName>
    <definedName name="Excel_BuiltIn_Recorder_30" localSheetId="4">#REF!</definedName>
    <definedName name="Excel_BuiltIn_Recorder_30" localSheetId="7">#REF!</definedName>
    <definedName name="Excel_BuiltIn_Recorder_30" localSheetId="5">#REF!</definedName>
    <definedName name="Excel_BuiltIn_Recorder_30" localSheetId="2">#REF!</definedName>
    <definedName name="Excel_BuiltIn_Recorder_30" localSheetId="6">#REF!</definedName>
    <definedName name="Excel_BuiltIn_Recorder_30">#REF!</definedName>
    <definedName name="Excel_BuiltIn_Recorder_31" localSheetId="4">#REF!</definedName>
    <definedName name="Excel_BuiltIn_Recorder_31" localSheetId="7">#REF!</definedName>
    <definedName name="Excel_BuiltIn_Recorder_31" localSheetId="5">#REF!</definedName>
    <definedName name="Excel_BuiltIn_Recorder_31" localSheetId="2">#REF!</definedName>
    <definedName name="Excel_BuiltIn_Recorder_31" localSheetId="6">#REF!</definedName>
    <definedName name="Excel_BuiltIn_Recorder_31">#REF!</definedName>
    <definedName name="Excel_BuiltIn_Recorder_7" localSheetId="4">#REF!</definedName>
    <definedName name="Excel_BuiltIn_Recorder_7" localSheetId="7">#REF!</definedName>
    <definedName name="Excel_BuiltIn_Recorder_7" localSheetId="5">#REF!</definedName>
    <definedName name="Excel_BuiltIn_Recorder_7" localSheetId="2">#REF!</definedName>
    <definedName name="Excel_BuiltIn_Recorder_7" localSheetId="6">#REF!</definedName>
    <definedName name="Excel_BuiltIn_Recorder_7">#REF!</definedName>
    <definedName name="Excel_BuiltIn_Recorder_72" localSheetId="4">#REF!</definedName>
    <definedName name="Excel_BuiltIn_Recorder_72" localSheetId="7">#REF!</definedName>
    <definedName name="Excel_BuiltIn_Recorder_72" localSheetId="5">#REF!</definedName>
    <definedName name="Excel_BuiltIn_Recorder_72" localSheetId="2">#REF!</definedName>
    <definedName name="Excel_BuiltIn_Recorder_72" localSheetId="6">#REF!</definedName>
    <definedName name="Excel_BuiltIn_Recorder_72">#REF!</definedName>
    <definedName name="Excel_BuiltIn_Recorder_78" localSheetId="4">#REF!</definedName>
    <definedName name="Excel_BuiltIn_Recorder_78" localSheetId="7">#REF!</definedName>
    <definedName name="Excel_BuiltIn_Recorder_78" localSheetId="5">#REF!</definedName>
    <definedName name="Excel_BuiltIn_Recorder_78" localSheetId="2">#REF!</definedName>
    <definedName name="Excel_BuiltIn_Recorder_78" localSheetId="6">#REF!</definedName>
    <definedName name="Excel_BuiltIn_Recorder_78">#REF!</definedName>
    <definedName name="Excel_BuiltIn_Recorder_82" localSheetId="4">#REF!</definedName>
    <definedName name="Excel_BuiltIn_Recorder_82" localSheetId="7">#REF!</definedName>
    <definedName name="Excel_BuiltIn_Recorder_82" localSheetId="5">#REF!</definedName>
    <definedName name="Excel_BuiltIn_Recorder_82" localSheetId="2">#REF!</definedName>
    <definedName name="Excel_BuiltIn_Recorder_82" localSheetId="6">#REF!</definedName>
    <definedName name="Excel_BuiltIn_Recorder_82">#REF!</definedName>
    <definedName name="Excel_BuiltIn_Recorder_84" localSheetId="4">#REF!</definedName>
    <definedName name="Excel_BuiltIn_Recorder_84" localSheetId="7">#REF!</definedName>
    <definedName name="Excel_BuiltIn_Recorder_84" localSheetId="5">#REF!</definedName>
    <definedName name="Excel_BuiltIn_Recorder_84" localSheetId="2">#REF!</definedName>
    <definedName name="Excel_BuiltIn_Recorder_84" localSheetId="6">#REF!</definedName>
    <definedName name="Excel_BuiltIn_Recorder_84">#REF!</definedName>
    <definedName name="Excel_BuiltIn_Recorder_88" localSheetId="4">#REF!</definedName>
    <definedName name="Excel_BuiltIn_Recorder_88" localSheetId="7">#REF!</definedName>
    <definedName name="Excel_BuiltIn_Recorder_88" localSheetId="5">#REF!</definedName>
    <definedName name="Excel_BuiltIn_Recorder_88" localSheetId="2">#REF!</definedName>
    <definedName name="Excel_BuiltIn_Recorder_88" localSheetId="6">#REF!</definedName>
    <definedName name="Excel_BuiltIn_Recorder_88">#REF!</definedName>
    <definedName name="Excel_BuiltIn_Recorder_90" localSheetId="4">#REF!</definedName>
    <definedName name="Excel_BuiltIn_Recorder_90" localSheetId="7">#REF!</definedName>
    <definedName name="Excel_BuiltIn_Recorder_90" localSheetId="5">#REF!</definedName>
    <definedName name="Excel_BuiltIn_Recorder_90" localSheetId="2">#REF!</definedName>
    <definedName name="Excel_BuiltIn_Recorder_90" localSheetId="6">#REF!</definedName>
    <definedName name="Excel_BuiltIn_Recorder_90">#REF!</definedName>
    <definedName name="Excel_BuiltIn_Recorder_91" localSheetId="4">#REF!</definedName>
    <definedName name="Excel_BuiltIn_Recorder_91" localSheetId="7">#REF!</definedName>
    <definedName name="Excel_BuiltIn_Recorder_91" localSheetId="5">#REF!</definedName>
    <definedName name="Excel_BuiltIn_Recorder_91" localSheetId="2">#REF!</definedName>
    <definedName name="Excel_BuiltIn_Recorder_91" localSheetId="6">#REF!</definedName>
    <definedName name="Excel_BuiltIn_Recorder_91">#REF!</definedName>
    <definedName name="Excel_BuiltIn_Recorder_92" localSheetId="4">#REF!</definedName>
    <definedName name="Excel_BuiltIn_Recorder_92" localSheetId="7">#REF!</definedName>
    <definedName name="Excel_BuiltIn_Recorder_92" localSheetId="5">#REF!</definedName>
    <definedName name="Excel_BuiltIn_Recorder_92" localSheetId="2">#REF!</definedName>
    <definedName name="Excel_BuiltIn_Recorder_92" localSheetId="6">#REF!</definedName>
    <definedName name="Excel_BuiltIn_Recorder_92">#REF!</definedName>
    <definedName name="Excel_BuiltIn_Recorder_93" localSheetId="4">#REF!</definedName>
    <definedName name="Excel_BuiltIn_Recorder_93" localSheetId="7">#REF!</definedName>
    <definedName name="Excel_BuiltIn_Recorder_93" localSheetId="5">#REF!</definedName>
    <definedName name="Excel_BuiltIn_Recorder_93" localSheetId="2">#REF!</definedName>
    <definedName name="Excel_BuiltIn_Recorder_93" localSheetId="6">#REF!</definedName>
    <definedName name="Excel_BuiltIn_Recorder_93">#REF!</definedName>
    <definedName name="Excel_BuiltIn_Recorder_94" localSheetId="4">#REF!</definedName>
    <definedName name="Excel_BuiltIn_Recorder_94" localSheetId="7">#REF!</definedName>
    <definedName name="Excel_BuiltIn_Recorder_94" localSheetId="5">#REF!</definedName>
    <definedName name="Excel_BuiltIn_Recorder_94" localSheetId="2">#REF!</definedName>
    <definedName name="Excel_BuiltIn_Recorder_94" localSheetId="6">#REF!</definedName>
    <definedName name="Excel_BuiltIn_Recorder_94">#REF!</definedName>
    <definedName name="EXECUÇÃO" localSheetId="4">#REF!</definedName>
    <definedName name="EXECUÇÃO" localSheetId="7">#REF!</definedName>
    <definedName name="EXECUÇÃO" localSheetId="5">#REF!</definedName>
    <definedName name="EXECUÇÃO" localSheetId="2">#REF!</definedName>
    <definedName name="EXECUÇÃO" localSheetId="6">#REF!</definedName>
    <definedName name="EXECUÇÃO">#REF!</definedName>
    <definedName name="EXECUÇÃO_2" localSheetId="4">#REF!</definedName>
    <definedName name="EXECUÇÃO_2" localSheetId="7">#REF!</definedName>
    <definedName name="EXECUÇÃO_2" localSheetId="5">#REF!</definedName>
    <definedName name="EXECUÇÃO_2" localSheetId="2">#REF!</definedName>
    <definedName name="EXECUÇÃO_2" localSheetId="6">#REF!</definedName>
    <definedName name="EXECUÇÃO_2">#REF!</definedName>
    <definedName name="EXECUÇÃO_5" localSheetId="4">#REF!</definedName>
    <definedName name="EXECUÇÃO_5" localSheetId="7">#REF!</definedName>
    <definedName name="EXECUÇÃO_5" localSheetId="5">#REF!</definedName>
    <definedName name="EXECUÇÃO_5" localSheetId="2">#REF!</definedName>
    <definedName name="EXECUÇÃO_5" localSheetId="6">#REF!</definedName>
    <definedName name="EXECUÇÃO_5">#REF!</definedName>
    <definedName name="EXECUÇÃO_5_2" localSheetId="4">#REF!</definedName>
    <definedName name="EXECUÇÃO_5_2" localSheetId="7">#REF!</definedName>
    <definedName name="EXECUÇÃO_5_2" localSheetId="5">#REF!</definedName>
    <definedName name="EXECUÇÃO_5_2" localSheetId="2">#REF!</definedName>
    <definedName name="EXECUÇÃO_5_2" localSheetId="6">#REF!</definedName>
    <definedName name="EXECUÇÃO_5_2">#REF!</definedName>
    <definedName name="Exibir_Dat_Com" localSheetId="4">#REF!</definedName>
    <definedName name="Exibir_Dat_Com" localSheetId="7">#REF!</definedName>
    <definedName name="Exibir_Dat_Com" localSheetId="1">#REF!</definedName>
    <definedName name="Exibir_Dat_Com" localSheetId="5">#REF!</definedName>
    <definedName name="Exibir_Dat_Com" localSheetId="2">#REF!</definedName>
    <definedName name="Exibir_Dat_Com" localSheetId="6">#REF!</definedName>
    <definedName name="Exibir_Dat_Com">#REF!</definedName>
    <definedName name="Exibir_Fer_EUA" localSheetId="4">#REF!</definedName>
    <definedName name="Exibir_Fer_EUA" localSheetId="7">#REF!</definedName>
    <definedName name="Exibir_Fer_EUA" localSheetId="1">#REF!</definedName>
    <definedName name="Exibir_Fer_EUA" localSheetId="5">#REF!</definedName>
    <definedName name="Exibir_Fer_EUA" localSheetId="2">#REF!</definedName>
    <definedName name="Exibir_Fer_EUA" localSheetId="6">#REF!</definedName>
    <definedName name="Exibir_Fer_EUA">#REF!</definedName>
    <definedName name="Exibir_Fer_Nac" localSheetId="4">#REF!</definedName>
    <definedName name="Exibir_Fer_Nac" localSheetId="7">#REF!</definedName>
    <definedName name="Exibir_Fer_Nac" localSheetId="1">#REF!</definedName>
    <definedName name="Exibir_Fer_Nac" localSheetId="5">#REF!</definedName>
    <definedName name="Exibir_Fer_Nac" localSheetId="2">#REF!</definedName>
    <definedName name="Exibir_Fer_Nac" localSheetId="6">#REF!</definedName>
    <definedName name="Exibir_Fer_Nac">#REF!</definedName>
    <definedName name="EXP_SOLUM" localSheetId="0">#REF!</definedName>
    <definedName name="EXP_SOLUM" localSheetId="4">#REF!</definedName>
    <definedName name="EXP_SOLUM" localSheetId="7">#REF!</definedName>
    <definedName name="EXP_SOLUM" localSheetId="5">#REF!</definedName>
    <definedName name="EXP_SOLUM" localSheetId="2">#REF!</definedName>
    <definedName name="EXP_SOLUM" localSheetId="6">#REF!</definedName>
    <definedName name="EXP_SOLUM">#REF!</definedName>
    <definedName name="Extenso" localSheetId="4">#REF!</definedName>
    <definedName name="Extenso" localSheetId="7">#REF!</definedName>
    <definedName name="Extenso" localSheetId="1">#REF!</definedName>
    <definedName name="Extenso" localSheetId="5">#REF!</definedName>
    <definedName name="Extenso" localSheetId="2">#REF!</definedName>
    <definedName name="Extenso" localSheetId="6">#REF!</definedName>
    <definedName name="Extenso">#REF!</definedName>
    <definedName name="EXTENSO1" localSheetId="4">#REF!</definedName>
    <definedName name="EXTENSO1" localSheetId="7">#REF!</definedName>
    <definedName name="EXTENSO1" localSheetId="1">#REF!</definedName>
    <definedName name="EXTENSO1" localSheetId="5">#REF!</definedName>
    <definedName name="EXTENSO1" localSheetId="2">#REF!</definedName>
    <definedName name="EXTENSO1" localSheetId="6">#REF!</definedName>
    <definedName name="EXTENSO1">#REF!</definedName>
    <definedName name="FASE21" localSheetId="0">#REF!</definedName>
    <definedName name="FASE21" localSheetId="4">#REF!</definedName>
    <definedName name="FASE21" localSheetId="7">#REF!</definedName>
    <definedName name="FASE21" localSheetId="5">#REF!</definedName>
    <definedName name="FASE21" localSheetId="2">#REF!</definedName>
    <definedName name="FASE21" localSheetId="6">#REF!</definedName>
    <definedName name="FASE21">#REF!</definedName>
    <definedName name="FASE22" localSheetId="0">#REF!</definedName>
    <definedName name="FASE22" localSheetId="4">#REF!</definedName>
    <definedName name="FASE22" localSheetId="7">#REF!</definedName>
    <definedName name="FASE22" localSheetId="5">#REF!</definedName>
    <definedName name="FASE22" localSheetId="2">#REF!</definedName>
    <definedName name="FASE22" localSheetId="6">#REF!</definedName>
    <definedName name="FASE22">#REF!</definedName>
    <definedName name="FASE23" localSheetId="0">#REF!</definedName>
    <definedName name="FASE23" localSheetId="4">#REF!</definedName>
    <definedName name="FASE23" localSheetId="7">#REF!</definedName>
    <definedName name="FASE23" localSheetId="5">#REF!</definedName>
    <definedName name="FASE23" localSheetId="2">#REF!</definedName>
    <definedName name="FASE23" localSheetId="6">#REF!</definedName>
    <definedName name="FASE23">#REF!</definedName>
    <definedName name="FASE25" localSheetId="0">#REF!</definedName>
    <definedName name="FASE25" localSheetId="4">#REF!</definedName>
    <definedName name="FASE25" localSheetId="7">#REF!</definedName>
    <definedName name="FASE25" localSheetId="5">#REF!</definedName>
    <definedName name="FASE25" localSheetId="2">#REF!</definedName>
    <definedName name="FASE25" localSheetId="6">#REF!</definedName>
    <definedName name="FASE25">#REF!</definedName>
    <definedName name="FASE27" localSheetId="0">#REF!</definedName>
    <definedName name="FASE27" localSheetId="4">#REF!</definedName>
    <definedName name="FASE27" localSheetId="7">#REF!</definedName>
    <definedName name="FASE27" localSheetId="5">#REF!</definedName>
    <definedName name="FASE27" localSheetId="2">#REF!</definedName>
    <definedName name="FASE27" localSheetId="6">#REF!</definedName>
    <definedName name="FASE27">#REF!</definedName>
    <definedName name="FASE28" localSheetId="0">#REF!</definedName>
    <definedName name="FASE28" localSheetId="4">#REF!</definedName>
    <definedName name="FASE28" localSheetId="7">#REF!</definedName>
    <definedName name="FASE28" localSheetId="5">#REF!</definedName>
    <definedName name="FASE28" localSheetId="2">#REF!</definedName>
    <definedName name="FASE28" localSheetId="6">#REF!</definedName>
    <definedName name="FASE28">#REF!</definedName>
    <definedName name="FASE30" localSheetId="0">#REF!</definedName>
    <definedName name="FASE30" localSheetId="4">#REF!</definedName>
    <definedName name="FASE30" localSheetId="7">#REF!</definedName>
    <definedName name="FASE30" localSheetId="5">#REF!</definedName>
    <definedName name="FASE30" localSheetId="2">#REF!</definedName>
    <definedName name="FASE30" localSheetId="6">#REF!</definedName>
    <definedName name="FASE30">#REF!</definedName>
    <definedName name="FASE37" localSheetId="0">#REF!</definedName>
    <definedName name="FASE37" localSheetId="4">#REF!</definedName>
    <definedName name="FASE37" localSheetId="7">#REF!</definedName>
    <definedName name="FASE37" localSheetId="5">#REF!</definedName>
    <definedName name="FASE37" localSheetId="2">#REF!</definedName>
    <definedName name="FASE37" localSheetId="6">#REF!</definedName>
    <definedName name="FASE37">#REF!</definedName>
    <definedName name="FATOR1" localSheetId="0">#REF!</definedName>
    <definedName name="FATOR1" localSheetId="4">#REF!</definedName>
    <definedName name="FATOR1" localSheetId="7">#REF!</definedName>
    <definedName name="FATOR1" localSheetId="1">#REF!</definedName>
    <definedName name="FATOR1" localSheetId="5">#REF!</definedName>
    <definedName name="FATOR1" localSheetId="2">#REF!</definedName>
    <definedName name="FATOR1" localSheetId="6">#REF!</definedName>
    <definedName name="FATOR1">#REF!</definedName>
    <definedName name="FATOR2" localSheetId="0">#REF!</definedName>
    <definedName name="FATOR2" localSheetId="4">#REF!</definedName>
    <definedName name="FATOR2" localSheetId="7">#REF!</definedName>
    <definedName name="FATOR2" localSheetId="1">#REF!</definedName>
    <definedName name="FATOR2" localSheetId="5">#REF!</definedName>
    <definedName name="FATOR2" localSheetId="2">#REF!</definedName>
    <definedName name="FATOR2" localSheetId="6">#REF!</definedName>
    <definedName name="FATOR2">#REF!</definedName>
    <definedName name="FATOR3" localSheetId="0">#REF!</definedName>
    <definedName name="FATOR3" localSheetId="4">#REF!</definedName>
    <definedName name="FATOR3" localSheetId="7">#REF!</definedName>
    <definedName name="FATOR3" localSheetId="1">#REF!</definedName>
    <definedName name="FATOR3" localSheetId="5">#REF!</definedName>
    <definedName name="FATOR3" localSheetId="2">#REF!</definedName>
    <definedName name="FATOR3" localSheetId="6">#REF!</definedName>
    <definedName name="FATOR3">#REF!</definedName>
    <definedName name="FATOR4" localSheetId="0">#REF!</definedName>
    <definedName name="FATOR4" localSheetId="4">#REF!</definedName>
    <definedName name="FATOR4" localSheetId="7">#REF!</definedName>
    <definedName name="FATOR4" localSheetId="1">#REF!</definedName>
    <definedName name="FATOR4" localSheetId="5">#REF!</definedName>
    <definedName name="FATOR4" localSheetId="2">#REF!</definedName>
    <definedName name="FATOR4" localSheetId="6">#REF!</definedName>
    <definedName name="FATOR4">#REF!</definedName>
    <definedName name="fazer_Serviço_particular_na_Pedreira_da_Rodocom." localSheetId="0">#REF!</definedName>
    <definedName name="fazer_Serviço_particular_na_Pedreira_da_Rodocom." localSheetId="4">#REF!</definedName>
    <definedName name="fazer_Serviço_particular_na_Pedreira_da_Rodocom." localSheetId="7">#REF!</definedName>
    <definedName name="fazer_Serviço_particular_na_Pedreira_da_Rodocom." localSheetId="1">#REF!</definedName>
    <definedName name="fazer_Serviço_particular_na_Pedreira_da_Rodocom." localSheetId="5">#REF!</definedName>
    <definedName name="fazer_Serviço_particular_na_Pedreira_da_Rodocom." localSheetId="2">#REF!</definedName>
    <definedName name="fazer_Serviço_particular_na_Pedreira_da_Rodocom." localSheetId="6">#REF!</definedName>
    <definedName name="fazer_Serviço_particular_na_Pedreira_da_Rodocom.">#REF!</definedName>
    <definedName name="FC2A" localSheetId="4">#REF!</definedName>
    <definedName name="FC2A" localSheetId="7">#REF!</definedName>
    <definedName name="FC2A" localSheetId="1">#REF!</definedName>
    <definedName name="FC2A" localSheetId="5">#REF!</definedName>
    <definedName name="FC2A" localSheetId="2">#REF!</definedName>
    <definedName name="FC2A" localSheetId="6">#REF!</definedName>
    <definedName name="FC2A">#REF!</definedName>
    <definedName name="fe_areia" localSheetId="4">#REF!</definedName>
    <definedName name="fe_areia" localSheetId="7">#REF!</definedName>
    <definedName name="fe_areia" localSheetId="1">#REF!</definedName>
    <definedName name="fe_areia" localSheetId="5">#REF!</definedName>
    <definedName name="fe_areia" localSheetId="2">#REF!</definedName>
    <definedName name="fe_areia" localSheetId="6">#REF!</definedName>
    <definedName name="fe_areia">#REF!</definedName>
    <definedName name="FERRAGENS">#N/A</definedName>
    <definedName name="Ferro_Ø_6.30mm" localSheetId="0">#REF!</definedName>
    <definedName name="Ferro_Ø_6.30mm" localSheetId="4">#REF!</definedName>
    <definedName name="Ferro_Ø_6.30mm" localSheetId="7">#REF!</definedName>
    <definedName name="Ferro_Ø_6.30mm" localSheetId="5">#REF!</definedName>
    <definedName name="Ferro_Ø_6.30mm" localSheetId="2">#REF!</definedName>
    <definedName name="Ferro_Ø_6.30mm" localSheetId="6">#REF!</definedName>
    <definedName name="Ferro_Ø_6.30mm">#REF!</definedName>
    <definedName name="fff" localSheetId="4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fff" localSheetId="3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fff" localSheetId="7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fff" localSheetId="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fff" localSheetId="5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fff" localSheetId="2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fff" localSheetId="6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fff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fffff" localSheetId="0">#REF!</definedName>
    <definedName name="fffff" localSheetId="4">#REF!</definedName>
    <definedName name="fffff" localSheetId="7">#REF!</definedName>
    <definedName name="fffff" localSheetId="5">#REF!</definedName>
    <definedName name="fffff" localSheetId="2">#REF!</definedName>
    <definedName name="fffff" localSheetId="6">#REF!</definedName>
    <definedName name="fffff">#REF!</definedName>
    <definedName name="FFFFFF" localSheetId="4">#REF!</definedName>
    <definedName name="FFFFFF" localSheetId="7">#REF!</definedName>
    <definedName name="FFFFFF" localSheetId="5">#REF!</definedName>
    <definedName name="FFFFFF" localSheetId="2">#REF!</definedName>
    <definedName name="FFFFFF" localSheetId="6">#REF!</definedName>
    <definedName name="FFFFFF">#REF!</definedName>
    <definedName name="FFFFFF_2" localSheetId="4">#REF!</definedName>
    <definedName name="FFFFFF_2" localSheetId="7">#REF!</definedName>
    <definedName name="FFFFFF_2" localSheetId="5">#REF!</definedName>
    <definedName name="FFFFFF_2" localSheetId="2">#REF!</definedName>
    <definedName name="FFFFFF_2" localSheetId="6">#REF!</definedName>
    <definedName name="FFFFFF_2">#REF!</definedName>
    <definedName name="Filtr_descr" localSheetId="4">#REF!</definedName>
    <definedName name="Filtr_descr" localSheetId="7">#REF!</definedName>
    <definedName name="Filtr_descr" localSheetId="5">#REF!</definedName>
    <definedName name="Filtr_descr" localSheetId="2">#REF!</definedName>
    <definedName name="Filtr_descr" localSheetId="6">#REF!</definedName>
    <definedName name="Filtr_descr">#REF!</definedName>
    <definedName name="Filtr_descr_un" localSheetId="4">#REF!</definedName>
    <definedName name="Filtr_descr_un" localSheetId="7">#REF!</definedName>
    <definedName name="Filtr_descr_un" localSheetId="5">#REF!</definedName>
    <definedName name="Filtr_descr_un" localSheetId="2">#REF!</definedName>
    <definedName name="Filtr_descr_un" localSheetId="6">#REF!</definedName>
    <definedName name="Filtr_descr_un">#REF!</definedName>
    <definedName name="FINAL" localSheetId="0">#REF!</definedName>
    <definedName name="FINAL" localSheetId="4">#REF!</definedName>
    <definedName name="FINAL" localSheetId="7">#REF!</definedName>
    <definedName name="FINAL" localSheetId="5">#REF!</definedName>
    <definedName name="FINAL" localSheetId="2">#REF!</definedName>
    <definedName name="FINAL" localSheetId="6">#REF!</definedName>
    <definedName name="FINAL">#REF!</definedName>
    <definedName name="FinalA" localSheetId="0">#REF!</definedName>
    <definedName name="FinalA" localSheetId="4">#REF!</definedName>
    <definedName name="FinalA" localSheetId="7">#REF!</definedName>
    <definedName name="FinalA" localSheetId="5">#REF!</definedName>
    <definedName name="FinalA" localSheetId="2">#REF!</definedName>
    <definedName name="FinalA" localSheetId="6">#REF!</definedName>
    <definedName name="FinalA">#REF!</definedName>
    <definedName name="FISCAL2" localSheetId="4">#REF!</definedName>
    <definedName name="FISCAL2" localSheetId="7">#REF!</definedName>
    <definedName name="FISCAL2" localSheetId="5">#REF!</definedName>
    <definedName name="FISCAL2" localSheetId="2">#REF!</definedName>
    <definedName name="FISCAL2" localSheetId="6">#REF!</definedName>
    <definedName name="FISCAL2">#REF!</definedName>
    <definedName name="FOOR" localSheetId="4" hidden="1">{#N/A,#N/A,FALSE,"Plan1"}</definedName>
    <definedName name="FOOR" localSheetId="3" hidden="1">{#N/A,#N/A,FALSE,"Plan1"}</definedName>
    <definedName name="FOOR" localSheetId="7" hidden="1">{#N/A,#N/A,FALSE,"Plan1"}</definedName>
    <definedName name="FOOR" localSheetId="1" hidden="1">{#N/A,#N/A,FALSE,"Plan1"}</definedName>
    <definedName name="FOOR" localSheetId="5" hidden="1">{#N/A,#N/A,FALSE,"Plan1"}</definedName>
    <definedName name="FOOR" localSheetId="2" hidden="1">{#N/A,#N/A,FALSE,"Plan1"}</definedName>
    <definedName name="FOOR" localSheetId="6" hidden="1">{#N/A,#N/A,FALSE,"Plan1"}</definedName>
    <definedName name="FOOR" hidden="1">{#N/A,#N/A,FALSE,"Plan1"}</definedName>
    <definedName name="FORMULÁRIO" localSheetId="4" hidden="1">{#N/A,#N/A,FALSE,"Plan1"}</definedName>
    <definedName name="FORMULÁRIO" localSheetId="3" hidden="1">{#N/A,#N/A,FALSE,"Plan1"}</definedName>
    <definedName name="FORMULÁRIO" localSheetId="7" hidden="1">{#N/A,#N/A,FALSE,"Plan1"}</definedName>
    <definedName name="FORMULÁRIO" localSheetId="1" hidden="1">{#N/A,#N/A,FALSE,"Plan1"}</definedName>
    <definedName name="FORMULÁRIO" localSheetId="5" hidden="1">{#N/A,#N/A,FALSE,"Plan1"}</definedName>
    <definedName name="FORMULÁRIO" localSheetId="2" hidden="1">{#N/A,#N/A,FALSE,"Plan1"}</definedName>
    <definedName name="FORMULÁRIO" localSheetId="6" hidden="1">{#N/A,#N/A,FALSE,"Plan1"}</definedName>
    <definedName name="FORMULÁRIO" hidden="1">{#N/A,#N/A,FALSE,"Plan1"}</definedName>
    <definedName name="FORRO" localSheetId="4" hidden="1">{#N/A,#N/A,FALSE,"Plan1"}</definedName>
    <definedName name="FORRO" localSheetId="3" hidden="1">{#N/A,#N/A,FALSE,"Plan1"}</definedName>
    <definedName name="FORRO" localSheetId="7" hidden="1">{#N/A,#N/A,FALSE,"Plan1"}</definedName>
    <definedName name="FORRO" localSheetId="1" hidden="1">{#N/A,#N/A,FALSE,"Plan1"}</definedName>
    <definedName name="FORRO" localSheetId="5" hidden="1">{#N/A,#N/A,FALSE,"Plan1"}</definedName>
    <definedName name="FORRO" localSheetId="2" hidden="1">{#N/A,#N/A,FALSE,"Plan1"}</definedName>
    <definedName name="FORRO" localSheetId="6" hidden="1">{#N/A,#N/A,FALSE,"Plan1"}</definedName>
    <definedName name="FORRO" hidden="1">{#N/A,#N/A,FALSE,"Plan1"}</definedName>
    <definedName name="FRESAGEM_DRENO" localSheetId="4">#REF!</definedName>
    <definedName name="FRESAGEM_DRENO" localSheetId="7">#REF!</definedName>
    <definedName name="FRESAGEM_DRENO" localSheetId="1">#REF!</definedName>
    <definedName name="FRESAGEM_DRENO" localSheetId="5">#REF!</definedName>
    <definedName name="FRESAGEM_DRENO" localSheetId="2">#REF!</definedName>
    <definedName name="FRESAGEM_DRENO" localSheetId="6">#REF!</definedName>
    <definedName name="FRESAGEM_DRENO">#REF!</definedName>
    <definedName name="FRR" localSheetId="4" hidden="1">{#N/A,#N/A,FALSE,"Plan1"}</definedName>
    <definedName name="FRR" localSheetId="3" hidden="1">{#N/A,#N/A,FALSE,"Plan1"}</definedName>
    <definedName name="FRR" localSheetId="7" hidden="1">{#N/A,#N/A,FALSE,"Plan1"}</definedName>
    <definedName name="FRR" localSheetId="1" hidden="1">{#N/A,#N/A,FALSE,"Plan1"}</definedName>
    <definedName name="FRR" localSheetId="5" hidden="1">{#N/A,#N/A,FALSE,"Plan1"}</definedName>
    <definedName name="FRR" localSheetId="2" hidden="1">{#N/A,#N/A,FALSE,"Plan1"}</definedName>
    <definedName name="FRR" localSheetId="6" hidden="1">{#N/A,#N/A,FALSE,"Plan1"}</definedName>
    <definedName name="FRR" hidden="1">{#N/A,#N/A,FALSE,"Plan1"}</definedName>
    <definedName name="fund" localSheetId="4">#REF!</definedName>
    <definedName name="fund" localSheetId="7">#REF!</definedName>
    <definedName name="fund" localSheetId="5">#REF!</definedName>
    <definedName name="fund" localSheetId="2">#REF!</definedName>
    <definedName name="fund" localSheetId="6">#REF!</definedName>
    <definedName name="fund">#REF!</definedName>
    <definedName name="fund1" localSheetId="4">#REF!</definedName>
    <definedName name="fund1" localSheetId="7">#REF!</definedName>
    <definedName name="fund1" localSheetId="5">#REF!</definedName>
    <definedName name="fund1" localSheetId="2">#REF!</definedName>
    <definedName name="fund1" localSheetId="6">#REF!</definedName>
    <definedName name="fund1">#REF!</definedName>
    <definedName name="fundacoes" localSheetId="4">#REF!</definedName>
    <definedName name="fundacoes" localSheetId="7">#REF!</definedName>
    <definedName name="fundacoes" localSheetId="5">#REF!</definedName>
    <definedName name="fundacoes" localSheetId="2">#REF!</definedName>
    <definedName name="fundacoes" localSheetId="6">#REF!</definedName>
    <definedName name="fundacoes">#REF!</definedName>
    <definedName name="fundações" localSheetId="4">#REF!</definedName>
    <definedName name="fundações" localSheetId="7">#REF!</definedName>
    <definedName name="fundações" localSheetId="5">#REF!</definedName>
    <definedName name="fundações" localSheetId="2">#REF!</definedName>
    <definedName name="fundações" localSheetId="6">#REF!</definedName>
    <definedName name="fundações">#REF!</definedName>
    <definedName name="fundações1" localSheetId="4">#REF!</definedName>
    <definedName name="fundações1" localSheetId="7">#REF!</definedName>
    <definedName name="fundações1" localSheetId="1">#REF!</definedName>
    <definedName name="fundações1" localSheetId="5">#REF!</definedName>
    <definedName name="fundações1" localSheetId="2">#REF!</definedName>
    <definedName name="fundações1" localSheetId="6">#REF!</definedName>
    <definedName name="fundações1">#REF!</definedName>
    <definedName name="fuste" localSheetId="4">#REF!</definedName>
    <definedName name="fuste" localSheetId="7">#REF!</definedName>
    <definedName name="fuste" localSheetId="5">#REF!</definedName>
    <definedName name="fuste" localSheetId="2">#REF!</definedName>
    <definedName name="fuste" localSheetId="6">#REF!</definedName>
    <definedName name="fuste">#REF!</definedName>
    <definedName name="fyuk" localSheetId="4">#REF!</definedName>
    <definedName name="fyuk" localSheetId="7">#REF!</definedName>
    <definedName name="fyuk" localSheetId="1">#REF!</definedName>
    <definedName name="fyuk" localSheetId="5">#REF!</definedName>
    <definedName name="fyuk" localSheetId="2">#REF!</definedName>
    <definedName name="fyuk" localSheetId="6">#REF!</definedName>
    <definedName name="fyuk">#REF!</definedName>
    <definedName name="gdfggsfv" localSheetId="0">#REF!</definedName>
    <definedName name="gdfggsfv" localSheetId="4">#REF!</definedName>
    <definedName name="gdfggsfv" localSheetId="7">#REF!</definedName>
    <definedName name="gdfggsfv" localSheetId="5">#REF!</definedName>
    <definedName name="gdfggsfv" localSheetId="2">#REF!</definedName>
    <definedName name="gdfggsfv" localSheetId="6">#REF!</definedName>
    <definedName name="gdfggsfv">#REF!</definedName>
    <definedName name="gen" localSheetId="4">#REF!</definedName>
    <definedName name="gen" localSheetId="7">#REF!</definedName>
    <definedName name="gen" localSheetId="5">#REF!</definedName>
    <definedName name="gen" localSheetId="2">#REF!</definedName>
    <definedName name="gen" localSheetId="6">#REF!</definedName>
    <definedName name="gen">#REF!</definedName>
    <definedName name="gfd" localSheetId="0">#REF!</definedName>
    <definedName name="gfd" localSheetId="4">#REF!</definedName>
    <definedName name="gfd" localSheetId="7">#REF!</definedName>
    <definedName name="gfd" localSheetId="5">#REF!</definedName>
    <definedName name="gfd" localSheetId="2">#REF!</definedName>
    <definedName name="gfd" localSheetId="6">#REF!</definedName>
    <definedName name="gfd">#REF!</definedName>
    <definedName name="GFG" localSheetId="0">#REF!</definedName>
    <definedName name="GFG" localSheetId="4">#REF!</definedName>
    <definedName name="GFG" localSheetId="7">#REF!</definedName>
    <definedName name="GFG" localSheetId="5">#REF!</definedName>
    <definedName name="GFG" localSheetId="2">#REF!</definedName>
    <definedName name="GFG" localSheetId="6">#REF!</definedName>
    <definedName name="GFG">#REF!</definedName>
    <definedName name="_xlnm.Recorder" localSheetId="4">#REF!</definedName>
    <definedName name="_xlnm.Recorder" localSheetId="7">#REF!</definedName>
    <definedName name="_xlnm.Recorder" localSheetId="5">#REF!</definedName>
    <definedName name="_xlnm.Recorder" localSheetId="2">#REF!</definedName>
    <definedName name="_xlnm.Recorder" localSheetId="6">#REF!</definedName>
    <definedName name="_xlnm.Recorder">#REF!</definedName>
    <definedName name="GRV" localSheetId="4">#REF!</definedName>
    <definedName name="GRV" localSheetId="7">#REF!</definedName>
    <definedName name="GRV" localSheetId="5">#REF!</definedName>
    <definedName name="GRV" localSheetId="2">#REF!</definedName>
    <definedName name="GRV" localSheetId="6">#REF!</definedName>
    <definedName name="GRV">#REF!</definedName>
    <definedName name="GRV_2" localSheetId="4">#REF!</definedName>
    <definedName name="GRV_2" localSheetId="7">#REF!</definedName>
    <definedName name="GRV_2" localSheetId="5">#REF!</definedName>
    <definedName name="GRV_2" localSheetId="2">#REF!</definedName>
    <definedName name="GRV_2" localSheetId="6">#REF!</definedName>
    <definedName name="GRV_2">#REF!</definedName>
    <definedName name="h" localSheetId="0">#REF!</definedName>
    <definedName name="h" localSheetId="4">#REF!</definedName>
    <definedName name="h" localSheetId="7">#REF!</definedName>
    <definedName name="h" localSheetId="5">#REF!</definedName>
    <definedName name="h" localSheetId="2">#REF!</definedName>
    <definedName name="h" localSheetId="6">#REF!</definedName>
    <definedName name="h">#REF!</definedName>
    <definedName name="HGF" localSheetId="0">#REF!</definedName>
    <definedName name="HGF" localSheetId="4">#REF!</definedName>
    <definedName name="HGF" localSheetId="7">#REF!</definedName>
    <definedName name="HGF" localSheetId="5">#REF!</definedName>
    <definedName name="HGF" localSheetId="2">#REF!</definedName>
    <definedName name="HGF" localSheetId="6">#REF!</definedName>
    <definedName name="HGF">#REF!</definedName>
    <definedName name="hhh" localSheetId="4">#REF!</definedName>
    <definedName name="hhh" localSheetId="7">#REF!</definedName>
    <definedName name="hhh" localSheetId="5">#REF!</definedName>
    <definedName name="hhh" localSheetId="2">#REF!</definedName>
    <definedName name="hhh" localSheetId="6">#REF!</definedName>
    <definedName name="hhh">#REF!</definedName>
    <definedName name="hhhh" localSheetId="0">#REF!</definedName>
    <definedName name="hhhh" localSheetId="4">#REF!</definedName>
    <definedName name="hhhh" localSheetId="7">#REF!</definedName>
    <definedName name="hhhh" localSheetId="5">#REF!</definedName>
    <definedName name="hhhh" localSheetId="2">#REF!</definedName>
    <definedName name="hhhh" localSheetId="6">#REF!</definedName>
    <definedName name="hhhh">#REF!</definedName>
    <definedName name="hhhhh" localSheetId="4">#REF!</definedName>
    <definedName name="hhhhh" localSheetId="7">#REF!</definedName>
    <definedName name="hhhhh" localSheetId="5">#REF!</definedName>
    <definedName name="hhhhh" localSheetId="2">#REF!</definedName>
    <definedName name="hhhhh" localSheetId="6">#REF!</definedName>
    <definedName name="hhhhh">#REF!</definedName>
    <definedName name="hi" localSheetId="4">#REF!</definedName>
    <definedName name="hi" localSheetId="7">#REF!</definedName>
    <definedName name="hi" localSheetId="5">#REF!</definedName>
    <definedName name="hi" localSheetId="2">#REF!</definedName>
    <definedName name="hi" localSheetId="6">#REF!</definedName>
    <definedName name="hi">#REF!</definedName>
    <definedName name="HIDRÁULICA">#N/A</definedName>
    <definedName name="Horas_Trabajadas" localSheetId="0">#REF!</definedName>
    <definedName name="Horas_Trabajadas" localSheetId="4">#REF!</definedName>
    <definedName name="Horas_Trabajadas" localSheetId="7">#REF!</definedName>
    <definedName name="Horas_Trabajadas" localSheetId="5">#REF!</definedName>
    <definedName name="Horas_Trabajadas" localSheetId="2">#REF!</definedName>
    <definedName name="Horas_Trabajadas" localSheetId="6">#REF!</definedName>
    <definedName name="Horas_Trabajadas">#REF!</definedName>
    <definedName name="IMPERMEABILIZA">#N/A</definedName>
    <definedName name="indice" localSheetId="4">#REF!</definedName>
    <definedName name="indice" localSheetId="7">#REF!</definedName>
    <definedName name="indice" localSheetId="1">#REF!</definedName>
    <definedName name="indice" localSheetId="5">#REF!</definedName>
    <definedName name="indice" localSheetId="2">#REF!</definedName>
    <definedName name="indice" localSheetId="6">#REF!</definedName>
    <definedName name="indice">#REF!</definedName>
    <definedName name="indice_2" localSheetId="4">#REF!</definedName>
    <definedName name="indice_2" localSheetId="7">#REF!</definedName>
    <definedName name="indice_2" localSheetId="5">#REF!</definedName>
    <definedName name="indice_2" localSheetId="2">#REF!</definedName>
    <definedName name="indice_2" localSheetId="6">#REF!</definedName>
    <definedName name="indice_2">#REF!</definedName>
    <definedName name="indice1" localSheetId="4">#REF!</definedName>
    <definedName name="indice1" localSheetId="7">#REF!</definedName>
    <definedName name="indice1" localSheetId="5">#REF!</definedName>
    <definedName name="indice1" localSheetId="2">#REF!</definedName>
    <definedName name="indice1" localSheetId="6">#REF!</definedName>
    <definedName name="indice1">#REF!</definedName>
    <definedName name="INFO" localSheetId="4">#REF!</definedName>
    <definedName name="INFO" localSheetId="7">#REF!</definedName>
    <definedName name="INFO" localSheetId="1">#REF!</definedName>
    <definedName name="INFO" localSheetId="5">#REF!</definedName>
    <definedName name="INFO" localSheetId="2">#REF!</definedName>
    <definedName name="INFO" localSheetId="6">#REF!</definedName>
    <definedName name="INFO">#REF!</definedName>
    <definedName name="INICIO" localSheetId="0">#REF!</definedName>
    <definedName name="INICIO" localSheetId="4">#REF!</definedName>
    <definedName name="INICIO" localSheetId="7">#REF!</definedName>
    <definedName name="INICIO" localSheetId="5">#REF!</definedName>
    <definedName name="INICIO" localSheetId="2">#REF!</definedName>
    <definedName name="INICIO" localSheetId="6">#REF!</definedName>
    <definedName name="INICIO">#REF!</definedName>
    <definedName name="Início" localSheetId="4">#REF!</definedName>
    <definedName name="Início" localSheetId="7">#REF!</definedName>
    <definedName name="Início" localSheetId="1">#REF!</definedName>
    <definedName name="Início" localSheetId="5">#REF!</definedName>
    <definedName name="Início" localSheetId="2">#REF!</definedName>
    <definedName name="Início" localSheetId="6">#REF!</definedName>
    <definedName name="Início">#REF!</definedName>
    <definedName name="IUOU" localSheetId="0">#REF!</definedName>
    <definedName name="IUOU" localSheetId="4">#REF!</definedName>
    <definedName name="IUOU" localSheetId="7">#REF!</definedName>
    <definedName name="IUOU" localSheetId="5">#REF!</definedName>
    <definedName name="IUOU" localSheetId="2">#REF!</definedName>
    <definedName name="IUOU" localSheetId="6">#REF!</definedName>
    <definedName name="IUOU">#REF!</definedName>
    <definedName name="JANTA" localSheetId="4">#REF!</definedName>
    <definedName name="JANTA" localSheetId="7">#REF!</definedName>
    <definedName name="JANTA" localSheetId="5">#REF!</definedName>
    <definedName name="JANTA" localSheetId="2">#REF!</definedName>
    <definedName name="JANTA" localSheetId="6">#REF!</definedName>
    <definedName name="JANTA">#REF!</definedName>
    <definedName name="JKUNIOR" localSheetId="0">#REF!</definedName>
    <definedName name="JKUNIOR" localSheetId="4">#REF!</definedName>
    <definedName name="JKUNIOR" localSheetId="7">#REF!</definedName>
    <definedName name="JKUNIOR" localSheetId="5">#REF!</definedName>
    <definedName name="JKUNIOR" localSheetId="2">#REF!</definedName>
    <definedName name="JKUNIOR" localSheetId="6">#REF!</definedName>
    <definedName name="JKUNIOR">#REF!</definedName>
    <definedName name="k" localSheetId="4">#REF!</definedName>
    <definedName name="k" localSheetId="7">#REF!</definedName>
    <definedName name="k" localSheetId="5">#REF!</definedName>
    <definedName name="k" localSheetId="2">#REF!</definedName>
    <definedName name="k" localSheetId="6">#REF!</definedName>
    <definedName name="k">#REF!</definedName>
    <definedName name="KH" localSheetId="0">#REF!</definedName>
    <definedName name="KH" localSheetId="4">#REF!</definedName>
    <definedName name="KH" localSheetId="7">#REF!</definedName>
    <definedName name="KH" localSheetId="5">#REF!</definedName>
    <definedName name="KH" localSheetId="2">#REF!</definedName>
    <definedName name="KH" localSheetId="6">#REF!</definedName>
    <definedName name="KH">#REF!</definedName>
    <definedName name="kjhgr" localSheetId="0">#REF!</definedName>
    <definedName name="kjhgr" localSheetId="4">#REF!</definedName>
    <definedName name="kjhgr" localSheetId="7">#REF!</definedName>
    <definedName name="kjhgr" localSheetId="5">#REF!</definedName>
    <definedName name="kjhgr" localSheetId="2">#REF!</definedName>
    <definedName name="kjhgr" localSheetId="6">#REF!</definedName>
    <definedName name="kjhgr">#REF!</definedName>
    <definedName name="kk" localSheetId="0">#REF!</definedName>
    <definedName name="kk" localSheetId="4">#REF!</definedName>
    <definedName name="kk" localSheetId="7">#REF!</definedName>
    <definedName name="kk" localSheetId="5">#REF!</definedName>
    <definedName name="kk" localSheetId="2">#REF!</definedName>
    <definedName name="kk" localSheetId="6">#REF!</definedName>
    <definedName name="kk">#REF!</definedName>
    <definedName name="kkk" localSheetId="0">#REF!</definedName>
    <definedName name="kkk" localSheetId="4">#REF!</definedName>
    <definedName name="kkk" localSheetId="7">#REF!</definedName>
    <definedName name="kkk" localSheetId="5">#REF!</definedName>
    <definedName name="kkk" localSheetId="2">#REF!</definedName>
    <definedName name="kkk" localSheetId="6">#REF!</definedName>
    <definedName name="kkk">#REF!</definedName>
    <definedName name="Lanç_DR_11" localSheetId="4">#REF!</definedName>
    <definedName name="Lanç_DR_11" localSheetId="7">#REF!</definedName>
    <definedName name="Lanç_DR_11" localSheetId="5">#REF!</definedName>
    <definedName name="Lanç_DR_11" localSheetId="2">#REF!</definedName>
    <definedName name="Lanç_DR_11" localSheetId="6">#REF!</definedName>
    <definedName name="Lanç_DR_11">#REF!</definedName>
    <definedName name="Lanç_DR_12" localSheetId="4">#REF!</definedName>
    <definedName name="Lanç_DR_12" localSheetId="7">#REF!</definedName>
    <definedName name="Lanç_DR_12" localSheetId="5">#REF!</definedName>
    <definedName name="Lanç_DR_12" localSheetId="2">#REF!</definedName>
    <definedName name="Lanç_DR_12" localSheetId="6">#REF!</definedName>
    <definedName name="Lanç_DR_12">#REF!</definedName>
    <definedName name="Lanç_DR_13" localSheetId="4">#REF!</definedName>
    <definedName name="Lanç_DR_13" localSheetId="7">#REF!</definedName>
    <definedName name="Lanç_DR_13" localSheetId="5">#REF!</definedName>
    <definedName name="Lanç_DR_13" localSheetId="2">#REF!</definedName>
    <definedName name="Lanç_DR_13" localSheetId="6">#REF!</definedName>
    <definedName name="Lanç_DR_13">#REF!</definedName>
    <definedName name="LANÇA_BUSCA" localSheetId="4">#REF!</definedName>
    <definedName name="LANÇA_BUSCA" localSheetId="7">#REF!</definedName>
    <definedName name="LANÇA_BUSCA" localSheetId="1">#REF!</definedName>
    <definedName name="LANÇA_BUSCA" localSheetId="5">#REF!</definedName>
    <definedName name="LANÇA_BUSCA" localSheetId="2">#REF!</definedName>
    <definedName name="LANÇA_BUSCA" localSheetId="6">#REF!</definedName>
    <definedName name="LANÇA_BUSCA">#REF!</definedName>
    <definedName name="LicCódigo" localSheetId="4">#REF!</definedName>
    <definedName name="LicCódigo" localSheetId="7">#REF!</definedName>
    <definedName name="LicCódigo" localSheetId="1">#REF!</definedName>
    <definedName name="LicCódigo" localSheetId="5">#REF!</definedName>
    <definedName name="LicCódigo" localSheetId="2">#REF!</definedName>
    <definedName name="LicCódigo" localSheetId="6">#REF!</definedName>
    <definedName name="LicCódigo">#REF!</definedName>
    <definedName name="LicDescrição" localSheetId="4">#REF!</definedName>
    <definedName name="LicDescrição" localSheetId="7">#REF!</definedName>
    <definedName name="LicDescrição" localSheetId="1">#REF!</definedName>
    <definedName name="LicDescrição" localSheetId="5">#REF!</definedName>
    <definedName name="LicDescrição" localSheetId="2">#REF!</definedName>
    <definedName name="LicDescrição" localSheetId="6">#REF!</definedName>
    <definedName name="LicDescrição">#REF!</definedName>
    <definedName name="LicUnidade" localSheetId="4">#REF!</definedName>
    <definedName name="LicUnidade" localSheetId="7">#REF!</definedName>
    <definedName name="LicUnidade" localSheetId="1">#REF!</definedName>
    <definedName name="LicUnidade" localSheetId="5">#REF!</definedName>
    <definedName name="LicUnidade" localSheetId="2">#REF!</definedName>
    <definedName name="LicUnidade" localSheetId="6">#REF!</definedName>
    <definedName name="LicUnidade">#REF!</definedName>
    <definedName name="LILASDRENA" localSheetId="4">#REF!</definedName>
    <definedName name="LILASDRENA" localSheetId="7">#REF!</definedName>
    <definedName name="LILASDRENA" localSheetId="5">#REF!</definedName>
    <definedName name="LILASDRENA" localSheetId="2">#REF!</definedName>
    <definedName name="LILASDRENA" localSheetId="6">#REF!</definedName>
    <definedName name="LILASDRENA">#REF!</definedName>
    <definedName name="lim_var" localSheetId="4">#REF!</definedName>
    <definedName name="lim_var" localSheetId="7">#REF!</definedName>
    <definedName name="lim_var" localSheetId="5">#REF!</definedName>
    <definedName name="lim_var" localSheetId="2">#REF!</definedName>
    <definedName name="lim_var" localSheetId="6">#REF!</definedName>
    <definedName name="lim_var">#REF!</definedName>
    <definedName name="lim_var_2" localSheetId="4">#REF!</definedName>
    <definedName name="lim_var_2" localSheetId="7">#REF!</definedName>
    <definedName name="lim_var_2" localSheetId="5">#REF!</definedName>
    <definedName name="lim_var_2" localSheetId="2">#REF!</definedName>
    <definedName name="lim_var_2" localSheetId="6">#REF!</definedName>
    <definedName name="lim_var_2">#REF!</definedName>
    <definedName name="limite" localSheetId="4">#REF!</definedName>
    <definedName name="limite" localSheetId="7">#REF!</definedName>
    <definedName name="limite" localSheetId="5">#REF!</definedName>
    <definedName name="limite" localSheetId="2">#REF!</definedName>
    <definedName name="limite" localSheetId="6">#REF!</definedName>
    <definedName name="limite">#REF!</definedName>
    <definedName name="limite_2" localSheetId="4">#REF!</definedName>
    <definedName name="limite_2" localSheetId="7">#REF!</definedName>
    <definedName name="limite_2" localSheetId="5">#REF!</definedName>
    <definedName name="limite_2" localSheetId="2">#REF!</definedName>
    <definedName name="limite_2" localSheetId="6">#REF!</definedName>
    <definedName name="limite_2">#REF!</definedName>
    <definedName name="limpar_lançamento" localSheetId="0">#REF!,#REF!,#REF!,#REF!,#REF!</definedName>
    <definedName name="limpar_lançamento" localSheetId="4">#REF!,#REF!,#REF!,#REF!,#REF!</definedName>
    <definedName name="limpar_lançamento" localSheetId="7">#REF!,#REF!,#REF!,#REF!,#REF!</definedName>
    <definedName name="limpar_lançamento" localSheetId="1">#REF!,#REF!,#REF!,#REF!,#REF!</definedName>
    <definedName name="limpar_lançamento" localSheetId="5">#REF!,#REF!,#REF!,#REF!,#REF!</definedName>
    <definedName name="limpar_lançamento" localSheetId="2">#REF!,#REF!,#REF!,#REF!,#REF!</definedName>
    <definedName name="limpar_lançamento" localSheetId="6">#REF!,#REF!,#REF!,#REF!,#REF!</definedName>
    <definedName name="limpar_lançamento">#REF!,#REF!,#REF!,#REF!,#REF!</definedName>
    <definedName name="linha" localSheetId="4">#REF!</definedName>
    <definedName name="linha" localSheetId="7">#REF!</definedName>
    <definedName name="linha" localSheetId="5">#REF!</definedName>
    <definedName name="linha" localSheetId="2">#REF!</definedName>
    <definedName name="linha" localSheetId="6">#REF!</definedName>
    <definedName name="linha">#REF!</definedName>
    <definedName name="linha_2" localSheetId="4">#REF!</definedName>
    <definedName name="linha_2" localSheetId="7">#REF!</definedName>
    <definedName name="linha_2" localSheetId="5">#REF!</definedName>
    <definedName name="linha_2" localSheetId="2">#REF!</definedName>
    <definedName name="linha_2" localSheetId="6">#REF!</definedName>
    <definedName name="linha_2">#REF!</definedName>
    <definedName name="List_BMetalicoTipo" localSheetId="4">#REF!</definedName>
    <definedName name="List_BMetalicoTipo" localSheetId="7">#REF!</definedName>
    <definedName name="List_BMetalicoTipo" localSheetId="5">#REF!</definedName>
    <definedName name="List_BMetalicoTipo" localSheetId="2">#REF!</definedName>
    <definedName name="List_BMetalicoTipo" localSheetId="6">#REF!</definedName>
    <definedName name="List_BMetalicoTipo">#REF!</definedName>
    <definedName name="List_Boca_leão" localSheetId="4">#REF!</definedName>
    <definedName name="List_Boca_leão" localSheetId="7">#REF!</definedName>
    <definedName name="List_Boca_leão" localSheetId="5">#REF!</definedName>
    <definedName name="List_Boca_leão" localSheetId="2">#REF!</definedName>
    <definedName name="List_Boca_leão" localSheetId="6">#REF!</definedName>
    <definedName name="List_Boca_leão">#REF!</definedName>
    <definedName name="List_Boca_Lobo" localSheetId="4">#REF!</definedName>
    <definedName name="List_Boca_Lobo" localSheetId="7">#REF!</definedName>
    <definedName name="List_Boca_Lobo" localSheetId="5">#REF!</definedName>
    <definedName name="List_Boca_Lobo" localSheetId="2">#REF!</definedName>
    <definedName name="List_Boca_Lobo" localSheetId="6">#REF!</definedName>
    <definedName name="List_Boca_Lobo">#REF!</definedName>
    <definedName name="List_BocaTipo" localSheetId="4">#REF!</definedName>
    <definedName name="List_BocaTipo" localSheetId="7">#REF!</definedName>
    <definedName name="List_BocaTipo" localSheetId="5">#REF!</definedName>
    <definedName name="List_BocaTipo" localSheetId="2">#REF!</definedName>
    <definedName name="List_BocaTipo" localSheetId="6">#REF!</definedName>
    <definedName name="List_BocaTipo">#REF!</definedName>
    <definedName name="List_BSD" localSheetId="4">#REF!</definedName>
    <definedName name="List_BSD" localSheetId="7">#REF!</definedName>
    <definedName name="List_BSD" localSheetId="5">#REF!</definedName>
    <definedName name="List_BSD" localSheetId="2">#REF!</definedName>
    <definedName name="List_BSD" localSheetId="6">#REF!</definedName>
    <definedName name="List_BSD">#REF!</definedName>
    <definedName name="List_BueiroConc" localSheetId="4">#REF!</definedName>
    <definedName name="List_BueiroConc" localSheetId="7">#REF!</definedName>
    <definedName name="List_BueiroConc" localSheetId="5">#REF!</definedName>
    <definedName name="List_BueiroConc" localSheetId="2">#REF!</definedName>
    <definedName name="List_BueiroConc" localSheetId="6">#REF!</definedName>
    <definedName name="List_BueiroConc">#REF!</definedName>
    <definedName name="List_BueiroDiam" localSheetId="4">#REF!</definedName>
    <definedName name="List_BueiroDiam" localSheetId="7">#REF!</definedName>
    <definedName name="List_BueiroDiam" localSheetId="5">#REF!</definedName>
    <definedName name="List_BueiroDiam" localSheetId="2">#REF!</definedName>
    <definedName name="List_BueiroDiam" localSheetId="6">#REF!</definedName>
    <definedName name="List_BueiroDiam">#REF!</definedName>
    <definedName name="List_Canaleta" localSheetId="4">#REF!</definedName>
    <definedName name="List_Canaleta" localSheetId="7">#REF!</definedName>
    <definedName name="List_Canaleta" localSheetId="5">#REF!</definedName>
    <definedName name="List_Canaleta" localSheetId="2">#REF!</definedName>
    <definedName name="List_Canaleta" localSheetId="6">#REF!</definedName>
    <definedName name="List_Canaleta">#REF!</definedName>
    <definedName name="List_CanalRet" localSheetId="4">#REF!</definedName>
    <definedName name="List_CanalRet" localSheetId="7">#REF!</definedName>
    <definedName name="List_CanalRet" localSheetId="5">#REF!</definedName>
    <definedName name="List_CanalRet" localSheetId="2">#REF!</definedName>
    <definedName name="List_CanalRet" localSheetId="6">#REF!</definedName>
    <definedName name="List_CanalRet">#REF!</definedName>
    <definedName name="List_CanalTrap" localSheetId="4">#REF!</definedName>
    <definedName name="List_CanalTrap" localSheetId="7">#REF!</definedName>
    <definedName name="List_CanalTrap" localSheetId="5">#REF!</definedName>
    <definedName name="List_CanalTrap" localSheetId="2">#REF!</definedName>
    <definedName name="List_CanalTrap" localSheetId="6">#REF!</definedName>
    <definedName name="List_CanalTrap">#REF!</definedName>
    <definedName name="List_CDT" localSheetId="4">#REF!</definedName>
    <definedName name="List_CDT" localSheetId="7">#REF!</definedName>
    <definedName name="List_CDT" localSheetId="5">#REF!</definedName>
    <definedName name="List_CDT" localSheetId="2">#REF!</definedName>
    <definedName name="List_CDT" localSheetId="6">#REF!</definedName>
    <definedName name="List_CDT">#REF!</definedName>
    <definedName name="List_ClasseResistConc" localSheetId="4">#REF!</definedName>
    <definedName name="List_ClasseResistConc" localSheetId="7">#REF!</definedName>
    <definedName name="List_ClasseResistConc" localSheetId="5">#REF!</definedName>
    <definedName name="List_ClasseResistConc" localSheetId="2">#REF!</definedName>
    <definedName name="List_ClasseResistConc" localSheetId="6">#REF!</definedName>
    <definedName name="List_ClasseResistConc">#REF!</definedName>
    <definedName name="List_CPD" localSheetId="4">#REF!</definedName>
    <definedName name="List_CPD" localSheetId="7">#REF!</definedName>
    <definedName name="List_CPD" localSheetId="5">#REF!</definedName>
    <definedName name="List_CPD" localSheetId="2">#REF!</definedName>
    <definedName name="List_CPD" localSheetId="6">#REF!</definedName>
    <definedName name="List_CPD">#REF!</definedName>
    <definedName name="List_CT" localSheetId="4">#REF!</definedName>
    <definedName name="List_CT" localSheetId="7">#REF!</definedName>
    <definedName name="List_CT" localSheetId="5">#REF!</definedName>
    <definedName name="List_CT" localSheetId="2">#REF!</definedName>
    <definedName name="List_CT" localSheetId="6">#REF!</definedName>
    <definedName name="List_CT">#REF!</definedName>
    <definedName name="List_Cx_Colet" localSheetId="4">#REF!</definedName>
    <definedName name="List_Cx_Colet" localSheetId="7">#REF!</definedName>
    <definedName name="List_Cx_Colet" localSheetId="5">#REF!</definedName>
    <definedName name="List_Cx_Colet" localSheetId="2">#REF!</definedName>
    <definedName name="List_Cx_Colet" localSheetId="6">#REF!</definedName>
    <definedName name="List_Cx_Colet">#REF!</definedName>
    <definedName name="List_DescAterro" localSheetId="4">#REF!</definedName>
    <definedName name="List_DescAterro" localSheetId="7">#REF!</definedName>
    <definedName name="List_DescAterro" localSheetId="5">#REF!</definedName>
    <definedName name="List_DescAterro" localSheetId="2">#REF!</definedName>
    <definedName name="List_DescAterro" localSheetId="6">#REF!</definedName>
    <definedName name="List_DescAterro">#REF!</definedName>
    <definedName name="List_DescCorte" localSheetId="4">#REF!</definedName>
    <definedName name="List_DescCorte" localSheetId="7">#REF!</definedName>
    <definedName name="List_DescCorte" localSheetId="5">#REF!</definedName>
    <definedName name="List_DescCorte" localSheetId="2">#REF!</definedName>
    <definedName name="List_DescCorte" localSheetId="6">#REF!</definedName>
    <definedName name="List_DescCorte">#REF!</definedName>
    <definedName name="List_Diam" localSheetId="4">#REF!</definedName>
    <definedName name="List_Diam" localSheetId="7">#REF!</definedName>
    <definedName name="List_Diam" localSheetId="5">#REF!</definedName>
    <definedName name="List_Diam" localSheetId="2">#REF!</definedName>
    <definedName name="List_Diam" localSheetId="6">#REF!</definedName>
    <definedName name="List_Diam">#REF!</definedName>
    <definedName name="List_Dissip" localSheetId="4">#REF!</definedName>
    <definedName name="List_Dissip" localSheetId="7">#REF!</definedName>
    <definedName name="List_Dissip" localSheetId="5">#REF!</definedName>
    <definedName name="List_Dissip" localSheetId="2">#REF!</definedName>
    <definedName name="List_Dissip" localSheetId="6">#REF!</definedName>
    <definedName name="List_Dissip">#REF!</definedName>
    <definedName name="List_DrenHoriz" localSheetId="4">#REF!</definedName>
    <definedName name="List_DrenHoriz" localSheetId="7">#REF!</definedName>
    <definedName name="List_DrenHoriz" localSheetId="5">#REF!</definedName>
    <definedName name="List_DrenHoriz" localSheetId="2">#REF!</definedName>
    <definedName name="List_DrenHoriz" localSheetId="6">#REF!</definedName>
    <definedName name="List_DrenHoriz">#REF!</definedName>
    <definedName name="List_DrenoProfRocha" localSheetId="4">#REF!</definedName>
    <definedName name="List_DrenoProfRocha" localSheetId="7">#REF!</definedName>
    <definedName name="List_DrenoProfRocha" localSheetId="5">#REF!</definedName>
    <definedName name="List_DrenoProfRocha" localSheetId="2">#REF!</definedName>
    <definedName name="List_DrenoProfRocha" localSheetId="6">#REF!</definedName>
    <definedName name="List_DrenoProfRocha">#REF!</definedName>
    <definedName name="List_DrenoProfSolo" localSheetId="4">#REF!</definedName>
    <definedName name="List_DrenoProfSolo" localSheetId="7">#REF!</definedName>
    <definedName name="List_DrenoProfSolo" localSheetId="5">#REF!</definedName>
    <definedName name="List_DrenoProfSolo" localSheetId="2">#REF!</definedName>
    <definedName name="List_DrenoProfSolo" localSheetId="6">#REF!</definedName>
    <definedName name="List_DrenoProfSolo">#REF!</definedName>
    <definedName name="List_DrenoRasoRocha" localSheetId="4">#REF!</definedName>
    <definedName name="List_DrenoRasoRocha" localSheetId="7">#REF!</definedName>
    <definedName name="List_DrenoRasoRocha" localSheetId="5">#REF!</definedName>
    <definedName name="List_DrenoRasoRocha" localSheetId="2">#REF!</definedName>
    <definedName name="List_DrenoRasoRocha" localSheetId="6">#REF!</definedName>
    <definedName name="List_DrenoRasoRocha">#REF!</definedName>
    <definedName name="List_DrenoRasoSolo" localSheetId="4">#REF!</definedName>
    <definedName name="List_DrenoRasoSolo" localSheetId="7">#REF!</definedName>
    <definedName name="List_DrenoRasoSolo" localSheetId="5">#REF!</definedName>
    <definedName name="List_DrenoRasoSolo" localSheetId="2">#REF!</definedName>
    <definedName name="List_DrenoRasoSolo" localSheetId="6">#REF!</definedName>
    <definedName name="List_DrenoRasoSolo">#REF!</definedName>
    <definedName name="List_DrenTalv" localSheetId="4">#REF!</definedName>
    <definedName name="List_DrenTalv" localSheetId="7">#REF!</definedName>
    <definedName name="List_DrenTalv" localSheetId="5">#REF!</definedName>
    <definedName name="List_DrenTalv" localSheetId="2">#REF!</definedName>
    <definedName name="List_DrenTalv" localSheetId="6">#REF!</definedName>
    <definedName name="List_DrenTalv">#REF!</definedName>
    <definedName name="List_Gargula" localSheetId="4">#REF!</definedName>
    <definedName name="List_Gargula" localSheetId="7">#REF!</definedName>
    <definedName name="List_Gargula" localSheetId="5">#REF!</definedName>
    <definedName name="List_Gargula" localSheetId="2">#REF!</definedName>
    <definedName name="List_Gargula" localSheetId="6">#REF!</definedName>
    <definedName name="List_Gargula">#REF!</definedName>
    <definedName name="List_ProlongDreno" localSheetId="4">#REF!</definedName>
    <definedName name="List_ProlongDreno" localSheetId="7">#REF!</definedName>
    <definedName name="List_ProlongDreno" localSheetId="5">#REF!</definedName>
    <definedName name="List_ProlongDreno" localSheetId="2">#REF!</definedName>
    <definedName name="List_ProlongDreno" localSheetId="6">#REF!</definedName>
    <definedName name="List_ProlongDreno">#REF!</definedName>
    <definedName name="List_PV" localSheetId="4">#REF!</definedName>
    <definedName name="List_PV" localSheetId="7">#REF!</definedName>
    <definedName name="List_PV" localSheetId="5">#REF!</definedName>
    <definedName name="List_PV" localSheetId="2">#REF!</definedName>
    <definedName name="List_PV" localSheetId="6">#REF!</definedName>
    <definedName name="List_PV">#REF!</definedName>
    <definedName name="List_SaidaBAterro" localSheetId="4">#REF!</definedName>
    <definedName name="List_SaidaBAterro" localSheetId="7">#REF!</definedName>
    <definedName name="List_SaidaBAterro" localSheetId="5">#REF!</definedName>
    <definedName name="List_SaidaBAterro" localSheetId="2">#REF!</definedName>
    <definedName name="List_SaidaBAterro" localSheetId="6">#REF!</definedName>
    <definedName name="List_SaidaBAterro">#REF!</definedName>
    <definedName name="List_SaidaBCorte" localSheetId="4">#REF!</definedName>
    <definedName name="List_SaidaBCorte" localSheetId="7">#REF!</definedName>
    <definedName name="List_SaidaBCorte" localSheetId="5">#REF!</definedName>
    <definedName name="List_SaidaBCorte" localSheetId="2">#REF!</definedName>
    <definedName name="List_SaidaBCorte" localSheetId="6">#REF!</definedName>
    <definedName name="List_SaidaBCorte">#REF!</definedName>
    <definedName name="List_Sarj" localSheetId="4">#REF!</definedName>
    <definedName name="List_Sarj" localSheetId="7">#REF!</definedName>
    <definedName name="List_Sarj" localSheetId="5">#REF!</definedName>
    <definedName name="List_Sarj" localSheetId="2">#REF!</definedName>
    <definedName name="List_Sarj" localSheetId="6">#REF!</definedName>
    <definedName name="List_Sarj">#REF!</definedName>
    <definedName name="List_TSS" localSheetId="4">#REF!</definedName>
    <definedName name="List_TSS" localSheetId="7">#REF!</definedName>
    <definedName name="List_TSS" localSheetId="5">#REF!</definedName>
    <definedName name="List_TSS" localSheetId="2">#REF!</definedName>
    <definedName name="List_TSS" localSheetId="6">#REF!</definedName>
    <definedName name="List_TSS">#REF!</definedName>
    <definedName name="List_ValCCentral" localSheetId="4">#REF!</definedName>
    <definedName name="List_ValCCentral" localSheetId="7">#REF!</definedName>
    <definedName name="List_ValCCentral" localSheetId="5">#REF!</definedName>
    <definedName name="List_ValCCentral" localSheetId="2">#REF!</definedName>
    <definedName name="List_ValCCentral" localSheetId="6">#REF!</definedName>
    <definedName name="List_ValCCentral">#REF!</definedName>
    <definedName name="List_ValProt" localSheetId="4">#REF!</definedName>
    <definedName name="List_ValProt" localSheetId="7">#REF!</definedName>
    <definedName name="List_ValProt" localSheetId="5">#REF!</definedName>
    <definedName name="List_ValProt" localSheetId="2">#REF!</definedName>
    <definedName name="List_ValProt" localSheetId="6">#REF!</definedName>
    <definedName name="List_ValProt">#REF!</definedName>
    <definedName name="Lista" localSheetId="0">#REF!</definedName>
    <definedName name="Lista" localSheetId="4">#REF!</definedName>
    <definedName name="Lista" localSheetId="7">#REF!</definedName>
    <definedName name="Lista" localSheetId="1">#REF!</definedName>
    <definedName name="Lista" localSheetId="5">#REF!</definedName>
    <definedName name="Lista" localSheetId="2">#REF!</definedName>
    <definedName name="Lista" localSheetId="6">#REF!</definedName>
    <definedName name="Lista">#REF!</definedName>
    <definedName name="LISTA_DOCUMENTOS" localSheetId="4">#REF!</definedName>
    <definedName name="LISTA_DOCUMENTOS" localSheetId="7">#REF!</definedName>
    <definedName name="LISTA_DOCUMENTOS" localSheetId="1">#REF!</definedName>
    <definedName name="LISTA_DOCUMENTOS" localSheetId="5">#REF!</definedName>
    <definedName name="LISTA_DOCUMENTOS" localSheetId="2">#REF!</definedName>
    <definedName name="LISTA_DOCUMENTOS" localSheetId="6">#REF!</definedName>
    <definedName name="LISTA_DOCUMENTOS">#REF!</definedName>
    <definedName name="LK" localSheetId="0">#REF!</definedName>
    <definedName name="LK" localSheetId="4">#REF!</definedName>
    <definedName name="LK" localSheetId="7">#REF!</definedName>
    <definedName name="LK" localSheetId="5">#REF!</definedName>
    <definedName name="LK" localSheetId="2">#REF!</definedName>
    <definedName name="LK" localSheetId="6">#REF!</definedName>
    <definedName name="LK">#REF!</definedName>
    <definedName name="LL" localSheetId="4">#REF!</definedName>
    <definedName name="LL" localSheetId="7">#REF!</definedName>
    <definedName name="LL" localSheetId="5">#REF!</definedName>
    <definedName name="LL" localSheetId="2">#REF!</definedName>
    <definedName name="LL" localSheetId="6">#REF!</definedName>
    <definedName name="LL">#REF!</definedName>
    <definedName name="LOTE_01_330" localSheetId="4">#REF!</definedName>
    <definedName name="LOTE_01_330" localSheetId="7">#REF!</definedName>
    <definedName name="LOTE_01_330" localSheetId="5">#REF!</definedName>
    <definedName name="LOTE_01_330" localSheetId="2">#REF!</definedName>
    <definedName name="LOTE_01_330" localSheetId="6">#REF!</definedName>
    <definedName name="LOTE_01_330">#REF!</definedName>
    <definedName name="LOTE_01_348" localSheetId="4">#REF!</definedName>
    <definedName name="LOTE_01_348" localSheetId="7">#REF!</definedName>
    <definedName name="LOTE_01_348" localSheetId="5">#REF!</definedName>
    <definedName name="LOTE_01_348" localSheetId="2">#REF!</definedName>
    <definedName name="LOTE_01_348" localSheetId="6">#REF!</definedName>
    <definedName name="LOTE_01_348">#REF!</definedName>
    <definedName name="LOTE_03_323" localSheetId="4">#REF!</definedName>
    <definedName name="LOTE_03_323" localSheetId="7">#REF!</definedName>
    <definedName name="LOTE_03_323" localSheetId="5">#REF!</definedName>
    <definedName name="LOTE_03_323" localSheetId="2">#REF!</definedName>
    <definedName name="LOTE_03_323" localSheetId="6">#REF!</definedName>
    <definedName name="LOTE_03_323">#REF!</definedName>
    <definedName name="LOTE_05_322" localSheetId="4">#REF!</definedName>
    <definedName name="LOTE_05_322" localSheetId="7">#REF!</definedName>
    <definedName name="LOTE_05_322" localSheetId="5">#REF!</definedName>
    <definedName name="LOTE_05_322" localSheetId="2">#REF!</definedName>
    <definedName name="LOTE_05_322" localSheetId="6">#REF!</definedName>
    <definedName name="LOTE_05_322">#REF!</definedName>
    <definedName name="LOTE_08_225" localSheetId="4">#REF!</definedName>
    <definedName name="LOTE_08_225" localSheetId="7">#REF!</definedName>
    <definedName name="LOTE_08_225" localSheetId="5">#REF!</definedName>
    <definedName name="LOTE_08_225" localSheetId="2">#REF!</definedName>
    <definedName name="LOTE_08_225" localSheetId="6">#REF!</definedName>
    <definedName name="LOTE_08_225">#REF!</definedName>
    <definedName name="LOTE_09_0" localSheetId="4">#REF!</definedName>
    <definedName name="LOTE_09_0" localSheetId="7">#REF!</definedName>
    <definedName name="LOTE_09_0" localSheetId="5">#REF!</definedName>
    <definedName name="LOTE_09_0" localSheetId="2">#REF!</definedName>
    <definedName name="LOTE_09_0" localSheetId="6">#REF!</definedName>
    <definedName name="LOTE_09_0">#REF!</definedName>
    <definedName name="LOTE_09_310" localSheetId="4">#REF!</definedName>
    <definedName name="LOTE_09_310" localSheetId="7">#REF!</definedName>
    <definedName name="LOTE_09_310" localSheetId="5">#REF!</definedName>
    <definedName name="LOTE_09_310" localSheetId="2">#REF!</definedName>
    <definedName name="LOTE_09_310" localSheetId="6">#REF!</definedName>
    <definedName name="LOTE_09_310">#REF!</definedName>
    <definedName name="LOTE_10_255" localSheetId="4">#REF!</definedName>
    <definedName name="LOTE_10_255" localSheetId="7">#REF!</definedName>
    <definedName name="LOTE_10_255" localSheetId="5">#REF!</definedName>
    <definedName name="LOTE_10_255" localSheetId="2">#REF!</definedName>
    <definedName name="LOTE_10_255" localSheetId="6">#REF!</definedName>
    <definedName name="LOTE_10_255">#REF!</definedName>
    <definedName name="LOTE_10_318" localSheetId="4">#REF!</definedName>
    <definedName name="LOTE_10_318" localSheetId="7">#REF!</definedName>
    <definedName name="LOTE_10_318" localSheetId="5">#REF!</definedName>
    <definedName name="LOTE_10_318" localSheetId="2">#REF!</definedName>
    <definedName name="LOTE_10_318" localSheetId="6">#REF!</definedName>
    <definedName name="LOTE_10_318">#REF!</definedName>
    <definedName name="LOTE_10_330" localSheetId="4">#REF!</definedName>
    <definedName name="LOTE_10_330" localSheetId="7">#REF!</definedName>
    <definedName name="LOTE_10_330" localSheetId="5">#REF!</definedName>
    <definedName name="LOTE_10_330" localSheetId="2">#REF!</definedName>
    <definedName name="LOTE_10_330" localSheetId="6">#REF!</definedName>
    <definedName name="LOTE_10_330">#REF!</definedName>
    <definedName name="LOTE_10_334" localSheetId="4">#REF!</definedName>
    <definedName name="LOTE_10_334" localSheetId="7">#REF!</definedName>
    <definedName name="LOTE_10_334" localSheetId="5">#REF!</definedName>
    <definedName name="LOTE_10_334" localSheetId="2">#REF!</definedName>
    <definedName name="LOTE_10_334" localSheetId="6">#REF!</definedName>
    <definedName name="LOTE_10_334">#REF!</definedName>
    <definedName name="LOTE_10_345" localSheetId="4">#REF!</definedName>
    <definedName name="LOTE_10_345" localSheetId="7">#REF!</definedName>
    <definedName name="LOTE_10_345" localSheetId="5">#REF!</definedName>
    <definedName name="LOTE_10_345" localSheetId="2">#REF!</definedName>
    <definedName name="LOTE_10_345" localSheetId="6">#REF!</definedName>
    <definedName name="LOTE_10_345">#REF!</definedName>
    <definedName name="LOTE_11_215" localSheetId="4">#REF!</definedName>
    <definedName name="LOTE_11_215" localSheetId="7">#REF!</definedName>
    <definedName name="LOTE_11_215" localSheetId="5">#REF!</definedName>
    <definedName name="LOTE_11_215" localSheetId="2">#REF!</definedName>
    <definedName name="LOTE_11_215" localSheetId="6">#REF!</definedName>
    <definedName name="LOTE_11_215">#REF!</definedName>
    <definedName name="LOTE_11_340" localSheetId="4">#REF!</definedName>
    <definedName name="LOTE_11_340" localSheetId="7">#REF!</definedName>
    <definedName name="LOTE_11_340" localSheetId="5">#REF!</definedName>
    <definedName name="LOTE_11_340" localSheetId="2">#REF!</definedName>
    <definedName name="LOTE_11_340" localSheetId="6">#REF!</definedName>
    <definedName name="LOTE_11_340">#REF!</definedName>
    <definedName name="LOTE_11_342" localSheetId="4">#REF!</definedName>
    <definedName name="LOTE_11_342" localSheetId="7">#REF!</definedName>
    <definedName name="LOTE_11_342" localSheetId="5">#REF!</definedName>
    <definedName name="LOTE_11_342" localSheetId="2">#REF!</definedName>
    <definedName name="LOTE_11_342" localSheetId="6">#REF!</definedName>
    <definedName name="LOTE_11_342">#REF!</definedName>
    <definedName name="LOTE_11_344" localSheetId="4">#REF!</definedName>
    <definedName name="LOTE_11_344" localSheetId="7">#REF!</definedName>
    <definedName name="LOTE_11_344" localSheetId="5">#REF!</definedName>
    <definedName name="LOTE_11_344" localSheetId="2">#REF!</definedName>
    <definedName name="LOTE_11_344" localSheetId="6">#REF!</definedName>
    <definedName name="LOTE_11_344">#REF!</definedName>
    <definedName name="LOTE_11_350" localSheetId="4">#REF!</definedName>
    <definedName name="LOTE_11_350" localSheetId="7">#REF!</definedName>
    <definedName name="LOTE_11_350" localSheetId="5">#REF!</definedName>
    <definedName name="LOTE_11_350" localSheetId="2">#REF!</definedName>
    <definedName name="LOTE_11_350" localSheetId="6">#REF!</definedName>
    <definedName name="LOTE_11_350">#REF!</definedName>
    <definedName name="M" localSheetId="0">#REF!</definedName>
    <definedName name="M" localSheetId="4">#REF!</definedName>
    <definedName name="M" localSheetId="7">#REF!</definedName>
    <definedName name="M" localSheetId="5">#REF!</definedName>
    <definedName name="M" localSheetId="2">#REF!</definedName>
    <definedName name="M" localSheetId="6">#REF!</definedName>
    <definedName name="M">#REF!</definedName>
    <definedName name="MAT" localSheetId="4">#REF!</definedName>
    <definedName name="MAT" localSheetId="7">#REF!</definedName>
    <definedName name="MAT" localSheetId="1">#REF!</definedName>
    <definedName name="MAT" localSheetId="5">#REF!</definedName>
    <definedName name="MAT" localSheetId="2">#REF!</definedName>
    <definedName name="MAT" localSheetId="6">#REF!</definedName>
    <definedName name="MAT">#REF!</definedName>
    <definedName name="MED" localSheetId="0">#REF!</definedName>
    <definedName name="MED" localSheetId="4">#REF!</definedName>
    <definedName name="MED" localSheetId="7">#REF!</definedName>
    <definedName name="MED" localSheetId="5">#REF!</definedName>
    <definedName name="MED" localSheetId="2">#REF!</definedName>
    <definedName name="MED" localSheetId="6">#REF!</definedName>
    <definedName name="MED">#REF!</definedName>
    <definedName name="melhoria" localSheetId="0" hidden="1">{#N/A,#N/A,FALSE,"Plan1"}</definedName>
    <definedName name="melhoria" localSheetId="4" hidden="1">{#N/A,#N/A,FALSE,"Plan1"}</definedName>
    <definedName name="MELHORIA" localSheetId="7">#REF!</definedName>
    <definedName name="MELHORIA" localSheetId="5">#REF!</definedName>
    <definedName name="MELHORIA" localSheetId="2">#REF!</definedName>
    <definedName name="MELHORIA" localSheetId="6">#REF!</definedName>
    <definedName name="MELHORIA">#REF!</definedName>
    <definedName name="MELHORIA_2" localSheetId="4">#REF!</definedName>
    <definedName name="MELHORIA_2" localSheetId="7">#REF!</definedName>
    <definedName name="MELHORIA_2" localSheetId="5">#REF!</definedName>
    <definedName name="MELHORIA_2" localSheetId="2">#REF!</definedName>
    <definedName name="MELHORIA_2" localSheetId="6">#REF!</definedName>
    <definedName name="MELHORIA_2">#REF!</definedName>
    <definedName name="MELHORIA_5" localSheetId="4">#REF!</definedName>
    <definedName name="MELHORIA_5" localSheetId="7">#REF!</definedName>
    <definedName name="MELHORIA_5" localSheetId="5">#REF!</definedName>
    <definedName name="MELHORIA_5" localSheetId="2">#REF!</definedName>
    <definedName name="MELHORIA_5" localSheetId="6">#REF!</definedName>
    <definedName name="MELHORIA_5">#REF!</definedName>
    <definedName name="MELHORIA_5_2" localSheetId="4">#REF!</definedName>
    <definedName name="MELHORIA_5_2" localSheetId="7">#REF!</definedName>
    <definedName name="MELHORIA_5_2" localSheetId="5">#REF!</definedName>
    <definedName name="MELHORIA_5_2" localSheetId="2">#REF!</definedName>
    <definedName name="MELHORIA_5_2" localSheetId="6">#REF!</definedName>
    <definedName name="MELHORIA_5_2">#REF!</definedName>
    <definedName name="Mes" localSheetId="0">#REF!</definedName>
    <definedName name="Mes" localSheetId="4">#REF!</definedName>
    <definedName name="Mes" localSheetId="7">#REF!</definedName>
    <definedName name="Mes" localSheetId="5">#REF!</definedName>
    <definedName name="Mes" localSheetId="2">#REF!</definedName>
    <definedName name="Mes" localSheetId="6">#REF!</definedName>
    <definedName name="Mes">#REF!</definedName>
    <definedName name="mês" localSheetId="0">#REF!</definedName>
    <definedName name="mês" localSheetId="4">#REF!</definedName>
    <definedName name="mês" localSheetId="7">#REF!</definedName>
    <definedName name="mês" localSheetId="5">#REF!</definedName>
    <definedName name="mês" localSheetId="2">#REF!</definedName>
    <definedName name="mês" localSheetId="6">#REF!</definedName>
    <definedName name="mês">#REF!</definedName>
    <definedName name="mês_2" localSheetId="4">#REF!</definedName>
    <definedName name="mês_2" localSheetId="7">#REF!</definedName>
    <definedName name="mês_2" localSheetId="5">#REF!</definedName>
    <definedName name="mês_2" localSheetId="2">#REF!</definedName>
    <definedName name="mês_2" localSheetId="6">#REF!</definedName>
    <definedName name="mês_2">#REF!</definedName>
    <definedName name="mês1" localSheetId="0">#REF!</definedName>
    <definedName name="mês1" localSheetId="4">#REF!</definedName>
    <definedName name="mês1" localSheetId="7">#REF!</definedName>
    <definedName name="mês1" localSheetId="5">#REF!</definedName>
    <definedName name="mês1" localSheetId="2">#REF!</definedName>
    <definedName name="mês1" localSheetId="6">#REF!</definedName>
    <definedName name="mês1">#REF!</definedName>
    <definedName name="mj" localSheetId="0">#REF!</definedName>
    <definedName name="mj" localSheetId="4">#REF!</definedName>
    <definedName name="mj" localSheetId="7">#REF!</definedName>
    <definedName name="mj" localSheetId="5">#REF!</definedName>
    <definedName name="mj" localSheetId="2">#REF!</definedName>
    <definedName name="mj" localSheetId="6">#REF!</definedName>
    <definedName name="mj">#REF!</definedName>
    <definedName name="MLH0" localSheetId="4">#REF!</definedName>
    <definedName name="MLH0" localSheetId="7">#REF!</definedName>
    <definedName name="MLH0" localSheetId="5">#REF!</definedName>
    <definedName name="MLH0" localSheetId="2">#REF!</definedName>
    <definedName name="MLH0" localSheetId="6">#REF!</definedName>
    <definedName name="MLH0">#REF!</definedName>
    <definedName name="MLH0_2" localSheetId="4">#REF!</definedName>
    <definedName name="MLH0_2" localSheetId="7">#REF!</definedName>
    <definedName name="MLH0_2" localSheetId="5">#REF!</definedName>
    <definedName name="MLH0_2" localSheetId="2">#REF!</definedName>
    <definedName name="MLH0_2" localSheetId="6">#REF!</definedName>
    <definedName name="MLH0_2">#REF!</definedName>
    <definedName name="mmmmmmm" localSheetId="4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localSheetId="3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localSheetId="7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localSheetId="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localSheetId="5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localSheetId="2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localSheetId="6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z">"Retângulo 297"</definedName>
    <definedName name="MO" localSheetId="0">#REF!</definedName>
    <definedName name="MO" localSheetId="4">#REF!</definedName>
    <definedName name="MO" localSheetId="7">#REF!</definedName>
    <definedName name="MO" localSheetId="5">#REF!</definedName>
    <definedName name="MO" localSheetId="2">#REF!</definedName>
    <definedName name="MO" localSheetId="6">#REF!</definedName>
    <definedName name="MO">#REF!</definedName>
    <definedName name="módulo1.Extenso" localSheetId="4">#REF!</definedName>
    <definedName name="módulo1.Extenso" localSheetId="7">#REF!</definedName>
    <definedName name="módulo1.Extenso" localSheetId="1">#REF!</definedName>
    <definedName name="módulo1.Extenso" localSheetId="5">#REF!</definedName>
    <definedName name="módulo1.Extenso" localSheetId="2">#REF!</definedName>
    <definedName name="módulo1.Extenso" localSheetId="6">#REF!</definedName>
    <definedName name="módulo1.Extenso">#REF!</definedName>
    <definedName name="Monitoramento_de_OAC_Caixas_de_ligação_Reg_I_Lista" localSheetId="4">#REF!</definedName>
    <definedName name="Monitoramento_de_OAC_Caixas_de_ligação_Reg_I_Lista" localSheetId="7">#REF!</definedName>
    <definedName name="Monitoramento_de_OAC_Caixas_de_ligação_Reg_I_Lista" localSheetId="5">#REF!</definedName>
    <definedName name="Monitoramento_de_OAC_Caixas_de_ligação_Reg_I_Lista" localSheetId="2">#REF!</definedName>
    <definedName name="Monitoramento_de_OAC_Caixas_de_ligação_Reg_I_Lista" localSheetId="6">#REF!</definedName>
    <definedName name="Monitoramento_de_OAC_Caixas_de_ligação_Reg_I_Lista">#REF!</definedName>
    <definedName name="Multi_Plate___MP100___Espessura___2_7___Ø___1_2___Revest.___Concreto" localSheetId="4">#REF!</definedName>
    <definedName name="Multi_Plate___MP100___Espessura___2_7___Ø___1_2___Revest.___Concreto" localSheetId="7">#REF!</definedName>
    <definedName name="Multi_Plate___MP100___Espessura___2_7___Ø___1_2___Revest.___Concreto" localSheetId="5">#REF!</definedName>
    <definedName name="Multi_Plate___MP100___Espessura___2_7___Ø___1_2___Revest.___Concreto" localSheetId="2">#REF!</definedName>
    <definedName name="Multi_Plate___MP100___Espessura___2_7___Ø___1_2___Revest.___Concreto" localSheetId="6">#REF!</definedName>
    <definedName name="Multi_Plate___MP100___Espessura___2_7___Ø___1_2___Revest.___Concreto">#REF!</definedName>
    <definedName name="MUNK_01" localSheetId="4">#REF!</definedName>
    <definedName name="MUNK_01" localSheetId="7">#REF!</definedName>
    <definedName name="MUNK_01" localSheetId="5">#REF!</definedName>
    <definedName name="MUNK_01" localSheetId="2">#REF!</definedName>
    <definedName name="MUNK_01" localSheetId="6">#REF!</definedName>
    <definedName name="MUNK_01">#REF!</definedName>
    <definedName name="NOMEDOPROJETO" localSheetId="4">#REF!</definedName>
    <definedName name="NOMEDOPROJETO" localSheetId="7">#REF!</definedName>
    <definedName name="NOMEDOPROJETO" localSheetId="5">#REF!</definedName>
    <definedName name="NOMEDOPROJETO" localSheetId="2">#REF!</definedName>
    <definedName name="NOMEDOPROJETO" localSheetId="6">#REF!</definedName>
    <definedName name="NOMEDOPROJETO">#REF!</definedName>
    <definedName name="NOMEDOPROJETO_2" localSheetId="4">#REF!</definedName>
    <definedName name="NOMEDOPROJETO_2" localSheetId="7">#REF!</definedName>
    <definedName name="NOMEDOPROJETO_2" localSheetId="5">#REF!</definedName>
    <definedName name="NOMEDOPROJETO_2" localSheetId="2">#REF!</definedName>
    <definedName name="NOMEDOPROJETO_2" localSheetId="6">#REF!</definedName>
    <definedName name="NOMEDOPROJETO_2">#REF!</definedName>
    <definedName name="NOMES" localSheetId="4">#REF!</definedName>
    <definedName name="NOMES" localSheetId="7">#REF!</definedName>
    <definedName name="NOMES" localSheetId="5">#REF!</definedName>
    <definedName name="NOMES" localSheetId="2">#REF!</definedName>
    <definedName name="NOMES" localSheetId="6">#REF!</definedName>
    <definedName name="NOMES">#REF!</definedName>
    <definedName name="NServiço" localSheetId="4">#REF!</definedName>
    <definedName name="NServiço" localSheetId="7">#REF!</definedName>
    <definedName name="NServiço" localSheetId="5">#REF!</definedName>
    <definedName name="NServiço" localSheetId="2">#REF!</definedName>
    <definedName name="NServiço" localSheetId="6">#REF!</definedName>
    <definedName name="NServiço">#REF!</definedName>
    <definedName name="o1o3" localSheetId="4">#REF!,#REF!,#REF!</definedName>
    <definedName name="o1o3" localSheetId="7">#REF!,#REF!,#REF!</definedName>
    <definedName name="o1o3" localSheetId="1">#REF!,#REF!,#REF!</definedName>
    <definedName name="o1o3" localSheetId="5">#REF!,#REF!,#REF!</definedName>
    <definedName name="o1o3" localSheetId="2">#REF!,#REF!,#REF!</definedName>
    <definedName name="o1o3" localSheetId="6">#REF!,#REF!,#REF!</definedName>
    <definedName name="o1o3">#REF!,#REF!,#REF!</definedName>
    <definedName name="OACD" localSheetId="4">#REF!</definedName>
    <definedName name="OACD" localSheetId="7">#REF!</definedName>
    <definedName name="OACD" localSheetId="5">#REF!</definedName>
    <definedName name="OACD" localSheetId="2">#REF!</definedName>
    <definedName name="OACD" localSheetId="6">#REF!</definedName>
    <definedName name="OACD">#REF!</definedName>
    <definedName name="OAE" localSheetId="0">#REF!</definedName>
    <definedName name="OAE" localSheetId="4">#REF!</definedName>
    <definedName name="OAE" localSheetId="7">#REF!</definedName>
    <definedName name="OAE" localSheetId="5">#REF!</definedName>
    <definedName name="OAE" localSheetId="2">#REF!</definedName>
    <definedName name="OAE" localSheetId="6">#REF!</definedName>
    <definedName name="OAE">#REF!</definedName>
    <definedName name="OAE_12" localSheetId="4">#REF!</definedName>
    <definedName name="OAE_12" localSheetId="7">#REF!</definedName>
    <definedName name="OAE_12" localSheetId="5">#REF!</definedName>
    <definedName name="OAE_12" localSheetId="2">#REF!</definedName>
    <definedName name="OAE_12" localSheetId="6">#REF!</definedName>
    <definedName name="OAE_12">#REF!</definedName>
    <definedName name="OAE_13" localSheetId="4">#REF!</definedName>
    <definedName name="OAE_13" localSheetId="7">#REF!</definedName>
    <definedName name="OAE_13" localSheetId="5">#REF!</definedName>
    <definedName name="OAE_13" localSheetId="2">#REF!</definedName>
    <definedName name="OAE_13" localSheetId="6">#REF!</definedName>
    <definedName name="OAE_13">#REF!</definedName>
    <definedName name="OAE_19" localSheetId="4">#REF!</definedName>
    <definedName name="OAE_19" localSheetId="7">#REF!</definedName>
    <definedName name="OAE_19" localSheetId="5">#REF!</definedName>
    <definedName name="OAE_19" localSheetId="2">#REF!</definedName>
    <definedName name="OAE_19" localSheetId="6">#REF!</definedName>
    <definedName name="OAE_19">#REF!</definedName>
    <definedName name="OAE_2" localSheetId="4">#REF!</definedName>
    <definedName name="OAE_2" localSheetId="7">#REF!</definedName>
    <definedName name="OAE_2" localSheetId="5">#REF!</definedName>
    <definedName name="OAE_2" localSheetId="2">#REF!</definedName>
    <definedName name="OAE_2" localSheetId="6">#REF!</definedName>
    <definedName name="OAE_2">#REF!</definedName>
    <definedName name="OAE_20" localSheetId="4">#REF!</definedName>
    <definedName name="OAE_20" localSheetId="7">#REF!</definedName>
    <definedName name="OAE_20" localSheetId="5">#REF!</definedName>
    <definedName name="OAE_20" localSheetId="2">#REF!</definedName>
    <definedName name="OAE_20" localSheetId="6">#REF!</definedName>
    <definedName name="OAE_20">#REF!</definedName>
    <definedName name="OAE_24" localSheetId="4">#REF!</definedName>
    <definedName name="OAE_24" localSheetId="7">#REF!</definedName>
    <definedName name="OAE_24" localSheetId="5">#REF!</definedName>
    <definedName name="OAE_24" localSheetId="2">#REF!</definedName>
    <definedName name="OAE_24" localSheetId="6">#REF!</definedName>
    <definedName name="OAE_24">#REF!</definedName>
    <definedName name="OAE_25" localSheetId="4">#REF!</definedName>
    <definedName name="OAE_25" localSheetId="7">#REF!</definedName>
    <definedName name="OAE_25" localSheetId="5">#REF!</definedName>
    <definedName name="OAE_25" localSheetId="2">#REF!</definedName>
    <definedName name="OAE_25" localSheetId="6">#REF!</definedName>
    <definedName name="OAE_25">#REF!</definedName>
    <definedName name="OAE_26" localSheetId="4">#REF!</definedName>
    <definedName name="OAE_26" localSheetId="7">#REF!</definedName>
    <definedName name="OAE_26" localSheetId="5">#REF!</definedName>
    <definedName name="OAE_26" localSheetId="2">#REF!</definedName>
    <definedName name="OAE_26" localSheetId="6">#REF!</definedName>
    <definedName name="OAE_26">#REF!</definedName>
    <definedName name="OAE_30" localSheetId="4">#REF!</definedName>
    <definedName name="OAE_30" localSheetId="7">#REF!</definedName>
    <definedName name="OAE_30" localSheetId="5">#REF!</definedName>
    <definedName name="OAE_30" localSheetId="2">#REF!</definedName>
    <definedName name="OAE_30" localSheetId="6">#REF!</definedName>
    <definedName name="OAE_30">#REF!</definedName>
    <definedName name="OAE_31" localSheetId="4">#REF!</definedName>
    <definedName name="OAE_31" localSheetId="7">#REF!</definedName>
    <definedName name="OAE_31" localSheetId="5">#REF!</definedName>
    <definedName name="OAE_31" localSheetId="2">#REF!</definedName>
    <definedName name="OAE_31" localSheetId="6">#REF!</definedName>
    <definedName name="OAE_31">#REF!</definedName>
    <definedName name="OAE_5" localSheetId="4">#REF!</definedName>
    <definedName name="OAE_5" localSheetId="7">#REF!</definedName>
    <definedName name="OAE_5" localSheetId="5">#REF!</definedName>
    <definedName name="OAE_5" localSheetId="2">#REF!</definedName>
    <definedName name="OAE_5" localSheetId="6">#REF!</definedName>
    <definedName name="OAE_5">#REF!</definedName>
    <definedName name="OAE_5_2" localSheetId="4">#REF!</definedName>
    <definedName name="OAE_5_2" localSheetId="7">#REF!</definedName>
    <definedName name="OAE_5_2" localSheetId="5">#REF!</definedName>
    <definedName name="OAE_5_2" localSheetId="2">#REF!</definedName>
    <definedName name="OAE_5_2" localSheetId="6">#REF!</definedName>
    <definedName name="OAE_5_2">#REF!</definedName>
    <definedName name="OAE_7" localSheetId="4">#REF!</definedName>
    <definedName name="OAE_7" localSheetId="7">#REF!</definedName>
    <definedName name="OAE_7" localSheetId="5">#REF!</definedName>
    <definedName name="OAE_7" localSheetId="2">#REF!</definedName>
    <definedName name="OAE_7" localSheetId="6">#REF!</definedName>
    <definedName name="OAE_7">#REF!</definedName>
    <definedName name="OAE_72" localSheetId="4">#REF!</definedName>
    <definedName name="OAE_72" localSheetId="7">#REF!</definedName>
    <definedName name="OAE_72" localSheetId="5">#REF!</definedName>
    <definedName name="OAE_72" localSheetId="2">#REF!</definedName>
    <definedName name="OAE_72" localSheetId="6">#REF!</definedName>
    <definedName name="OAE_72">#REF!</definedName>
    <definedName name="OAE_78" localSheetId="4">#REF!</definedName>
    <definedName name="OAE_78" localSheetId="7">#REF!</definedName>
    <definedName name="OAE_78" localSheetId="5">#REF!</definedName>
    <definedName name="OAE_78" localSheetId="2">#REF!</definedName>
    <definedName name="OAE_78" localSheetId="6">#REF!</definedName>
    <definedName name="OAE_78">#REF!</definedName>
    <definedName name="OAE_82" localSheetId="4">#REF!</definedName>
    <definedName name="OAE_82" localSheetId="7">#REF!</definedName>
    <definedName name="OAE_82" localSheetId="5">#REF!</definedName>
    <definedName name="OAE_82" localSheetId="2">#REF!</definedName>
    <definedName name="OAE_82" localSheetId="6">#REF!</definedName>
    <definedName name="OAE_82">#REF!</definedName>
    <definedName name="OAE_84" localSheetId="4">#REF!</definedName>
    <definedName name="OAE_84" localSheetId="7">#REF!</definedName>
    <definedName name="OAE_84" localSheetId="5">#REF!</definedName>
    <definedName name="OAE_84" localSheetId="2">#REF!</definedName>
    <definedName name="OAE_84" localSheetId="6">#REF!</definedName>
    <definedName name="OAE_84">#REF!</definedName>
    <definedName name="OAE_88" localSheetId="4">#REF!</definedName>
    <definedName name="OAE_88" localSheetId="7">#REF!</definedName>
    <definedName name="OAE_88" localSheetId="5">#REF!</definedName>
    <definedName name="OAE_88" localSheetId="2">#REF!</definedName>
    <definedName name="OAE_88" localSheetId="6">#REF!</definedName>
    <definedName name="OAE_88">#REF!</definedName>
    <definedName name="OAE_90" localSheetId="4">#REF!</definedName>
    <definedName name="OAE_90" localSheetId="7">#REF!</definedName>
    <definedName name="OAE_90" localSheetId="5">#REF!</definedName>
    <definedName name="OAE_90" localSheetId="2">#REF!</definedName>
    <definedName name="OAE_90" localSheetId="6">#REF!</definedName>
    <definedName name="OAE_90">#REF!</definedName>
    <definedName name="OAE_91" localSheetId="4">#REF!</definedName>
    <definedName name="OAE_91" localSheetId="7">#REF!</definedName>
    <definedName name="OAE_91" localSheetId="5">#REF!</definedName>
    <definedName name="OAE_91" localSheetId="2">#REF!</definedName>
    <definedName name="OAE_91" localSheetId="6">#REF!</definedName>
    <definedName name="OAE_91">#REF!</definedName>
    <definedName name="OAE_92" localSheetId="4">#REF!</definedName>
    <definedName name="OAE_92" localSheetId="7">#REF!</definedName>
    <definedName name="OAE_92" localSheetId="5">#REF!</definedName>
    <definedName name="OAE_92" localSheetId="2">#REF!</definedName>
    <definedName name="OAE_92" localSheetId="6">#REF!</definedName>
    <definedName name="OAE_92">#REF!</definedName>
    <definedName name="OAE_93" localSheetId="4">#REF!</definedName>
    <definedName name="OAE_93" localSheetId="7">#REF!</definedName>
    <definedName name="OAE_93" localSheetId="5">#REF!</definedName>
    <definedName name="OAE_93" localSheetId="2">#REF!</definedName>
    <definedName name="OAE_93" localSheetId="6">#REF!</definedName>
    <definedName name="OAE_93">#REF!</definedName>
    <definedName name="OAE_94" localSheetId="4">#REF!</definedName>
    <definedName name="OAE_94" localSheetId="7">#REF!</definedName>
    <definedName name="OAE_94" localSheetId="5">#REF!</definedName>
    <definedName name="OAE_94" localSheetId="2">#REF!</definedName>
    <definedName name="OAE_94" localSheetId="6">#REF!</definedName>
    <definedName name="OAE_94">#REF!</definedName>
    <definedName name="oaeaa" localSheetId="4">#REF!</definedName>
    <definedName name="oaeaa" localSheetId="7">#REF!</definedName>
    <definedName name="oaeaa" localSheetId="5">#REF!</definedName>
    <definedName name="oaeaa" localSheetId="2">#REF!</definedName>
    <definedName name="oaeaa" localSheetId="6">#REF!</definedName>
    <definedName name="oaeaa">#REF!</definedName>
    <definedName name="oaeaa_2" localSheetId="4">#REF!</definedName>
    <definedName name="oaeaa_2" localSheetId="7">#REF!</definedName>
    <definedName name="oaeaa_2" localSheetId="5">#REF!</definedName>
    <definedName name="oaeaa_2" localSheetId="2">#REF!</definedName>
    <definedName name="oaeaa_2" localSheetId="6">#REF!</definedName>
    <definedName name="oaeaa_2">#REF!</definedName>
    <definedName name="Obra" localSheetId="4">#REF!</definedName>
    <definedName name="Obra" localSheetId="7">#REF!</definedName>
    <definedName name="Obra" localSheetId="1">#REF!</definedName>
    <definedName name="Obra" localSheetId="5">#REF!</definedName>
    <definedName name="Obra" localSheetId="2">#REF!</definedName>
    <definedName name="Obra" localSheetId="6">#REF!</definedName>
    <definedName name="Obra">#REF!</definedName>
    <definedName name="obras_de_arte_corrente_e_drenagem" localSheetId="4">#REF!</definedName>
    <definedName name="obras_de_arte_corrente_e_drenagem" localSheetId="7">#REF!</definedName>
    <definedName name="obras_de_arte_corrente_e_drenagem" localSheetId="5">#REF!</definedName>
    <definedName name="obras_de_arte_corrente_e_drenagem" localSheetId="2">#REF!</definedName>
    <definedName name="obras_de_arte_corrente_e_drenagem" localSheetId="6">#REF!</definedName>
    <definedName name="obras_de_arte_corrente_e_drenagem">#REF!</definedName>
    <definedName name="obras_de_arte_corrente_e_drenagem_2" localSheetId="4">#REF!</definedName>
    <definedName name="obras_de_arte_corrente_e_drenagem_2" localSheetId="7">#REF!</definedName>
    <definedName name="obras_de_arte_corrente_e_drenagem_2" localSheetId="5">#REF!</definedName>
    <definedName name="obras_de_arte_corrente_e_drenagem_2" localSheetId="2">#REF!</definedName>
    <definedName name="obras_de_arte_corrente_e_drenagem_2" localSheetId="6">#REF!</definedName>
    <definedName name="obras_de_arte_corrente_e_drenagem_2">#REF!</definedName>
    <definedName name="obras_de_arte_especiais" localSheetId="4">#REF!</definedName>
    <definedName name="obras_de_arte_especiais" localSheetId="7">#REF!</definedName>
    <definedName name="obras_de_arte_especiais" localSheetId="5">#REF!</definedName>
    <definedName name="obras_de_arte_especiais" localSheetId="2">#REF!</definedName>
    <definedName name="obras_de_arte_especiais" localSheetId="6">#REF!</definedName>
    <definedName name="obras_de_arte_especiais">#REF!</definedName>
    <definedName name="obras_de_arte_especiais_2" localSheetId="4">#REF!</definedName>
    <definedName name="obras_de_arte_especiais_2" localSheetId="7">#REF!</definedName>
    <definedName name="obras_de_arte_especiais_2" localSheetId="5">#REF!</definedName>
    <definedName name="obras_de_arte_especiais_2" localSheetId="2">#REF!</definedName>
    <definedName name="obras_de_arte_especiais_2" localSheetId="6">#REF!</definedName>
    <definedName name="obras_de_arte_especiais_2">#REF!</definedName>
    <definedName name="obras_de_contenção_geotécnica" localSheetId="4">#REF!</definedName>
    <definedName name="obras_de_contenção_geotécnica" localSheetId="7">#REF!</definedName>
    <definedName name="obras_de_contenção_geotécnica" localSheetId="5">#REF!</definedName>
    <definedName name="obras_de_contenção_geotécnica" localSheetId="2">#REF!</definedName>
    <definedName name="obras_de_contenção_geotécnica" localSheetId="6">#REF!</definedName>
    <definedName name="obras_de_contenção_geotécnica">#REF!</definedName>
    <definedName name="obras_de_contenção_geotécnica_2" localSheetId="4">#REF!</definedName>
    <definedName name="obras_de_contenção_geotécnica_2" localSheetId="7">#REF!</definedName>
    <definedName name="obras_de_contenção_geotécnica_2" localSheetId="5">#REF!</definedName>
    <definedName name="obras_de_contenção_geotécnica_2" localSheetId="2">#REF!</definedName>
    <definedName name="obras_de_contenção_geotécnica_2" localSheetId="6">#REF!</definedName>
    <definedName name="obras_de_contenção_geotécnica_2">#REF!</definedName>
    <definedName name="Observ." localSheetId="4">#REF!</definedName>
    <definedName name="Observ." localSheetId="7">#REF!</definedName>
    <definedName name="Observ." localSheetId="1">#REF!</definedName>
    <definedName name="Observ." localSheetId="5">#REF!</definedName>
    <definedName name="Observ." localSheetId="2">#REF!</definedName>
    <definedName name="Observ." localSheetId="6">#REF!</definedName>
    <definedName name="Observ.">#REF!</definedName>
    <definedName name="OPA" localSheetId="4">#REF!</definedName>
    <definedName name="OPA" localSheetId="7">#REF!</definedName>
    <definedName name="OPA" localSheetId="1">#REF!</definedName>
    <definedName name="OPA" localSheetId="5">#REF!</definedName>
    <definedName name="OPA" localSheetId="2">#REF!</definedName>
    <definedName name="OPA" localSheetId="6">#REF!</definedName>
    <definedName name="OPA">#REF!</definedName>
    <definedName name="ORIGEM" localSheetId="4">#REF!</definedName>
    <definedName name="ORIGEM" localSheetId="7">#REF!</definedName>
    <definedName name="ORIGEM" localSheetId="1">#REF!</definedName>
    <definedName name="ORIGEM" localSheetId="5">#REF!</definedName>
    <definedName name="ORIGEM" localSheetId="2">#REF!</definedName>
    <definedName name="ORIGEM" localSheetId="6">#REF!</definedName>
    <definedName name="ORIGEM">#REF!</definedName>
    <definedName name="Pausas" localSheetId="0">#REF!</definedName>
    <definedName name="Pausas" localSheetId="4">#REF!</definedName>
    <definedName name="Pausas" localSheetId="7">#REF!</definedName>
    <definedName name="Pausas" localSheetId="5">#REF!</definedName>
    <definedName name="Pausas" localSheetId="2">#REF!</definedName>
    <definedName name="Pausas" localSheetId="6">#REF!</definedName>
    <definedName name="Pausas">#REF!</definedName>
    <definedName name="PAV" localSheetId="0">#REF!</definedName>
    <definedName name="PAV" localSheetId="4">#REF!</definedName>
    <definedName name="PAV" localSheetId="7">#REF!</definedName>
    <definedName name="PAV" localSheetId="5">#REF!</definedName>
    <definedName name="PAV" localSheetId="2">#REF!</definedName>
    <definedName name="PAV" localSheetId="6">#REF!</definedName>
    <definedName name="PAV">#REF!</definedName>
    <definedName name="PAV_12" localSheetId="4">#REF!</definedName>
    <definedName name="PAV_12" localSheetId="7">#REF!</definedName>
    <definedName name="PAV_12" localSheetId="5">#REF!</definedName>
    <definedName name="PAV_12" localSheetId="2">#REF!</definedName>
    <definedName name="PAV_12" localSheetId="6">#REF!</definedName>
    <definedName name="PAV_12">#REF!</definedName>
    <definedName name="PAV_13" localSheetId="4">#REF!</definedName>
    <definedName name="PAV_13" localSheetId="7">#REF!</definedName>
    <definedName name="PAV_13" localSheetId="5">#REF!</definedName>
    <definedName name="PAV_13" localSheetId="2">#REF!</definedName>
    <definedName name="PAV_13" localSheetId="6">#REF!</definedName>
    <definedName name="PAV_13">#REF!</definedName>
    <definedName name="PAV_19" localSheetId="4">#REF!</definedName>
    <definedName name="PAV_19" localSheetId="7">#REF!</definedName>
    <definedName name="PAV_19" localSheetId="5">#REF!</definedName>
    <definedName name="PAV_19" localSheetId="2">#REF!</definedName>
    <definedName name="PAV_19" localSheetId="6">#REF!</definedName>
    <definedName name="PAV_19">#REF!</definedName>
    <definedName name="PAV_2" localSheetId="4">#REF!</definedName>
    <definedName name="PAV_2" localSheetId="7">#REF!</definedName>
    <definedName name="PAV_2" localSheetId="5">#REF!</definedName>
    <definedName name="PAV_2" localSheetId="2">#REF!</definedName>
    <definedName name="PAV_2" localSheetId="6">#REF!</definedName>
    <definedName name="PAV_2">#REF!</definedName>
    <definedName name="PAV_20" localSheetId="4">#REF!</definedName>
    <definedName name="PAV_20" localSheetId="7">#REF!</definedName>
    <definedName name="PAV_20" localSheetId="5">#REF!</definedName>
    <definedName name="PAV_20" localSheetId="2">#REF!</definedName>
    <definedName name="PAV_20" localSheetId="6">#REF!</definedName>
    <definedName name="PAV_20">#REF!</definedName>
    <definedName name="PAV_24" localSheetId="4">#REF!</definedName>
    <definedName name="PAV_24" localSheetId="7">#REF!</definedName>
    <definedName name="PAV_24" localSheetId="5">#REF!</definedName>
    <definedName name="PAV_24" localSheetId="2">#REF!</definedName>
    <definedName name="PAV_24" localSheetId="6">#REF!</definedName>
    <definedName name="PAV_24">#REF!</definedName>
    <definedName name="PAV_25" localSheetId="4">#REF!</definedName>
    <definedName name="PAV_25" localSheetId="7">#REF!</definedName>
    <definedName name="PAV_25" localSheetId="5">#REF!</definedName>
    <definedName name="PAV_25" localSheetId="2">#REF!</definedName>
    <definedName name="PAV_25" localSheetId="6">#REF!</definedName>
    <definedName name="PAV_25">#REF!</definedName>
    <definedName name="PAV_26" localSheetId="4">#REF!</definedName>
    <definedName name="PAV_26" localSheetId="7">#REF!</definedName>
    <definedName name="PAV_26" localSheetId="5">#REF!</definedName>
    <definedName name="PAV_26" localSheetId="2">#REF!</definedName>
    <definedName name="PAV_26" localSheetId="6">#REF!</definedName>
    <definedName name="PAV_26">#REF!</definedName>
    <definedName name="PAV_30" localSheetId="4">#REF!</definedName>
    <definedName name="PAV_30" localSheetId="7">#REF!</definedName>
    <definedName name="PAV_30" localSheetId="5">#REF!</definedName>
    <definedName name="PAV_30" localSheetId="2">#REF!</definedName>
    <definedName name="PAV_30" localSheetId="6">#REF!</definedName>
    <definedName name="PAV_30">#REF!</definedName>
    <definedName name="PAV_31" localSheetId="4">#REF!</definedName>
    <definedName name="PAV_31" localSheetId="7">#REF!</definedName>
    <definedName name="PAV_31" localSheetId="5">#REF!</definedName>
    <definedName name="PAV_31" localSheetId="2">#REF!</definedName>
    <definedName name="PAV_31" localSheetId="6">#REF!</definedName>
    <definedName name="PAV_31">#REF!</definedName>
    <definedName name="PAV_5" localSheetId="4">#REF!</definedName>
    <definedName name="PAV_5" localSheetId="7">#REF!</definedName>
    <definedName name="PAV_5" localSheetId="5">#REF!</definedName>
    <definedName name="PAV_5" localSheetId="2">#REF!</definedName>
    <definedName name="PAV_5" localSheetId="6">#REF!</definedName>
    <definedName name="PAV_5">#REF!</definedName>
    <definedName name="PAV_5_2" localSheetId="4">#REF!</definedName>
    <definedName name="PAV_5_2" localSheetId="7">#REF!</definedName>
    <definedName name="PAV_5_2" localSheetId="5">#REF!</definedName>
    <definedName name="PAV_5_2" localSheetId="2">#REF!</definedName>
    <definedName name="PAV_5_2" localSheetId="6">#REF!</definedName>
    <definedName name="PAV_5_2">#REF!</definedName>
    <definedName name="PAV_7" localSheetId="4">#REF!</definedName>
    <definedName name="PAV_7" localSheetId="7">#REF!</definedName>
    <definedName name="PAV_7" localSheetId="5">#REF!</definedName>
    <definedName name="PAV_7" localSheetId="2">#REF!</definedName>
    <definedName name="PAV_7" localSheetId="6">#REF!</definedName>
    <definedName name="PAV_7">#REF!</definedName>
    <definedName name="PAV_72" localSheetId="4">#REF!</definedName>
    <definedName name="PAV_72" localSheetId="7">#REF!</definedName>
    <definedName name="PAV_72" localSheetId="5">#REF!</definedName>
    <definedName name="PAV_72" localSheetId="2">#REF!</definedName>
    <definedName name="PAV_72" localSheetId="6">#REF!</definedName>
    <definedName name="PAV_72">#REF!</definedName>
    <definedName name="PAV_78" localSheetId="4">#REF!</definedName>
    <definedName name="PAV_78" localSheetId="7">#REF!</definedName>
    <definedName name="PAV_78" localSheetId="5">#REF!</definedName>
    <definedName name="PAV_78" localSheetId="2">#REF!</definedName>
    <definedName name="PAV_78" localSheetId="6">#REF!</definedName>
    <definedName name="PAV_78">#REF!</definedName>
    <definedName name="PAV_82" localSheetId="4">#REF!</definedName>
    <definedName name="PAV_82" localSheetId="7">#REF!</definedName>
    <definedName name="PAV_82" localSheetId="5">#REF!</definedName>
    <definedName name="PAV_82" localSheetId="2">#REF!</definedName>
    <definedName name="PAV_82" localSheetId="6">#REF!</definedName>
    <definedName name="PAV_82">#REF!</definedName>
    <definedName name="PAV_84" localSheetId="4">#REF!</definedName>
    <definedName name="PAV_84" localSheetId="7">#REF!</definedName>
    <definedName name="PAV_84" localSheetId="5">#REF!</definedName>
    <definedName name="PAV_84" localSheetId="2">#REF!</definedName>
    <definedName name="PAV_84" localSheetId="6">#REF!</definedName>
    <definedName name="PAV_84">#REF!</definedName>
    <definedName name="PAV_88" localSheetId="4">#REF!</definedName>
    <definedName name="PAV_88" localSheetId="7">#REF!</definedName>
    <definedName name="PAV_88" localSheetId="5">#REF!</definedName>
    <definedName name="PAV_88" localSheetId="2">#REF!</definedName>
    <definedName name="PAV_88" localSheetId="6">#REF!</definedName>
    <definedName name="PAV_88">#REF!</definedName>
    <definedName name="PAV_90" localSheetId="4">#REF!</definedName>
    <definedName name="PAV_90" localSheetId="7">#REF!</definedName>
    <definedName name="PAV_90" localSheetId="5">#REF!</definedName>
    <definedName name="PAV_90" localSheetId="2">#REF!</definedName>
    <definedName name="PAV_90" localSheetId="6">#REF!</definedName>
    <definedName name="PAV_90">#REF!</definedName>
    <definedName name="PAV_91" localSheetId="4">#REF!</definedName>
    <definedName name="PAV_91" localSheetId="7">#REF!</definedName>
    <definedName name="PAV_91" localSheetId="5">#REF!</definedName>
    <definedName name="PAV_91" localSheetId="2">#REF!</definedName>
    <definedName name="PAV_91" localSheetId="6">#REF!</definedName>
    <definedName name="PAV_91">#REF!</definedName>
    <definedName name="PAV_92" localSheetId="4">#REF!</definedName>
    <definedName name="PAV_92" localSheetId="7">#REF!</definedName>
    <definedName name="PAV_92" localSheetId="5">#REF!</definedName>
    <definedName name="PAV_92" localSheetId="2">#REF!</definedName>
    <definedName name="PAV_92" localSheetId="6">#REF!</definedName>
    <definedName name="PAV_92">#REF!</definedName>
    <definedName name="PAV_93" localSheetId="4">#REF!</definedName>
    <definedName name="PAV_93" localSheetId="7">#REF!</definedName>
    <definedName name="PAV_93" localSheetId="5">#REF!</definedName>
    <definedName name="PAV_93" localSheetId="2">#REF!</definedName>
    <definedName name="PAV_93" localSheetId="6">#REF!</definedName>
    <definedName name="PAV_93">#REF!</definedName>
    <definedName name="PAV_94" localSheetId="4">#REF!</definedName>
    <definedName name="PAV_94" localSheetId="7">#REF!</definedName>
    <definedName name="PAV_94" localSheetId="5">#REF!</definedName>
    <definedName name="PAV_94" localSheetId="2">#REF!</definedName>
    <definedName name="PAV_94" localSheetId="6">#REF!</definedName>
    <definedName name="PAV_94">#REF!</definedName>
    <definedName name="Pav_preços" localSheetId="4">#REF!</definedName>
    <definedName name="Pav_preços" localSheetId="7">#REF!</definedName>
    <definedName name="Pav_preços" localSheetId="1">#REF!</definedName>
    <definedName name="Pav_preços" localSheetId="5">#REF!</definedName>
    <definedName name="Pav_preços" localSheetId="2">#REF!</definedName>
    <definedName name="Pav_preços" localSheetId="6">#REF!</definedName>
    <definedName name="Pav_preços">#REF!</definedName>
    <definedName name="pavaa" localSheetId="4">#REF!</definedName>
    <definedName name="pavaa" localSheetId="7">#REF!</definedName>
    <definedName name="pavaa" localSheetId="5">#REF!</definedName>
    <definedName name="pavaa" localSheetId="2">#REF!</definedName>
    <definedName name="pavaa" localSheetId="6">#REF!</definedName>
    <definedName name="pavaa">#REF!</definedName>
    <definedName name="pavaa_2" localSheetId="4">#REF!</definedName>
    <definedName name="pavaa_2" localSheetId="7">#REF!</definedName>
    <definedName name="pavaa_2" localSheetId="5">#REF!</definedName>
    <definedName name="pavaa_2" localSheetId="2">#REF!</definedName>
    <definedName name="pavaa_2" localSheetId="6">#REF!</definedName>
    <definedName name="pavaa_2">#REF!</definedName>
    <definedName name="pavimentação" localSheetId="4">#REF!</definedName>
    <definedName name="pavimentação" localSheetId="7">#REF!</definedName>
    <definedName name="pavimentação" localSheetId="5">#REF!</definedName>
    <definedName name="pavimentação" localSheetId="2">#REF!</definedName>
    <definedName name="pavimentação" localSheetId="6">#REF!</definedName>
    <definedName name="pavimentação">#REF!</definedName>
    <definedName name="pavimentação_2" localSheetId="4">#REF!</definedName>
    <definedName name="pavimentação_2" localSheetId="7">#REF!</definedName>
    <definedName name="pavimentação_2" localSheetId="5">#REF!</definedName>
    <definedName name="pavimentação_2" localSheetId="2">#REF!</definedName>
    <definedName name="pavimentação_2" localSheetId="6">#REF!</definedName>
    <definedName name="pavimentação_2">#REF!</definedName>
    <definedName name="perfura" localSheetId="4">#REF!</definedName>
    <definedName name="perfura" localSheetId="7">#REF!</definedName>
    <definedName name="perfura" localSheetId="5">#REF!</definedName>
    <definedName name="perfura" localSheetId="2">#REF!</definedName>
    <definedName name="perfura" localSheetId="6">#REF!</definedName>
    <definedName name="perfura">#REF!</definedName>
    <definedName name="pesquisa" localSheetId="4">#REF!</definedName>
    <definedName name="pesquisa" localSheetId="7">#REF!</definedName>
    <definedName name="pesquisa" localSheetId="5">#REF!</definedName>
    <definedName name="pesquisa" localSheetId="2">#REF!</definedName>
    <definedName name="pesquisa" localSheetId="6">#REF!</definedName>
    <definedName name="pesquisa">#REF!</definedName>
    <definedName name="PI_Mes" localSheetId="0">#REF!</definedName>
    <definedName name="PI_Mes" localSheetId="4">#REF!</definedName>
    <definedName name="PI_Mes" localSheetId="7">#REF!</definedName>
    <definedName name="PI_Mes" localSheetId="5">#REF!</definedName>
    <definedName name="PI_Mes" localSheetId="2">#REF!</definedName>
    <definedName name="PI_Mes" localSheetId="6">#REF!</definedName>
    <definedName name="PI_Mes">#REF!</definedName>
    <definedName name="PINTURA">#N/A</definedName>
    <definedName name="Pl_Horas_Trabajadas" localSheetId="0">#REF!</definedName>
    <definedName name="Pl_Horas_Trabajadas" localSheetId="4">#REF!</definedName>
    <definedName name="Pl_Horas_Trabajadas" localSheetId="7">#REF!</definedName>
    <definedName name="Pl_Horas_Trabajadas" localSheetId="5">#REF!</definedName>
    <definedName name="Pl_Horas_Trabajadas" localSheetId="2">#REF!</definedName>
    <definedName name="Pl_Horas_Trabajadas" localSheetId="6">#REF!</definedName>
    <definedName name="Pl_Horas_Trabajadas">#REF!</definedName>
    <definedName name="Pl_Mes" localSheetId="0">#REF!</definedName>
    <definedName name="Pl_Mes" localSheetId="4">#REF!</definedName>
    <definedName name="Pl_Mes" localSheetId="7">#REF!</definedName>
    <definedName name="Pl_Mes" localSheetId="5">#REF!</definedName>
    <definedName name="Pl_Mes" localSheetId="2">#REF!</definedName>
    <definedName name="Pl_Mes" localSheetId="6">#REF!</definedName>
    <definedName name="Pl_Mes">#REF!</definedName>
    <definedName name="Pl_Pausas" localSheetId="0">#REF!</definedName>
    <definedName name="Pl_Pausas" localSheetId="4">#REF!</definedName>
    <definedName name="Pl_Pausas" localSheetId="7">#REF!</definedName>
    <definedName name="Pl_Pausas" localSheetId="5">#REF!</definedName>
    <definedName name="Pl_Pausas" localSheetId="2">#REF!</definedName>
    <definedName name="Pl_Pausas" localSheetId="6">#REF!</definedName>
    <definedName name="Pl_Pausas">#REF!</definedName>
    <definedName name="PLACAS" localSheetId="0">#REF!</definedName>
    <definedName name="PLACAS" localSheetId="4">#REF!</definedName>
    <definedName name="PLACAS" localSheetId="7">#REF!</definedName>
    <definedName name="PLACAS" localSheetId="5">#REF!</definedName>
    <definedName name="PLACAS" localSheetId="2">#REF!</definedName>
    <definedName name="PLACAS" localSheetId="6">#REF!</definedName>
    <definedName name="PLACAS">#REF!</definedName>
    <definedName name="plan" localSheetId="4" hidden="1">#REF!</definedName>
    <definedName name="plan" localSheetId="7" hidden="1">#REF!</definedName>
    <definedName name="plan" localSheetId="5" hidden="1">#REF!</definedName>
    <definedName name="plan" localSheetId="2" hidden="1">#REF!</definedName>
    <definedName name="plan" localSheetId="6" hidden="1">#REF!</definedName>
    <definedName name="plan" hidden="1">#REF!</definedName>
    <definedName name="planilha" localSheetId="4">#REF!</definedName>
    <definedName name="planilha" localSheetId="7">#REF!</definedName>
    <definedName name="planilha" localSheetId="5">#REF!</definedName>
    <definedName name="planilha" localSheetId="2">#REF!</definedName>
    <definedName name="planilha" localSheetId="6">#REF!</definedName>
    <definedName name="planilha">#REF!</definedName>
    <definedName name="poiu" localSheetId="0">#REF!</definedName>
    <definedName name="poiu" localSheetId="4">#REF!</definedName>
    <definedName name="poiu" localSheetId="7">#REF!</definedName>
    <definedName name="poiu" localSheetId="5">#REF!</definedName>
    <definedName name="poiu" localSheetId="2">#REF!</definedName>
    <definedName name="poiu" localSheetId="6">#REF!</definedName>
    <definedName name="poiu">#REF!</definedName>
    <definedName name="Ponte">"Figura 3"</definedName>
    <definedName name="PP" localSheetId="4">#REF!</definedName>
    <definedName name="PP" localSheetId="7">#REF!</definedName>
    <definedName name="PP" localSheetId="5">#REF!</definedName>
    <definedName name="PP" localSheetId="2">#REF!</definedName>
    <definedName name="PP" localSheetId="6">#REF!</definedName>
    <definedName name="PP">#REF!</definedName>
    <definedName name="PPPPP" localSheetId="4">#REF!</definedName>
    <definedName name="PPPPP" localSheetId="7">#REF!</definedName>
    <definedName name="PPPPP" localSheetId="5">#REF!</definedName>
    <definedName name="PPPPP" localSheetId="2">#REF!</definedName>
    <definedName name="PPPPP" localSheetId="6">#REF!</definedName>
    <definedName name="PPPPP">#REF!</definedName>
    <definedName name="PPPPP_2" localSheetId="4">#REF!</definedName>
    <definedName name="PPPPP_2" localSheetId="7">#REF!</definedName>
    <definedName name="PPPPP_2" localSheetId="5">#REF!</definedName>
    <definedName name="PPPPP_2" localSheetId="2">#REF!</definedName>
    <definedName name="PPPPP_2" localSheetId="6">#REF!</definedName>
    <definedName name="PPPPP_2">#REF!</definedName>
    <definedName name="PPPPP_5" localSheetId="4">#REF!</definedName>
    <definedName name="PPPPP_5" localSheetId="7">#REF!</definedName>
    <definedName name="PPPPP_5" localSheetId="5">#REF!</definedName>
    <definedName name="PPPPP_5" localSheetId="2">#REF!</definedName>
    <definedName name="PPPPP_5" localSheetId="6">#REF!</definedName>
    <definedName name="PPPPP_5">#REF!</definedName>
    <definedName name="PPPPP_5_2" localSheetId="4">#REF!</definedName>
    <definedName name="PPPPP_5_2" localSheetId="7">#REF!</definedName>
    <definedName name="PPPPP_5_2" localSheetId="5">#REF!</definedName>
    <definedName name="PPPPP_5_2" localSheetId="2">#REF!</definedName>
    <definedName name="PPPPP_5_2" localSheetId="6">#REF!</definedName>
    <definedName name="PPPPP_5_2">#REF!</definedName>
    <definedName name="PRE" localSheetId="0">#REF!</definedName>
    <definedName name="PRE" localSheetId="4">#REF!</definedName>
    <definedName name="PRE" localSheetId="7">#REF!</definedName>
    <definedName name="PRE" localSheetId="5">#REF!</definedName>
    <definedName name="PRE" localSheetId="2">#REF!</definedName>
    <definedName name="PRE" localSheetId="6">#REF!</definedName>
    <definedName name="PRE">#REF!</definedName>
    <definedName name="PRE_12" localSheetId="4">#REF!</definedName>
    <definedName name="PRE_12" localSheetId="7">#REF!</definedName>
    <definedName name="PRE_12" localSheetId="5">#REF!</definedName>
    <definedName name="PRE_12" localSheetId="2">#REF!</definedName>
    <definedName name="PRE_12" localSheetId="6">#REF!</definedName>
    <definedName name="PRE_12">#REF!</definedName>
    <definedName name="PRE_13" localSheetId="4">#REF!</definedName>
    <definedName name="PRE_13" localSheetId="7">#REF!</definedName>
    <definedName name="PRE_13" localSheetId="5">#REF!</definedName>
    <definedName name="PRE_13" localSheetId="2">#REF!</definedName>
    <definedName name="PRE_13" localSheetId="6">#REF!</definedName>
    <definedName name="PRE_13">#REF!</definedName>
    <definedName name="PRE_19" localSheetId="4">#REF!</definedName>
    <definedName name="PRE_19" localSheetId="7">#REF!</definedName>
    <definedName name="PRE_19" localSheetId="5">#REF!</definedName>
    <definedName name="PRE_19" localSheetId="2">#REF!</definedName>
    <definedName name="PRE_19" localSheetId="6">#REF!</definedName>
    <definedName name="PRE_19">#REF!</definedName>
    <definedName name="PRE_2" localSheetId="4">#REF!</definedName>
    <definedName name="PRE_2" localSheetId="7">#REF!</definedName>
    <definedName name="PRE_2" localSheetId="5">#REF!</definedName>
    <definedName name="PRE_2" localSheetId="2">#REF!</definedName>
    <definedName name="PRE_2" localSheetId="6">#REF!</definedName>
    <definedName name="PRE_2">#REF!</definedName>
    <definedName name="PRE_20" localSheetId="4">#REF!</definedName>
    <definedName name="PRE_20" localSheetId="7">#REF!</definedName>
    <definedName name="PRE_20" localSheetId="5">#REF!</definedName>
    <definedName name="PRE_20" localSheetId="2">#REF!</definedName>
    <definedName name="PRE_20" localSheetId="6">#REF!</definedName>
    <definedName name="PRE_20">#REF!</definedName>
    <definedName name="PRE_24" localSheetId="4">#REF!</definedName>
    <definedName name="PRE_24" localSheetId="7">#REF!</definedName>
    <definedName name="PRE_24" localSheetId="5">#REF!</definedName>
    <definedName name="PRE_24" localSheetId="2">#REF!</definedName>
    <definedName name="PRE_24" localSheetId="6">#REF!</definedName>
    <definedName name="PRE_24">#REF!</definedName>
    <definedName name="PRE_25" localSheetId="4">#REF!</definedName>
    <definedName name="PRE_25" localSheetId="7">#REF!</definedName>
    <definedName name="PRE_25" localSheetId="5">#REF!</definedName>
    <definedName name="PRE_25" localSheetId="2">#REF!</definedName>
    <definedName name="PRE_25" localSheetId="6">#REF!</definedName>
    <definedName name="PRE_25">#REF!</definedName>
    <definedName name="PRE_26" localSheetId="4">#REF!</definedName>
    <definedName name="PRE_26" localSheetId="7">#REF!</definedName>
    <definedName name="PRE_26" localSheetId="5">#REF!</definedName>
    <definedName name="PRE_26" localSheetId="2">#REF!</definedName>
    <definedName name="PRE_26" localSheetId="6">#REF!</definedName>
    <definedName name="PRE_26">#REF!</definedName>
    <definedName name="PRE_30" localSheetId="4">#REF!</definedName>
    <definedName name="PRE_30" localSheetId="7">#REF!</definedName>
    <definedName name="PRE_30" localSheetId="5">#REF!</definedName>
    <definedName name="PRE_30" localSheetId="2">#REF!</definedName>
    <definedName name="PRE_30" localSheetId="6">#REF!</definedName>
    <definedName name="PRE_30">#REF!</definedName>
    <definedName name="PRE_31" localSheetId="4">#REF!</definedName>
    <definedName name="PRE_31" localSheetId="7">#REF!</definedName>
    <definedName name="PRE_31" localSheetId="5">#REF!</definedName>
    <definedName name="PRE_31" localSheetId="2">#REF!</definedName>
    <definedName name="PRE_31" localSheetId="6">#REF!</definedName>
    <definedName name="PRE_31">#REF!</definedName>
    <definedName name="PRE_5" localSheetId="4">#REF!</definedName>
    <definedName name="PRE_5" localSheetId="7">#REF!</definedName>
    <definedName name="PRE_5" localSheetId="5">#REF!</definedName>
    <definedName name="PRE_5" localSheetId="2">#REF!</definedName>
    <definedName name="PRE_5" localSheetId="6">#REF!</definedName>
    <definedName name="PRE_5">#REF!</definedName>
    <definedName name="PRE_5_2" localSheetId="4">#REF!</definedName>
    <definedName name="PRE_5_2" localSheetId="7">#REF!</definedName>
    <definedName name="PRE_5_2" localSheetId="5">#REF!</definedName>
    <definedName name="PRE_5_2" localSheetId="2">#REF!</definedName>
    <definedName name="PRE_5_2" localSheetId="6">#REF!</definedName>
    <definedName name="PRE_5_2">#REF!</definedName>
    <definedName name="PRE_7" localSheetId="4">#REF!</definedName>
    <definedName name="PRE_7" localSheetId="7">#REF!</definedName>
    <definedName name="PRE_7" localSheetId="5">#REF!</definedName>
    <definedName name="PRE_7" localSheetId="2">#REF!</definedName>
    <definedName name="PRE_7" localSheetId="6">#REF!</definedName>
    <definedName name="PRE_7">#REF!</definedName>
    <definedName name="PRE_72" localSheetId="4">#REF!</definedName>
    <definedName name="PRE_72" localSheetId="7">#REF!</definedName>
    <definedName name="PRE_72" localSheetId="5">#REF!</definedName>
    <definedName name="PRE_72" localSheetId="2">#REF!</definedName>
    <definedName name="PRE_72" localSheetId="6">#REF!</definedName>
    <definedName name="PRE_72">#REF!</definedName>
    <definedName name="PRE_78" localSheetId="4">#REF!</definedName>
    <definedName name="PRE_78" localSheetId="7">#REF!</definedName>
    <definedName name="PRE_78" localSheetId="5">#REF!</definedName>
    <definedName name="PRE_78" localSheetId="2">#REF!</definedName>
    <definedName name="PRE_78" localSheetId="6">#REF!</definedName>
    <definedName name="PRE_78">#REF!</definedName>
    <definedName name="PRE_82" localSheetId="4">#REF!</definedName>
    <definedName name="PRE_82" localSheetId="7">#REF!</definedName>
    <definedName name="PRE_82" localSheetId="5">#REF!</definedName>
    <definedName name="PRE_82" localSheetId="2">#REF!</definedName>
    <definedName name="PRE_82" localSheetId="6">#REF!</definedName>
    <definedName name="PRE_82">#REF!</definedName>
    <definedName name="PRE_84" localSheetId="4">#REF!</definedName>
    <definedName name="PRE_84" localSheetId="7">#REF!</definedName>
    <definedName name="PRE_84" localSheetId="5">#REF!</definedName>
    <definedName name="PRE_84" localSheetId="2">#REF!</definedName>
    <definedName name="PRE_84" localSheetId="6">#REF!</definedName>
    <definedName name="PRE_84">#REF!</definedName>
    <definedName name="PRE_88" localSheetId="4">#REF!</definedName>
    <definedName name="PRE_88" localSheetId="7">#REF!</definedName>
    <definedName name="PRE_88" localSheetId="5">#REF!</definedName>
    <definedName name="PRE_88" localSheetId="2">#REF!</definedName>
    <definedName name="PRE_88" localSheetId="6">#REF!</definedName>
    <definedName name="PRE_88">#REF!</definedName>
    <definedName name="PRE_90" localSheetId="4">#REF!</definedName>
    <definedName name="PRE_90" localSheetId="7">#REF!</definedName>
    <definedName name="PRE_90" localSheetId="5">#REF!</definedName>
    <definedName name="PRE_90" localSheetId="2">#REF!</definedName>
    <definedName name="PRE_90" localSheetId="6">#REF!</definedName>
    <definedName name="PRE_90">#REF!</definedName>
    <definedName name="PRE_91" localSheetId="4">#REF!</definedName>
    <definedName name="PRE_91" localSheetId="7">#REF!</definedName>
    <definedName name="PRE_91" localSheetId="5">#REF!</definedName>
    <definedName name="PRE_91" localSheetId="2">#REF!</definedName>
    <definedName name="PRE_91" localSheetId="6">#REF!</definedName>
    <definedName name="PRE_91">#REF!</definedName>
    <definedName name="PRE_92" localSheetId="4">#REF!</definedName>
    <definedName name="PRE_92" localSheetId="7">#REF!</definedName>
    <definedName name="PRE_92" localSheetId="5">#REF!</definedName>
    <definedName name="PRE_92" localSheetId="2">#REF!</definedName>
    <definedName name="PRE_92" localSheetId="6">#REF!</definedName>
    <definedName name="PRE_92">#REF!</definedName>
    <definedName name="PRE_93" localSheetId="4">#REF!</definedName>
    <definedName name="PRE_93" localSheetId="7">#REF!</definedName>
    <definedName name="PRE_93" localSheetId="5">#REF!</definedName>
    <definedName name="PRE_93" localSheetId="2">#REF!</definedName>
    <definedName name="PRE_93" localSheetId="6">#REF!</definedName>
    <definedName name="PRE_93">#REF!</definedName>
    <definedName name="PRE_94" localSheetId="4">#REF!</definedName>
    <definedName name="PRE_94" localSheetId="7">#REF!</definedName>
    <definedName name="PRE_94" localSheetId="5">#REF!</definedName>
    <definedName name="PRE_94" localSheetId="2">#REF!</definedName>
    <definedName name="PRE_94" localSheetId="6">#REF!</definedName>
    <definedName name="PRE_94">#REF!</definedName>
    <definedName name="preaa" localSheetId="4">#REF!</definedName>
    <definedName name="preaa" localSheetId="7">#REF!</definedName>
    <definedName name="preaa" localSheetId="5">#REF!</definedName>
    <definedName name="preaa" localSheetId="2">#REF!</definedName>
    <definedName name="preaa" localSheetId="6">#REF!</definedName>
    <definedName name="preaa">#REF!</definedName>
    <definedName name="preaa_2" localSheetId="4">#REF!</definedName>
    <definedName name="preaa_2" localSheetId="7">#REF!</definedName>
    <definedName name="preaa_2" localSheetId="5">#REF!</definedName>
    <definedName name="preaa_2" localSheetId="2">#REF!</definedName>
    <definedName name="preaa_2" localSheetId="6">#REF!</definedName>
    <definedName name="preaa_2">#REF!</definedName>
    <definedName name="preaa_5" localSheetId="4">#REF!</definedName>
    <definedName name="preaa_5" localSheetId="7">#REF!</definedName>
    <definedName name="preaa_5" localSheetId="5">#REF!</definedName>
    <definedName name="preaa_5" localSheetId="2">#REF!</definedName>
    <definedName name="preaa_5" localSheetId="6">#REF!</definedName>
    <definedName name="preaa_5">#REF!</definedName>
    <definedName name="preaa_5_2" localSheetId="4">#REF!</definedName>
    <definedName name="preaa_5_2" localSheetId="7">#REF!</definedName>
    <definedName name="preaa_5_2" localSheetId="5">#REF!</definedName>
    <definedName name="preaa_5_2" localSheetId="2">#REF!</definedName>
    <definedName name="preaa_5_2" localSheetId="6">#REF!</definedName>
    <definedName name="preaa_5_2">#REF!</definedName>
    <definedName name="preco" localSheetId="0">#REF!</definedName>
    <definedName name="preco" localSheetId="4">#REF!</definedName>
    <definedName name="preco" localSheetId="7">#REF!</definedName>
    <definedName name="preco" localSheetId="5">#REF!</definedName>
    <definedName name="preco" localSheetId="2">#REF!</definedName>
    <definedName name="preco" localSheetId="6">#REF!</definedName>
    <definedName name="preco">#REF!</definedName>
    <definedName name="PREÇO" localSheetId="4">#REF!</definedName>
    <definedName name="PREÇO" localSheetId="7">#REF!</definedName>
    <definedName name="PREÇO" localSheetId="1">#REF!</definedName>
    <definedName name="PREÇO" localSheetId="5">#REF!</definedName>
    <definedName name="PREÇO" localSheetId="2">#REF!</definedName>
    <definedName name="PREÇO" localSheetId="6">#REF!</definedName>
    <definedName name="PREÇO">#REF!</definedName>
    <definedName name="Print_Area_MI" localSheetId="4">#REF!</definedName>
    <definedName name="Print_Area_MI" localSheetId="7">#REF!</definedName>
    <definedName name="Print_Area_MI" localSheetId="1">#REF!</definedName>
    <definedName name="Print_Area_MI" localSheetId="5">#REF!</definedName>
    <definedName name="Print_Area_MI" localSheetId="2">#REF!</definedName>
    <definedName name="Print_Area_MI" localSheetId="6">#REF!</definedName>
    <definedName name="Print_Area_MI">#REF!</definedName>
    <definedName name="Programada_1" localSheetId="4">#REF!</definedName>
    <definedName name="Programada_1" localSheetId="7">#REF!</definedName>
    <definedName name="Programada_1" localSheetId="5">#REF!</definedName>
    <definedName name="Programada_1" localSheetId="2">#REF!</definedName>
    <definedName name="Programada_1" localSheetId="6">#REF!</definedName>
    <definedName name="Programada_1">#REF!</definedName>
    <definedName name="Programada_1_SP_t" localSheetId="4">#REF!</definedName>
    <definedName name="Programada_1_SP_t" localSheetId="7">#REF!</definedName>
    <definedName name="Programada_1_SP_t" localSheetId="5">#REF!</definedName>
    <definedName name="Programada_1_SP_t" localSheetId="2">#REF!</definedName>
    <definedName name="Programada_1_SP_t" localSheetId="6">#REF!</definedName>
    <definedName name="Programada_1_SP_t">#REF!</definedName>
    <definedName name="Programada_2" localSheetId="4">#REF!</definedName>
    <definedName name="Programada_2" localSheetId="7">#REF!</definedName>
    <definedName name="Programada_2" localSheetId="5">#REF!</definedName>
    <definedName name="Programada_2" localSheetId="2">#REF!</definedName>
    <definedName name="Programada_2" localSheetId="6">#REF!</definedName>
    <definedName name="Programada_2">#REF!</definedName>
    <definedName name="Programada_2_SP_t" localSheetId="4">#REF!</definedName>
    <definedName name="Programada_2_SP_t" localSheetId="7">#REF!</definedName>
    <definedName name="Programada_2_SP_t" localSheetId="5">#REF!</definedName>
    <definedName name="Programada_2_SP_t" localSheetId="2">#REF!</definedName>
    <definedName name="Programada_2_SP_t" localSheetId="6">#REF!</definedName>
    <definedName name="Programada_2_SP_t">#REF!</definedName>
    <definedName name="Proposta" localSheetId="4">#REF!</definedName>
    <definedName name="Proposta" localSheetId="7">#REF!</definedName>
    <definedName name="Proposta" localSheetId="5">#REF!</definedName>
    <definedName name="Proposta" localSheetId="2">#REF!</definedName>
    <definedName name="Proposta" localSheetId="6">#REF!</definedName>
    <definedName name="Proposta">#REF!</definedName>
    <definedName name="Proposta_Técnica_SP_t" localSheetId="4">#REF!</definedName>
    <definedName name="Proposta_Técnica_SP_t" localSheetId="7">#REF!</definedName>
    <definedName name="Proposta_Técnica_SP_t" localSheetId="5">#REF!</definedName>
    <definedName name="Proposta_Técnica_SP_t" localSheetId="2">#REF!</definedName>
    <definedName name="Proposta_Técnica_SP_t" localSheetId="6">#REF!</definedName>
    <definedName name="Proposta_Técnica_SP_t">#REF!</definedName>
    <definedName name="Ptotal" localSheetId="0">ROUND(#REF!*#REF!,2)</definedName>
    <definedName name="Ptotal" localSheetId="4">ROUND(#REF!*#REF!,2)</definedName>
    <definedName name="Ptotal" localSheetId="7">ROUND(#REF!*#REF!,2)</definedName>
    <definedName name="Ptotal" localSheetId="5">ROUND(#REF!*#REF!,2)</definedName>
    <definedName name="Ptotal" localSheetId="2">ROUND(#REF!*#REF!,2)</definedName>
    <definedName name="Ptotal" localSheetId="6">ROUND(#REF!*#REF!,2)</definedName>
    <definedName name="Ptotal">ROUND(#REF!*#REF!,2)</definedName>
    <definedName name="pu" localSheetId="0">#REF!</definedName>
    <definedName name="pu" localSheetId="4">#REF!</definedName>
    <definedName name="pu" localSheetId="7">#REF!</definedName>
    <definedName name="pu" localSheetId="5">#REF!</definedName>
    <definedName name="pu" localSheetId="2">#REF!</definedName>
    <definedName name="pu" localSheetId="6">#REF!</definedName>
    <definedName name="pu">#REF!</definedName>
    <definedName name="pu_2" localSheetId="4">#REF!</definedName>
    <definedName name="pu_2" localSheetId="7">#REF!</definedName>
    <definedName name="pu_2" localSheetId="5">#REF!</definedName>
    <definedName name="pu_2" localSheetId="2">#REF!</definedName>
    <definedName name="pu_2" localSheetId="6">#REF!</definedName>
    <definedName name="pu_2">#REF!</definedName>
    <definedName name="PUnit10" localSheetId="4">#REF!*#REF!</definedName>
    <definedName name="PUnit10" localSheetId="7">#REF!*#REF!</definedName>
    <definedName name="PUnit10" localSheetId="1">#REF!*#REF!</definedName>
    <definedName name="PUnit10" localSheetId="5">#REF!*#REF!</definedName>
    <definedName name="PUnit10" localSheetId="2">#REF!*#REF!</definedName>
    <definedName name="PUnit10" localSheetId="6">#REF!*#REF!</definedName>
    <definedName name="PUnit10">#REF!*#REF!</definedName>
    <definedName name="PUnit11" localSheetId="4">#REF!*#REF!</definedName>
    <definedName name="PUnit11" localSheetId="7">#REF!*#REF!</definedName>
    <definedName name="PUnit11" localSheetId="1">#REF!*#REF!</definedName>
    <definedName name="PUnit11" localSheetId="5">#REF!*#REF!</definedName>
    <definedName name="PUnit11" localSheetId="2">#REF!*#REF!</definedName>
    <definedName name="PUnit11" localSheetId="6">#REF!*#REF!</definedName>
    <definedName name="PUnit11">#REF!*#REF!</definedName>
    <definedName name="PUnit12" localSheetId="4">#REF!*#REF!</definedName>
    <definedName name="PUnit12" localSheetId="7">#REF!*#REF!</definedName>
    <definedName name="PUnit12" localSheetId="1">#REF!*#REF!</definedName>
    <definedName name="PUnit12" localSheetId="5">#REF!*#REF!</definedName>
    <definedName name="PUnit12" localSheetId="2">#REF!*#REF!</definedName>
    <definedName name="PUnit12" localSheetId="6">#REF!*#REF!</definedName>
    <definedName name="PUnit12">#REF!*#REF!</definedName>
    <definedName name="Q" localSheetId="4">#REF!</definedName>
    <definedName name="Q" localSheetId="7">#REF!</definedName>
    <definedName name="Q" localSheetId="5">#REF!</definedName>
    <definedName name="Q" localSheetId="2">#REF!</definedName>
    <definedName name="Q" localSheetId="6">#REF!</definedName>
    <definedName name="Q">#REF!</definedName>
    <definedName name="Q_19" localSheetId="4">#REF!</definedName>
    <definedName name="Q_19" localSheetId="7">#REF!</definedName>
    <definedName name="Q_19" localSheetId="5">#REF!</definedName>
    <definedName name="Q_19" localSheetId="2">#REF!</definedName>
    <definedName name="Q_19" localSheetId="6">#REF!</definedName>
    <definedName name="Q_19">#REF!</definedName>
    <definedName name="Q_24" localSheetId="4">#REF!</definedName>
    <definedName name="Q_24" localSheetId="7">#REF!</definedName>
    <definedName name="Q_24" localSheetId="5">#REF!</definedName>
    <definedName name="Q_24" localSheetId="2">#REF!</definedName>
    <definedName name="Q_24" localSheetId="6">#REF!</definedName>
    <definedName name="Q_24">#REF!</definedName>
    <definedName name="Q_25" localSheetId="4">#REF!</definedName>
    <definedName name="Q_25" localSheetId="7">#REF!</definedName>
    <definedName name="Q_25" localSheetId="5">#REF!</definedName>
    <definedName name="Q_25" localSheetId="2">#REF!</definedName>
    <definedName name="Q_25" localSheetId="6">#REF!</definedName>
    <definedName name="Q_25">#REF!</definedName>
    <definedName name="Q_30" localSheetId="4">#REF!</definedName>
    <definedName name="Q_30" localSheetId="7">#REF!</definedName>
    <definedName name="Q_30" localSheetId="5">#REF!</definedName>
    <definedName name="Q_30" localSheetId="2">#REF!</definedName>
    <definedName name="Q_30" localSheetId="6">#REF!</definedName>
    <definedName name="Q_30">#REF!</definedName>
    <definedName name="QQ_2" localSheetId="4">#REF!</definedName>
    <definedName name="QQ_2" localSheetId="7">#REF!</definedName>
    <definedName name="QQ_2" localSheetId="1">#REF!</definedName>
    <definedName name="QQ_2" localSheetId="5">#REF!</definedName>
    <definedName name="QQ_2" localSheetId="2">#REF!</definedName>
    <definedName name="QQ_2" localSheetId="6">#REF!</definedName>
    <definedName name="QQ_2">#REF!</definedName>
    <definedName name="QQQQQQQ" localSheetId="4">#REF!</definedName>
    <definedName name="QQQQQQQ" localSheetId="7">#REF!</definedName>
    <definedName name="QQQQQQQ" localSheetId="5">#REF!</definedName>
    <definedName name="QQQQQQQ" localSheetId="2">#REF!</definedName>
    <definedName name="QQQQQQQ" localSheetId="6">#REF!</definedName>
    <definedName name="QQQQQQQ">#REF!</definedName>
    <definedName name="QQQQQQQ_2" localSheetId="4">#REF!</definedName>
    <definedName name="QQQQQQQ_2" localSheetId="7">#REF!</definedName>
    <definedName name="QQQQQQQ_2" localSheetId="5">#REF!</definedName>
    <definedName name="QQQQQQQ_2" localSheetId="2">#REF!</definedName>
    <definedName name="QQQQQQQ_2" localSheetId="6">#REF!</definedName>
    <definedName name="QQQQQQQ_2">#REF!</definedName>
    <definedName name="QTD30_1" localSheetId="0">#REF!</definedName>
    <definedName name="QTD30_1" localSheetId="4">#REF!</definedName>
    <definedName name="QTD30_1" localSheetId="7">#REF!</definedName>
    <definedName name="QTD30_1" localSheetId="5">#REF!</definedName>
    <definedName name="QTD30_1" localSheetId="2">#REF!</definedName>
    <definedName name="QTD30_1" localSheetId="6">#REF!</definedName>
    <definedName name="QTD30_1">#REF!</definedName>
    <definedName name="QTD30_12" localSheetId="0">#REF!</definedName>
    <definedName name="QTD30_12" localSheetId="4">#REF!</definedName>
    <definedName name="QTD30_12" localSheetId="7">#REF!</definedName>
    <definedName name="QTD30_12" localSheetId="5">#REF!</definedName>
    <definedName name="QTD30_12" localSheetId="2">#REF!</definedName>
    <definedName name="QTD30_12" localSheetId="6">#REF!</definedName>
    <definedName name="QTD30_12">#REF!</definedName>
    <definedName name="QTD30_V2" localSheetId="0">#REF!</definedName>
    <definedName name="QTD30_V2" localSheetId="4">#REF!</definedName>
    <definedName name="QTD30_V2" localSheetId="7">#REF!</definedName>
    <definedName name="QTD30_V2" localSheetId="5">#REF!</definedName>
    <definedName name="QTD30_V2" localSheetId="2">#REF!</definedName>
    <definedName name="QTD30_V2" localSheetId="6">#REF!</definedName>
    <definedName name="QTD30_V2">#REF!</definedName>
    <definedName name="QTD30_V3" localSheetId="0">#REF!</definedName>
    <definedName name="QTD30_V3" localSheetId="4">#REF!</definedName>
    <definedName name="QTD30_V3" localSheetId="7">#REF!</definedName>
    <definedName name="QTD30_V3" localSheetId="5">#REF!</definedName>
    <definedName name="QTD30_V3" localSheetId="2">#REF!</definedName>
    <definedName name="QTD30_V3" localSheetId="6">#REF!</definedName>
    <definedName name="QTD30_V3">#REF!</definedName>
    <definedName name="qtd3esta" localSheetId="4">#REF!</definedName>
    <definedName name="qtd3esta" localSheetId="7">#REF!</definedName>
    <definedName name="qtd3esta" localSheetId="5">#REF!</definedName>
    <definedName name="qtd3esta" localSheetId="2">#REF!</definedName>
    <definedName name="qtd3esta" localSheetId="6">#REF!</definedName>
    <definedName name="qtd3esta">#REF!</definedName>
    <definedName name="qtdbase" localSheetId="4">#REF!</definedName>
    <definedName name="qtdbase" localSheetId="7">#REF!</definedName>
    <definedName name="qtdbase" localSheetId="5">#REF!</definedName>
    <definedName name="qtdbase" localSheetId="2">#REF!</definedName>
    <definedName name="qtdbase" localSheetId="6">#REF!</definedName>
    <definedName name="qtdbase">#REF!</definedName>
    <definedName name="qtdbltub" localSheetId="4">#REF!</definedName>
    <definedName name="qtdbltub" localSheetId="7">#REF!</definedName>
    <definedName name="qtdbltub" localSheetId="5">#REF!</definedName>
    <definedName name="qtdbltub" localSheetId="2">#REF!</definedName>
    <definedName name="qtdbltub" localSheetId="6">#REF!</definedName>
    <definedName name="qtdbltub">#REF!</definedName>
    <definedName name="qtdestac" localSheetId="4">#REF!</definedName>
    <definedName name="qtdestac" localSheetId="7">#REF!</definedName>
    <definedName name="qtdestac" localSheetId="1">#REF!</definedName>
    <definedName name="qtdestac" localSheetId="5">#REF!</definedName>
    <definedName name="qtdestac" localSheetId="2">#REF!</definedName>
    <definedName name="qtdestac" localSheetId="6">#REF!</definedName>
    <definedName name="qtdestac">#REF!</definedName>
    <definedName name="QTDFASE30" localSheetId="0">#REF!</definedName>
    <definedName name="QTDFASE30" localSheetId="4">#REF!</definedName>
    <definedName name="QTDFASE30" localSheetId="7">#REF!</definedName>
    <definedName name="QTDFASE30" localSheetId="5">#REF!</definedName>
    <definedName name="QTDFASE30" localSheetId="2">#REF!</definedName>
    <definedName name="QTDFASE30" localSheetId="6">#REF!</definedName>
    <definedName name="QTDFASE30">#REF!</definedName>
    <definedName name="qtdsap" localSheetId="4">#REF!</definedName>
    <definedName name="qtdsap" localSheetId="7">#REF!</definedName>
    <definedName name="qtdsap" localSheetId="5">#REF!</definedName>
    <definedName name="qtdsap" localSheetId="2">#REF!</definedName>
    <definedName name="qtdsap" localSheetId="6">#REF!</definedName>
    <definedName name="qtdsap">#REF!</definedName>
    <definedName name="qtdtub" localSheetId="4">#REF!</definedName>
    <definedName name="qtdtub" localSheetId="7">#REF!</definedName>
    <definedName name="qtdtub" localSheetId="5">#REF!</definedName>
    <definedName name="qtdtub" localSheetId="2">#REF!</definedName>
    <definedName name="qtdtub" localSheetId="6">#REF!</definedName>
    <definedName name="qtdtub">#REF!</definedName>
    <definedName name="Quan._Dren._1" localSheetId="0">#REF!</definedName>
    <definedName name="Quan._Dren._1" localSheetId="4">#REF!</definedName>
    <definedName name="Quan._Dren._1" localSheetId="7">#REF!</definedName>
    <definedName name="Quan._Dren._1" localSheetId="1">#REF!</definedName>
    <definedName name="Quan._Dren._1" localSheetId="5">#REF!</definedName>
    <definedName name="Quan._Dren._1" localSheetId="2">#REF!</definedName>
    <definedName name="Quan._Dren._1" localSheetId="6">#REF!</definedName>
    <definedName name="Quan._Dren._1">#REF!</definedName>
    <definedName name="Quant" localSheetId="4">#REF!</definedName>
    <definedName name="Quant" localSheetId="7">#REF!</definedName>
    <definedName name="Quant" localSheetId="5">#REF!</definedName>
    <definedName name="Quant" localSheetId="2">#REF!</definedName>
    <definedName name="Quant" localSheetId="6">#REF!</definedName>
    <definedName name="Quant">#REF!</definedName>
    <definedName name="Quant._Dia" localSheetId="0">#REF!</definedName>
    <definedName name="Quant._Dia" localSheetId="4">#REF!</definedName>
    <definedName name="Quant._Dia" localSheetId="7">#REF!</definedName>
    <definedName name="Quant._Dia" localSheetId="1">#REF!</definedName>
    <definedName name="Quant._Dia" localSheetId="5">#REF!</definedName>
    <definedName name="Quant._Dia" localSheetId="2">#REF!</definedName>
    <definedName name="Quant._Dia" localSheetId="6">#REF!</definedName>
    <definedName name="Quant._Dia">#REF!</definedName>
    <definedName name="qwe" localSheetId="0">#REF!</definedName>
    <definedName name="qwe" localSheetId="4">#REF!</definedName>
    <definedName name="qwe" localSheetId="7">#REF!</definedName>
    <definedName name="qwe" localSheetId="5">#REF!</definedName>
    <definedName name="qwe" localSheetId="2">#REF!</definedName>
    <definedName name="qwe" localSheetId="6">#REF!</definedName>
    <definedName name="qwe">#REF!</definedName>
    <definedName name="REAJ" localSheetId="4">#REF!</definedName>
    <definedName name="REAJ" localSheetId="7">#REF!</definedName>
    <definedName name="REAJ" localSheetId="5">#REF!</definedName>
    <definedName name="REAJ" localSheetId="2">#REF!</definedName>
    <definedName name="REAJ" localSheetId="6">#REF!</definedName>
    <definedName name="REAJ">#REF!</definedName>
    <definedName name="REAJ1" localSheetId="4">#REF!</definedName>
    <definedName name="REAJ1" localSheetId="7">#REF!</definedName>
    <definedName name="REAJ1" localSheetId="5">#REF!</definedName>
    <definedName name="REAJ1" localSheetId="2">#REF!</definedName>
    <definedName name="REAJ1" localSheetId="6">#REF!</definedName>
    <definedName name="REAJ1">#REF!</definedName>
    <definedName name="REAJ2" localSheetId="4">#REF!</definedName>
    <definedName name="REAJ2" localSheetId="7">#REF!</definedName>
    <definedName name="REAJ2" localSheetId="5">#REF!</definedName>
    <definedName name="REAJ2" localSheetId="2">#REF!</definedName>
    <definedName name="REAJ2" localSheetId="6">#REF!</definedName>
    <definedName name="REAJ2">#REF!</definedName>
    <definedName name="REAJ3" localSheetId="4">#REF!</definedName>
    <definedName name="REAJ3" localSheetId="7">#REF!</definedName>
    <definedName name="REAJ3" localSheetId="5">#REF!</definedName>
    <definedName name="REAJ3" localSheetId="2">#REF!</definedName>
    <definedName name="REAJ3" localSheetId="6">#REF!</definedName>
    <definedName name="REAJ3">#REF!</definedName>
    <definedName name="Reajuste" localSheetId="4">#REF!</definedName>
    <definedName name="Reajuste" localSheetId="7">#REF!</definedName>
    <definedName name="Reajuste" localSheetId="5">#REF!</definedName>
    <definedName name="Reajuste" localSheetId="2">#REF!</definedName>
    <definedName name="Reajuste" localSheetId="6">#REF!</definedName>
    <definedName name="Reajuste">#REF!</definedName>
    <definedName name="recuperação_de_obras_de_arte_especiais" localSheetId="4">#REF!</definedName>
    <definedName name="recuperação_de_obras_de_arte_especiais" localSheetId="7">#REF!</definedName>
    <definedName name="recuperação_de_obras_de_arte_especiais" localSheetId="5">#REF!</definedName>
    <definedName name="recuperação_de_obras_de_arte_especiais" localSheetId="2">#REF!</definedName>
    <definedName name="recuperação_de_obras_de_arte_especiais" localSheetId="6">#REF!</definedName>
    <definedName name="recuperação_de_obras_de_arte_especiais">#REF!</definedName>
    <definedName name="recuperação_de_obras_de_arte_especiais_2" localSheetId="4">#REF!</definedName>
    <definedName name="recuperação_de_obras_de_arte_especiais_2" localSheetId="7">#REF!</definedName>
    <definedName name="recuperação_de_obras_de_arte_especiais_2" localSheetId="5">#REF!</definedName>
    <definedName name="recuperação_de_obras_de_arte_especiais_2" localSheetId="2">#REF!</definedName>
    <definedName name="recuperação_de_obras_de_arte_especiais_2" localSheetId="6">#REF!</definedName>
    <definedName name="recuperação_de_obras_de_arte_especiais_2">#REF!</definedName>
    <definedName name="REFEITO" localSheetId="4" hidden="1">{#N/A,#N/A,FALSE,"Plan1"}</definedName>
    <definedName name="REFEITO" localSheetId="3" hidden="1">{#N/A,#N/A,FALSE,"Plan1"}</definedName>
    <definedName name="REFEITO" localSheetId="7" hidden="1">{#N/A,#N/A,FALSE,"Plan1"}</definedName>
    <definedName name="REFEITO" localSheetId="1" hidden="1">{#N/A,#N/A,FALSE,"Plan1"}</definedName>
    <definedName name="REFEITO" localSheetId="5" hidden="1">{#N/A,#N/A,FALSE,"Plan1"}</definedName>
    <definedName name="REFEITO" localSheetId="2" hidden="1">{#N/A,#N/A,FALSE,"Plan1"}</definedName>
    <definedName name="REFEITO" localSheetId="6" hidden="1">{#N/A,#N/A,FALSE,"Plan1"}</definedName>
    <definedName name="REFEITO" hidden="1">{#N/A,#N/A,FALSE,"Plan1"}</definedName>
    <definedName name="REG" localSheetId="4">#REF!</definedName>
    <definedName name="REG" localSheetId="7">#REF!</definedName>
    <definedName name="REG" localSheetId="5">#REF!</definedName>
    <definedName name="REG" localSheetId="2">#REF!</definedName>
    <definedName name="REG" localSheetId="6">#REF!</definedName>
    <definedName name="REG">#REF!</definedName>
    <definedName name="RELAÇÃO_DE_DEPENDÊNCIAS">"CABECA"</definedName>
    <definedName name="Reporting_Period" localSheetId="0">#REF!</definedName>
    <definedName name="Reporting_Period" localSheetId="4">#REF!</definedName>
    <definedName name="Reporting_Period" localSheetId="7">#REF!</definedName>
    <definedName name="Reporting_Period" localSheetId="5">#REF!</definedName>
    <definedName name="Reporting_Period" localSheetId="2">#REF!</definedName>
    <definedName name="Reporting_Period" localSheetId="6">#REF!</definedName>
    <definedName name="Reporting_Period">#REF!</definedName>
    <definedName name="RESUMO" localSheetId="0" hidden="1">{#N/A,#N/A,FALSE,"Plan1"}</definedName>
    <definedName name="RESUMO" localSheetId="4" hidden="1">{#N/A,#N/A,FALSE,"Plan1"}</definedName>
    <definedName name="Resumo" localSheetId="7">#REF!</definedName>
    <definedName name="Resumo" localSheetId="1">#REF!</definedName>
    <definedName name="Resumo" localSheetId="5">#REF!</definedName>
    <definedName name="Resumo" localSheetId="2">#REF!</definedName>
    <definedName name="Resumo" localSheetId="6">#REF!</definedName>
    <definedName name="Resumo">#REF!</definedName>
    <definedName name="resumo_campeão" localSheetId="4">#REF!</definedName>
    <definedName name="resumo_campeão" localSheetId="7">#REF!</definedName>
    <definedName name="resumo_campeão" localSheetId="5">#REF!</definedName>
    <definedName name="resumo_campeão" localSheetId="2">#REF!</definedName>
    <definedName name="resumo_campeão" localSheetId="6">#REF!</definedName>
    <definedName name="resumo_campeão">#REF!</definedName>
    <definedName name="resumo_campeão_2" localSheetId="4">#REF!</definedName>
    <definedName name="resumo_campeão_2" localSheetId="7">#REF!</definedName>
    <definedName name="resumo_campeão_2" localSheetId="5">#REF!</definedName>
    <definedName name="resumo_campeão_2" localSheetId="2">#REF!</definedName>
    <definedName name="resumo_campeão_2" localSheetId="6">#REF!</definedName>
    <definedName name="resumo_campeão_2">#REF!</definedName>
    <definedName name="REV" localSheetId="0">#REF!</definedName>
    <definedName name="REV" localSheetId="4">#REF!</definedName>
    <definedName name="REV" localSheetId="7">#REF!</definedName>
    <definedName name="REV" localSheetId="5">#REF!</definedName>
    <definedName name="REV" localSheetId="2">#REF!</definedName>
    <definedName name="REV" localSheetId="6">#REF!</definedName>
    <definedName name="REV">#REF!</definedName>
    <definedName name="REV_12" localSheetId="4">#REF!</definedName>
    <definedName name="REV_12" localSheetId="7">#REF!</definedName>
    <definedName name="REV_12" localSheetId="5">#REF!</definedName>
    <definedName name="REV_12" localSheetId="2">#REF!</definedName>
    <definedName name="REV_12" localSheetId="6">#REF!</definedName>
    <definedName name="REV_12">#REF!</definedName>
    <definedName name="REV_13" localSheetId="4">#REF!</definedName>
    <definedName name="REV_13" localSheetId="7">#REF!</definedName>
    <definedName name="REV_13" localSheetId="5">#REF!</definedName>
    <definedName name="REV_13" localSheetId="2">#REF!</definedName>
    <definedName name="REV_13" localSheetId="6">#REF!</definedName>
    <definedName name="REV_13">#REF!</definedName>
    <definedName name="REV_19" localSheetId="4">#REF!</definedName>
    <definedName name="REV_19" localSheetId="7">#REF!</definedName>
    <definedName name="REV_19" localSheetId="5">#REF!</definedName>
    <definedName name="REV_19" localSheetId="2">#REF!</definedName>
    <definedName name="REV_19" localSheetId="6">#REF!</definedName>
    <definedName name="REV_19">#REF!</definedName>
    <definedName name="REV_2" localSheetId="4">#REF!</definedName>
    <definedName name="REV_2" localSheetId="7">#REF!</definedName>
    <definedName name="REV_2" localSheetId="5">#REF!</definedName>
    <definedName name="REV_2" localSheetId="2">#REF!</definedName>
    <definedName name="REV_2" localSheetId="6">#REF!</definedName>
    <definedName name="REV_2">#REF!</definedName>
    <definedName name="REV_20" localSheetId="4">#REF!</definedName>
    <definedName name="REV_20" localSheetId="7">#REF!</definedName>
    <definedName name="REV_20" localSheetId="5">#REF!</definedName>
    <definedName name="REV_20" localSheetId="2">#REF!</definedName>
    <definedName name="REV_20" localSheetId="6">#REF!</definedName>
    <definedName name="REV_20">#REF!</definedName>
    <definedName name="REV_24" localSheetId="4">#REF!</definedName>
    <definedName name="REV_24" localSheetId="7">#REF!</definedName>
    <definedName name="REV_24" localSheetId="5">#REF!</definedName>
    <definedName name="REV_24" localSheetId="2">#REF!</definedName>
    <definedName name="REV_24" localSheetId="6">#REF!</definedName>
    <definedName name="REV_24">#REF!</definedName>
    <definedName name="REV_25" localSheetId="4">#REF!</definedName>
    <definedName name="REV_25" localSheetId="7">#REF!</definedName>
    <definedName name="REV_25" localSheetId="5">#REF!</definedName>
    <definedName name="REV_25" localSheetId="2">#REF!</definedName>
    <definedName name="REV_25" localSheetId="6">#REF!</definedName>
    <definedName name="REV_25">#REF!</definedName>
    <definedName name="REV_26" localSheetId="4">#REF!</definedName>
    <definedName name="REV_26" localSheetId="7">#REF!</definedName>
    <definedName name="REV_26" localSheetId="5">#REF!</definedName>
    <definedName name="REV_26" localSheetId="2">#REF!</definedName>
    <definedName name="REV_26" localSheetId="6">#REF!</definedName>
    <definedName name="REV_26">#REF!</definedName>
    <definedName name="REV_30" localSheetId="4">#REF!</definedName>
    <definedName name="REV_30" localSheetId="7">#REF!</definedName>
    <definedName name="REV_30" localSheetId="5">#REF!</definedName>
    <definedName name="REV_30" localSheetId="2">#REF!</definedName>
    <definedName name="REV_30" localSheetId="6">#REF!</definedName>
    <definedName name="REV_30">#REF!</definedName>
    <definedName name="REV_31" localSheetId="4">#REF!</definedName>
    <definedName name="REV_31" localSheetId="7">#REF!</definedName>
    <definedName name="REV_31" localSheetId="5">#REF!</definedName>
    <definedName name="REV_31" localSheetId="2">#REF!</definedName>
    <definedName name="REV_31" localSheetId="6">#REF!</definedName>
    <definedName name="REV_31">#REF!</definedName>
    <definedName name="REV_5" localSheetId="4">#REF!</definedName>
    <definedName name="REV_5" localSheetId="7">#REF!</definedName>
    <definedName name="REV_5" localSheetId="5">#REF!</definedName>
    <definedName name="REV_5" localSheetId="2">#REF!</definedName>
    <definedName name="REV_5" localSheetId="6">#REF!</definedName>
    <definedName name="REV_5">#REF!</definedName>
    <definedName name="REV_5_2" localSheetId="4">#REF!</definedName>
    <definedName name="REV_5_2" localSheetId="7">#REF!</definedName>
    <definedName name="REV_5_2" localSheetId="5">#REF!</definedName>
    <definedName name="REV_5_2" localSheetId="2">#REF!</definedName>
    <definedName name="REV_5_2" localSheetId="6">#REF!</definedName>
    <definedName name="REV_5_2">#REF!</definedName>
    <definedName name="REV_7" localSheetId="4">#REF!</definedName>
    <definedName name="REV_7" localSheetId="7">#REF!</definedName>
    <definedName name="REV_7" localSheetId="5">#REF!</definedName>
    <definedName name="REV_7" localSheetId="2">#REF!</definedName>
    <definedName name="REV_7" localSheetId="6">#REF!</definedName>
    <definedName name="REV_7">#REF!</definedName>
    <definedName name="REV_72" localSheetId="4">#REF!</definedName>
    <definedName name="REV_72" localSheetId="7">#REF!</definedName>
    <definedName name="REV_72" localSheetId="5">#REF!</definedName>
    <definedName name="REV_72" localSheetId="2">#REF!</definedName>
    <definedName name="REV_72" localSheetId="6">#REF!</definedName>
    <definedName name="REV_72">#REF!</definedName>
    <definedName name="REV_78" localSheetId="4">#REF!</definedName>
    <definedName name="REV_78" localSheetId="7">#REF!</definedName>
    <definedName name="REV_78" localSheetId="5">#REF!</definedName>
    <definedName name="REV_78" localSheetId="2">#REF!</definedName>
    <definedName name="REV_78" localSheetId="6">#REF!</definedName>
    <definedName name="REV_78">#REF!</definedName>
    <definedName name="REV_82" localSheetId="4">#REF!</definedName>
    <definedName name="REV_82" localSheetId="7">#REF!</definedName>
    <definedName name="REV_82" localSheetId="5">#REF!</definedName>
    <definedName name="REV_82" localSheetId="2">#REF!</definedName>
    <definedName name="REV_82" localSheetId="6">#REF!</definedName>
    <definedName name="REV_82">#REF!</definedName>
    <definedName name="REV_84" localSheetId="4">#REF!</definedName>
    <definedName name="REV_84" localSheetId="7">#REF!</definedName>
    <definedName name="REV_84" localSheetId="5">#REF!</definedName>
    <definedName name="REV_84" localSheetId="2">#REF!</definedName>
    <definedName name="REV_84" localSheetId="6">#REF!</definedName>
    <definedName name="REV_84">#REF!</definedName>
    <definedName name="REV_88" localSheetId="4">#REF!</definedName>
    <definedName name="REV_88" localSheetId="7">#REF!</definedName>
    <definedName name="REV_88" localSheetId="5">#REF!</definedName>
    <definedName name="REV_88" localSheetId="2">#REF!</definedName>
    <definedName name="REV_88" localSheetId="6">#REF!</definedName>
    <definedName name="REV_88">#REF!</definedName>
    <definedName name="REV_90" localSheetId="4">#REF!</definedName>
    <definedName name="REV_90" localSheetId="7">#REF!</definedName>
    <definedName name="REV_90" localSheetId="5">#REF!</definedName>
    <definedName name="REV_90" localSheetId="2">#REF!</definedName>
    <definedName name="REV_90" localSheetId="6">#REF!</definedName>
    <definedName name="REV_90">#REF!</definedName>
    <definedName name="REV_91" localSheetId="4">#REF!</definedName>
    <definedName name="REV_91" localSheetId="7">#REF!</definedName>
    <definedName name="REV_91" localSheetId="5">#REF!</definedName>
    <definedName name="REV_91" localSheetId="2">#REF!</definedName>
    <definedName name="REV_91" localSheetId="6">#REF!</definedName>
    <definedName name="REV_91">#REF!</definedName>
    <definedName name="REV_92" localSheetId="4">#REF!</definedName>
    <definedName name="REV_92" localSheetId="7">#REF!</definedName>
    <definedName name="REV_92" localSheetId="5">#REF!</definedName>
    <definedName name="REV_92" localSheetId="2">#REF!</definedName>
    <definedName name="REV_92" localSheetId="6">#REF!</definedName>
    <definedName name="REV_92">#REF!</definedName>
    <definedName name="REV_93" localSheetId="4">#REF!</definedName>
    <definedName name="REV_93" localSheetId="7">#REF!</definedName>
    <definedName name="REV_93" localSheetId="5">#REF!</definedName>
    <definedName name="REV_93" localSheetId="2">#REF!</definedName>
    <definedName name="REV_93" localSheetId="6">#REF!</definedName>
    <definedName name="REV_93">#REF!</definedName>
    <definedName name="REV_94" localSheetId="4">#REF!</definedName>
    <definedName name="REV_94" localSheetId="7">#REF!</definedName>
    <definedName name="REV_94" localSheetId="5">#REF!</definedName>
    <definedName name="REV_94" localSheetId="2">#REF!</definedName>
    <definedName name="REV_94" localSheetId="6">#REF!</definedName>
    <definedName name="REV_94">#REF!</definedName>
    <definedName name="revaa" localSheetId="4">#REF!</definedName>
    <definedName name="revaa" localSheetId="7">#REF!</definedName>
    <definedName name="revaa" localSheetId="5">#REF!</definedName>
    <definedName name="revaa" localSheetId="2">#REF!</definedName>
    <definedName name="revaa" localSheetId="6">#REF!</definedName>
    <definedName name="revaa">#REF!</definedName>
    <definedName name="revaa_2" localSheetId="4">#REF!</definedName>
    <definedName name="revaa_2" localSheetId="7">#REF!</definedName>
    <definedName name="revaa_2" localSheetId="5">#REF!</definedName>
    <definedName name="revaa_2" localSheetId="2">#REF!</definedName>
    <definedName name="revaa_2" localSheetId="6">#REF!</definedName>
    <definedName name="revaa_2">#REF!</definedName>
    <definedName name="REVEST" localSheetId="4">#REF!</definedName>
    <definedName name="REVEST" localSheetId="7">#REF!</definedName>
    <definedName name="REVEST" localSheetId="5">#REF!</definedName>
    <definedName name="REVEST" localSheetId="2">#REF!</definedName>
    <definedName name="REVEST" localSheetId="6">#REF!</definedName>
    <definedName name="REVEST">#REF!</definedName>
    <definedName name="revisão" localSheetId="4">#REF!</definedName>
    <definedName name="revisão" localSheetId="7">#REF!</definedName>
    <definedName name="revisão" localSheetId="1">#REF!</definedName>
    <definedName name="revisão" localSheetId="5">#REF!</definedName>
    <definedName name="revisão" localSheetId="2">#REF!</definedName>
    <definedName name="revisão" localSheetId="6">#REF!</definedName>
    <definedName name="revisão">#REF!</definedName>
    <definedName name="rod" localSheetId="4">#REF!</definedName>
    <definedName name="rod" localSheetId="7">#REF!</definedName>
    <definedName name="rod" localSheetId="5">#REF!</definedName>
    <definedName name="rod" localSheetId="2">#REF!</definedName>
    <definedName name="rod" localSheetId="6">#REF!</definedName>
    <definedName name="rod">#REF!</definedName>
    <definedName name="rodovia" localSheetId="4">#REF!</definedName>
    <definedName name="rodovia" localSheetId="7">#REF!</definedName>
    <definedName name="rodovia" localSheetId="1">#REF!</definedName>
    <definedName name="rodovia" localSheetId="5">#REF!</definedName>
    <definedName name="rodovia" localSheetId="2">#REF!</definedName>
    <definedName name="rodovia" localSheetId="6">#REF!</definedName>
    <definedName name="rodovia">#REF!</definedName>
    <definedName name="rrrrrrr" localSheetId="4">#REF!</definedName>
    <definedName name="rrrrrrr" localSheetId="7">#REF!</definedName>
    <definedName name="rrrrrrr" localSheetId="5">#REF!</definedName>
    <definedName name="rrrrrrr" localSheetId="2">#REF!</definedName>
    <definedName name="rrrrrrr" localSheetId="6">#REF!</definedName>
    <definedName name="rrrrrrr">#REF!</definedName>
    <definedName name="RTC" localSheetId="4">#REF!</definedName>
    <definedName name="RTC" localSheetId="7">#REF!</definedName>
    <definedName name="RTC" localSheetId="5">#REF!</definedName>
    <definedName name="RTC" localSheetId="2">#REF!</definedName>
    <definedName name="RTC" localSheetId="6">#REF!</definedName>
    <definedName name="RTC">#REF!</definedName>
    <definedName name="RTC_2" localSheetId="4">#REF!</definedName>
    <definedName name="RTC_2" localSheetId="7">#REF!</definedName>
    <definedName name="RTC_2" localSheetId="5">#REF!</definedName>
    <definedName name="RTC_2" localSheetId="2">#REF!</definedName>
    <definedName name="RTC_2" localSheetId="6">#REF!</definedName>
    <definedName name="RTC_2">#REF!</definedName>
    <definedName name="RTE" localSheetId="4">#REF!</definedName>
    <definedName name="RTE" localSheetId="7">#REF!</definedName>
    <definedName name="RTE" localSheetId="5">#REF!</definedName>
    <definedName name="RTE" localSheetId="2">#REF!</definedName>
    <definedName name="RTE" localSheetId="6">#REF!</definedName>
    <definedName name="RTE">#REF!</definedName>
    <definedName name="RTE_2" localSheetId="4">#REF!</definedName>
    <definedName name="RTE_2" localSheetId="7">#REF!</definedName>
    <definedName name="RTE_2" localSheetId="5">#REF!</definedName>
    <definedName name="RTE_2" localSheetId="2">#REF!</definedName>
    <definedName name="RTE_2" localSheetId="6">#REF!</definedName>
    <definedName name="RTE_2">#REF!</definedName>
    <definedName name="RTP" localSheetId="4">#REF!</definedName>
    <definedName name="RTP" localSheetId="7">#REF!</definedName>
    <definedName name="RTP" localSheetId="5">#REF!</definedName>
    <definedName name="RTP" localSheetId="2">#REF!</definedName>
    <definedName name="RTP" localSheetId="6">#REF!</definedName>
    <definedName name="RTP">#REF!</definedName>
    <definedName name="RTP_2" localSheetId="4">#REF!</definedName>
    <definedName name="RTP_2" localSheetId="7">#REF!</definedName>
    <definedName name="RTP_2" localSheetId="5">#REF!</definedName>
    <definedName name="RTP_2" localSheetId="2">#REF!</definedName>
    <definedName name="RTP_2" localSheetId="6">#REF!</definedName>
    <definedName name="RTP_2">#REF!</definedName>
    <definedName name="RVM.Inst.km221" localSheetId="4">#REF!</definedName>
    <definedName name="RVM.Inst.km221" localSheetId="7">#REF!</definedName>
    <definedName name="RVM.Inst.km221" localSheetId="5">#REF!</definedName>
    <definedName name="RVM.Inst.km221" localSheetId="2">#REF!</definedName>
    <definedName name="RVM.Inst.km221" localSheetId="6">#REF!</definedName>
    <definedName name="RVM.Inst.km221">#REF!</definedName>
    <definedName name="s" localSheetId="0">#REF!</definedName>
    <definedName name="s" localSheetId="4">#REF!</definedName>
    <definedName name="s" localSheetId="7">#REF!</definedName>
    <definedName name="s" localSheetId="1">#REF!</definedName>
    <definedName name="s" localSheetId="5">#REF!</definedName>
    <definedName name="s" localSheetId="2">#REF!</definedName>
    <definedName name="s" localSheetId="6">#REF!</definedName>
    <definedName name="s">#REF!</definedName>
    <definedName name="SA_82" localSheetId="0">#REF!</definedName>
    <definedName name="SA_82" localSheetId="4">#REF!</definedName>
    <definedName name="SA_82" localSheetId="7">#REF!</definedName>
    <definedName name="SA_82" localSheetId="5">#REF!</definedName>
    <definedName name="SA_82" localSheetId="2">#REF!</definedName>
    <definedName name="SA_82" localSheetId="6">#REF!</definedName>
    <definedName name="SA_82">#REF!</definedName>
    <definedName name="Saldo" localSheetId="0">#REF!</definedName>
    <definedName name="Saldo" localSheetId="4">#REF!</definedName>
    <definedName name="Saldo" localSheetId="7">#REF!</definedName>
    <definedName name="Saldo" localSheetId="5">#REF!</definedName>
    <definedName name="Saldo" localSheetId="2">#REF!</definedName>
    <definedName name="Saldo" localSheetId="6">#REF!</definedName>
    <definedName name="Saldo">#REF!</definedName>
    <definedName name="Saldo_Actual" localSheetId="0">#REF!</definedName>
    <definedName name="Saldo_Actual" localSheetId="4">#REF!</definedName>
    <definedName name="Saldo_Actual" localSheetId="7">#REF!</definedName>
    <definedName name="Saldo_Actual" localSheetId="5">#REF!</definedName>
    <definedName name="Saldo_Actual" localSheetId="2">#REF!</definedName>
    <definedName name="Saldo_Actual" localSheetId="6">#REF!</definedName>
    <definedName name="Saldo_Actual">#REF!</definedName>
    <definedName name="Saldo_Inicial" localSheetId="0">#REF!</definedName>
    <definedName name="Saldo_Inicial" localSheetId="4">#REF!</definedName>
    <definedName name="Saldo_Inicial" localSheetId="7">#REF!</definedName>
    <definedName name="Saldo_Inicial" localSheetId="5">#REF!</definedName>
    <definedName name="Saldo_Inicial" localSheetId="2">#REF!</definedName>
    <definedName name="Saldo_Inicial" localSheetId="6">#REF!</definedName>
    <definedName name="Saldo_Inicial">#REF!</definedName>
    <definedName name="Sale" localSheetId="0">#REF!</definedName>
    <definedName name="Sale" localSheetId="4">#REF!</definedName>
    <definedName name="Sale" localSheetId="7">#REF!</definedName>
    <definedName name="Sale" localSheetId="5">#REF!</definedName>
    <definedName name="Sale" localSheetId="2">#REF!</definedName>
    <definedName name="Sale" localSheetId="6">#REF!</definedName>
    <definedName name="Sale">#REF!</definedName>
    <definedName name="SANCHES" localSheetId="0">#REF!</definedName>
    <definedName name="SANCHES" localSheetId="4">#REF!</definedName>
    <definedName name="SANCHES" localSheetId="7">#REF!</definedName>
    <definedName name="SANCHES" localSheetId="5">#REF!</definedName>
    <definedName name="SANCHES" localSheetId="2">#REF!</definedName>
    <definedName name="SANCHES" localSheetId="6">#REF!</definedName>
    <definedName name="SANCHES">#REF!</definedName>
    <definedName name="SantoHélcio" localSheetId="4">#REF!</definedName>
    <definedName name="SantoHélcio" localSheetId="7">#REF!</definedName>
    <definedName name="SantoHélcio" localSheetId="5">#REF!</definedName>
    <definedName name="SantoHélcio" localSheetId="2">#REF!</definedName>
    <definedName name="SantoHélcio" localSheetId="6">#REF!</definedName>
    <definedName name="SantoHélcio">#REF!</definedName>
    <definedName name="sapata" localSheetId="4">#REF!</definedName>
    <definedName name="sapata" localSheetId="7">#REF!</definedName>
    <definedName name="sapata" localSheetId="5">#REF!</definedName>
    <definedName name="sapata" localSheetId="2">#REF!</definedName>
    <definedName name="sapata" localSheetId="6">#REF!</definedName>
    <definedName name="sapata">#REF!</definedName>
    <definedName name="SDA" localSheetId="4">#REF!</definedName>
    <definedName name="SDA" localSheetId="7">#REF!</definedName>
    <definedName name="SDA" localSheetId="5">#REF!</definedName>
    <definedName name="SDA" localSheetId="2">#REF!</definedName>
    <definedName name="SDA" localSheetId="6">#REF!</definedName>
    <definedName name="SDA">#REF!</definedName>
    <definedName name="SDA_2" localSheetId="4">#REF!</definedName>
    <definedName name="SDA_2" localSheetId="7">#REF!</definedName>
    <definedName name="SDA_2" localSheetId="5">#REF!</definedName>
    <definedName name="SDA_2" localSheetId="2">#REF!</definedName>
    <definedName name="SDA_2" localSheetId="6">#REF!</definedName>
    <definedName name="SDA_2">#REF!</definedName>
    <definedName name="sdasd" localSheetId="4">#REF!</definedName>
    <definedName name="sdasd" localSheetId="7">#REF!</definedName>
    <definedName name="sdasd" localSheetId="5">#REF!</definedName>
    <definedName name="sdasd" localSheetId="2">#REF!</definedName>
    <definedName name="sdasd" localSheetId="6">#REF!</definedName>
    <definedName name="sdasd">#REF!</definedName>
    <definedName name="SE2_2" localSheetId="4">#REF!</definedName>
    <definedName name="SE2_2" localSheetId="7">#REF!</definedName>
    <definedName name="SE2_2" localSheetId="5">#REF!</definedName>
    <definedName name="SE2_2" localSheetId="2">#REF!</definedName>
    <definedName name="SE2_2" localSheetId="6">#REF!</definedName>
    <definedName name="SE2_2">#REF!</definedName>
    <definedName name="SE2_5" localSheetId="4">#REF!</definedName>
    <definedName name="SE2_5" localSheetId="7">#REF!</definedName>
    <definedName name="SE2_5" localSheetId="5">#REF!</definedName>
    <definedName name="SE2_5" localSheetId="2">#REF!</definedName>
    <definedName name="SE2_5" localSheetId="6">#REF!</definedName>
    <definedName name="SE2_5">#REF!</definedName>
    <definedName name="SE2_5_2" localSheetId="4">#REF!</definedName>
    <definedName name="SE2_5_2" localSheetId="7">#REF!</definedName>
    <definedName name="SE2_5_2" localSheetId="5">#REF!</definedName>
    <definedName name="SE2_5_2" localSheetId="2">#REF!</definedName>
    <definedName name="SE2_5_2" localSheetId="6">#REF!</definedName>
    <definedName name="SE2_5_2">#REF!</definedName>
    <definedName name="SEG" localSheetId="0">#REF!</definedName>
    <definedName name="SEG" localSheetId="4">#REF!</definedName>
    <definedName name="SEG" localSheetId="7">#REF!</definedName>
    <definedName name="SEG" localSheetId="5">#REF!</definedName>
    <definedName name="SEG" localSheetId="2">#REF!</definedName>
    <definedName name="SEG" localSheetId="6">#REF!</definedName>
    <definedName name="SEG">#REF!</definedName>
    <definedName name="SEG_12" localSheetId="4">#REF!</definedName>
    <definedName name="SEG_12" localSheetId="7">#REF!</definedName>
    <definedName name="SEG_12" localSheetId="5">#REF!</definedName>
    <definedName name="SEG_12" localSheetId="2">#REF!</definedName>
    <definedName name="SEG_12" localSheetId="6">#REF!</definedName>
    <definedName name="SEG_12">#REF!</definedName>
    <definedName name="SEG_13" localSheetId="4">#REF!</definedName>
    <definedName name="SEG_13" localSheetId="7">#REF!</definedName>
    <definedName name="SEG_13" localSheetId="5">#REF!</definedName>
    <definedName name="SEG_13" localSheetId="2">#REF!</definedName>
    <definedName name="SEG_13" localSheetId="6">#REF!</definedName>
    <definedName name="SEG_13">#REF!</definedName>
    <definedName name="SEG_19" localSheetId="4">#REF!</definedName>
    <definedName name="SEG_19" localSheetId="7">#REF!</definedName>
    <definedName name="SEG_19" localSheetId="5">#REF!</definedName>
    <definedName name="SEG_19" localSheetId="2">#REF!</definedName>
    <definedName name="SEG_19" localSheetId="6">#REF!</definedName>
    <definedName name="SEG_19">#REF!</definedName>
    <definedName name="SEG_2" localSheetId="4">#REF!</definedName>
    <definedName name="SEG_2" localSheetId="7">#REF!</definedName>
    <definedName name="SEG_2" localSheetId="5">#REF!</definedName>
    <definedName name="SEG_2" localSheetId="2">#REF!</definedName>
    <definedName name="SEG_2" localSheetId="6">#REF!</definedName>
    <definedName name="SEG_2">#REF!</definedName>
    <definedName name="SEG_20" localSheetId="4">#REF!</definedName>
    <definedName name="SEG_20" localSheetId="7">#REF!</definedName>
    <definedName name="SEG_20" localSheetId="5">#REF!</definedName>
    <definedName name="SEG_20" localSheetId="2">#REF!</definedName>
    <definedName name="SEG_20" localSheetId="6">#REF!</definedName>
    <definedName name="SEG_20">#REF!</definedName>
    <definedName name="SEG_24" localSheetId="4">#REF!</definedName>
    <definedName name="SEG_24" localSheetId="7">#REF!</definedName>
    <definedName name="SEG_24" localSheetId="5">#REF!</definedName>
    <definedName name="SEG_24" localSheetId="2">#REF!</definedName>
    <definedName name="SEG_24" localSheetId="6">#REF!</definedName>
    <definedName name="SEG_24">#REF!</definedName>
    <definedName name="SEG_25" localSheetId="4">#REF!</definedName>
    <definedName name="SEG_25" localSheetId="7">#REF!</definedName>
    <definedName name="SEG_25" localSheetId="5">#REF!</definedName>
    <definedName name="SEG_25" localSheetId="2">#REF!</definedName>
    <definedName name="SEG_25" localSheetId="6">#REF!</definedName>
    <definedName name="SEG_25">#REF!</definedName>
    <definedName name="SEG_26" localSheetId="4">#REF!</definedName>
    <definedName name="SEG_26" localSheetId="7">#REF!</definedName>
    <definedName name="SEG_26" localSheetId="5">#REF!</definedName>
    <definedName name="SEG_26" localSheetId="2">#REF!</definedName>
    <definedName name="SEG_26" localSheetId="6">#REF!</definedName>
    <definedName name="SEG_26">#REF!</definedName>
    <definedName name="SEG_30" localSheetId="4">#REF!</definedName>
    <definedName name="SEG_30" localSheetId="7">#REF!</definedName>
    <definedName name="SEG_30" localSheetId="5">#REF!</definedName>
    <definedName name="SEG_30" localSheetId="2">#REF!</definedName>
    <definedName name="SEG_30" localSheetId="6">#REF!</definedName>
    <definedName name="SEG_30">#REF!</definedName>
    <definedName name="SEG_31" localSheetId="4">#REF!</definedName>
    <definedName name="SEG_31" localSheetId="7">#REF!</definedName>
    <definedName name="SEG_31" localSheetId="5">#REF!</definedName>
    <definedName name="SEG_31" localSheetId="2">#REF!</definedName>
    <definedName name="SEG_31" localSheetId="6">#REF!</definedName>
    <definedName name="SEG_31">#REF!</definedName>
    <definedName name="SEG_5" localSheetId="4">#REF!</definedName>
    <definedName name="SEG_5" localSheetId="7">#REF!</definedName>
    <definedName name="SEG_5" localSheetId="5">#REF!</definedName>
    <definedName name="SEG_5" localSheetId="2">#REF!</definedName>
    <definedName name="SEG_5" localSheetId="6">#REF!</definedName>
    <definedName name="SEG_5">#REF!</definedName>
    <definedName name="SEG_5_2" localSheetId="4">#REF!</definedName>
    <definedName name="SEG_5_2" localSheetId="7">#REF!</definedName>
    <definedName name="SEG_5_2" localSheetId="5">#REF!</definedName>
    <definedName name="SEG_5_2" localSheetId="2">#REF!</definedName>
    <definedName name="SEG_5_2" localSheetId="6">#REF!</definedName>
    <definedName name="SEG_5_2">#REF!</definedName>
    <definedName name="SEG_7" localSheetId="4">#REF!</definedName>
    <definedName name="SEG_7" localSheetId="7">#REF!</definedName>
    <definedName name="SEG_7" localSheetId="5">#REF!</definedName>
    <definedName name="SEG_7" localSheetId="2">#REF!</definedName>
    <definedName name="SEG_7" localSheetId="6">#REF!</definedName>
    <definedName name="SEG_7">#REF!</definedName>
    <definedName name="SEG_72" localSheetId="4">#REF!</definedName>
    <definedName name="SEG_72" localSheetId="7">#REF!</definedName>
    <definedName name="SEG_72" localSheetId="5">#REF!</definedName>
    <definedName name="SEG_72" localSheetId="2">#REF!</definedName>
    <definedName name="SEG_72" localSheetId="6">#REF!</definedName>
    <definedName name="SEG_72">#REF!</definedName>
    <definedName name="SEG_78" localSheetId="4">#REF!</definedName>
    <definedName name="SEG_78" localSheetId="7">#REF!</definedName>
    <definedName name="SEG_78" localSheetId="5">#REF!</definedName>
    <definedName name="SEG_78" localSheetId="2">#REF!</definedName>
    <definedName name="SEG_78" localSheetId="6">#REF!</definedName>
    <definedName name="SEG_78">#REF!</definedName>
    <definedName name="SEG_82" localSheetId="4">#REF!</definedName>
    <definedName name="SEG_82" localSheetId="7">#REF!</definedName>
    <definedName name="SEG_82" localSheetId="5">#REF!</definedName>
    <definedName name="SEG_82" localSheetId="2">#REF!</definedName>
    <definedName name="SEG_82" localSheetId="6">#REF!</definedName>
    <definedName name="SEG_82">#REF!</definedName>
    <definedName name="SEG_84" localSheetId="4">#REF!</definedName>
    <definedName name="SEG_84" localSheetId="7">#REF!</definedName>
    <definedName name="SEG_84" localSheetId="5">#REF!</definedName>
    <definedName name="SEG_84" localSheetId="2">#REF!</definedName>
    <definedName name="SEG_84" localSheetId="6">#REF!</definedName>
    <definedName name="SEG_84">#REF!</definedName>
    <definedName name="SEG_88" localSheetId="4">#REF!</definedName>
    <definedName name="SEG_88" localSheetId="7">#REF!</definedName>
    <definedName name="SEG_88" localSheetId="5">#REF!</definedName>
    <definedName name="SEG_88" localSheetId="2">#REF!</definedName>
    <definedName name="SEG_88" localSheetId="6">#REF!</definedName>
    <definedName name="SEG_88">#REF!</definedName>
    <definedName name="SEG_90" localSheetId="4">#REF!</definedName>
    <definedName name="SEG_90" localSheetId="7">#REF!</definedName>
    <definedName name="SEG_90" localSheetId="5">#REF!</definedName>
    <definedName name="SEG_90" localSheetId="2">#REF!</definedName>
    <definedName name="SEG_90" localSheetId="6">#REF!</definedName>
    <definedName name="SEG_90">#REF!</definedName>
    <definedName name="SEG_91" localSheetId="4">#REF!</definedName>
    <definedName name="SEG_91" localSheetId="7">#REF!</definedName>
    <definedName name="SEG_91" localSheetId="5">#REF!</definedName>
    <definedName name="SEG_91" localSheetId="2">#REF!</definedName>
    <definedName name="SEG_91" localSheetId="6">#REF!</definedName>
    <definedName name="SEG_91">#REF!</definedName>
    <definedName name="SEG_92" localSheetId="4">#REF!</definedName>
    <definedName name="SEG_92" localSheetId="7">#REF!</definedName>
    <definedName name="SEG_92" localSheetId="5">#REF!</definedName>
    <definedName name="SEG_92" localSheetId="2">#REF!</definedName>
    <definedName name="SEG_92" localSheetId="6">#REF!</definedName>
    <definedName name="SEG_92">#REF!</definedName>
    <definedName name="SEG_93" localSheetId="4">#REF!</definedName>
    <definedName name="SEG_93" localSheetId="7">#REF!</definedName>
    <definedName name="SEG_93" localSheetId="5">#REF!</definedName>
    <definedName name="SEG_93" localSheetId="2">#REF!</definedName>
    <definedName name="SEG_93" localSheetId="6">#REF!</definedName>
    <definedName name="SEG_93">#REF!</definedName>
    <definedName name="SEG_94" localSheetId="4">#REF!</definedName>
    <definedName name="SEG_94" localSheetId="7">#REF!</definedName>
    <definedName name="SEG_94" localSheetId="5">#REF!</definedName>
    <definedName name="SEG_94" localSheetId="2">#REF!</definedName>
    <definedName name="SEG_94" localSheetId="6">#REF!</definedName>
    <definedName name="SEG_94">#REF!</definedName>
    <definedName name="segaa" localSheetId="4">#REF!</definedName>
    <definedName name="segaa" localSheetId="7">#REF!</definedName>
    <definedName name="segaa" localSheetId="5">#REF!</definedName>
    <definedName name="segaa" localSheetId="2">#REF!</definedName>
    <definedName name="segaa" localSheetId="6">#REF!</definedName>
    <definedName name="segaa">#REF!</definedName>
    <definedName name="segaa_2" localSheetId="4">#REF!</definedName>
    <definedName name="segaa_2" localSheetId="7">#REF!</definedName>
    <definedName name="segaa_2" localSheetId="5">#REF!</definedName>
    <definedName name="segaa_2" localSheetId="2">#REF!</definedName>
    <definedName name="segaa_2" localSheetId="6">#REF!</definedName>
    <definedName name="segaa_2">#REF!</definedName>
    <definedName name="serv" localSheetId="4">#REF!</definedName>
    <definedName name="serv" localSheetId="7">#REF!</definedName>
    <definedName name="serv" localSheetId="5">#REF!</definedName>
    <definedName name="serv" localSheetId="2">#REF!</definedName>
    <definedName name="serv" localSheetId="6">#REF!</definedName>
    <definedName name="serv">#REF!</definedName>
    <definedName name="SERV1" localSheetId="4">#REF!</definedName>
    <definedName name="SERV1" localSheetId="7">#REF!</definedName>
    <definedName name="SERV1" localSheetId="5">#REF!</definedName>
    <definedName name="SERV1" localSheetId="2">#REF!</definedName>
    <definedName name="SERV1" localSheetId="6">#REF!</definedName>
    <definedName name="SERV1">#REF!</definedName>
    <definedName name="SERV2" localSheetId="4">#REF!</definedName>
    <definedName name="SERV2" localSheetId="7">#REF!</definedName>
    <definedName name="SERV2" localSheetId="5">#REF!</definedName>
    <definedName name="SERV2" localSheetId="2">#REF!</definedName>
    <definedName name="SERV2" localSheetId="6">#REF!</definedName>
    <definedName name="SERV2">#REF!</definedName>
    <definedName name="SERV3" localSheetId="4">#REF!</definedName>
    <definedName name="SERV3" localSheetId="7">#REF!</definedName>
    <definedName name="SERV3" localSheetId="5">#REF!</definedName>
    <definedName name="SERV3" localSheetId="2">#REF!</definedName>
    <definedName name="SERV3" localSheetId="6">#REF!</definedName>
    <definedName name="SERV3">#REF!</definedName>
    <definedName name="Serviço" localSheetId="0">#REF!</definedName>
    <definedName name="Serviço" localSheetId="4">#REF!</definedName>
    <definedName name="Serviço" localSheetId="7">#REF!</definedName>
    <definedName name="Serviço" localSheetId="5">#REF!</definedName>
    <definedName name="Serviço" localSheetId="2">#REF!</definedName>
    <definedName name="Serviço" localSheetId="6">#REF!</definedName>
    <definedName name="Serviço">#REF!</definedName>
    <definedName name="serviços_de_proteção_ao_meio_ambiente" localSheetId="4">#REF!</definedName>
    <definedName name="serviços_de_proteção_ao_meio_ambiente" localSheetId="7">#REF!</definedName>
    <definedName name="serviços_de_proteção_ao_meio_ambiente" localSheetId="5">#REF!</definedName>
    <definedName name="serviços_de_proteção_ao_meio_ambiente" localSheetId="2">#REF!</definedName>
    <definedName name="serviços_de_proteção_ao_meio_ambiente" localSheetId="6">#REF!</definedName>
    <definedName name="serviços_de_proteção_ao_meio_ambiente">#REF!</definedName>
    <definedName name="serviços_de_proteção_ao_meio_ambiente_2" localSheetId="4">#REF!</definedName>
    <definedName name="serviços_de_proteção_ao_meio_ambiente_2" localSheetId="7">#REF!</definedName>
    <definedName name="serviços_de_proteção_ao_meio_ambiente_2" localSheetId="5">#REF!</definedName>
    <definedName name="serviços_de_proteção_ao_meio_ambiente_2" localSheetId="2">#REF!</definedName>
    <definedName name="serviços_de_proteção_ao_meio_ambiente_2" localSheetId="6">#REF!</definedName>
    <definedName name="serviços_de_proteção_ao_meio_ambiente_2">#REF!</definedName>
    <definedName name="serviços_preliminares" localSheetId="4">#REF!</definedName>
    <definedName name="serviços_preliminares" localSheetId="7">#REF!</definedName>
    <definedName name="serviços_preliminares" localSheetId="5">#REF!</definedName>
    <definedName name="serviços_preliminares" localSheetId="2">#REF!</definedName>
    <definedName name="serviços_preliminares" localSheetId="6">#REF!</definedName>
    <definedName name="serviços_preliminares">#REF!</definedName>
    <definedName name="serviços_preliminares_2" localSheetId="4">#REF!</definedName>
    <definedName name="serviços_preliminares_2" localSheetId="7">#REF!</definedName>
    <definedName name="serviços_preliminares_2" localSheetId="5">#REF!</definedName>
    <definedName name="serviços_preliminares_2" localSheetId="2">#REF!</definedName>
    <definedName name="serviços_preliminares_2" localSheetId="6">#REF!</definedName>
    <definedName name="serviços_preliminares_2">#REF!</definedName>
    <definedName name="serviços_terceirizados" localSheetId="4">#REF!</definedName>
    <definedName name="serviços_terceirizados" localSheetId="7">#REF!</definedName>
    <definedName name="serviços_terceirizados" localSheetId="5">#REF!</definedName>
    <definedName name="serviços_terceirizados" localSheetId="2">#REF!</definedName>
    <definedName name="serviços_terceirizados" localSheetId="6">#REF!</definedName>
    <definedName name="serviços_terceirizados">#REF!</definedName>
    <definedName name="serviços_terceirizados_2" localSheetId="4">#REF!</definedName>
    <definedName name="serviços_terceirizados_2" localSheetId="7">#REF!</definedName>
    <definedName name="serviços_terceirizados_2" localSheetId="5">#REF!</definedName>
    <definedName name="serviços_terceirizados_2" localSheetId="2">#REF!</definedName>
    <definedName name="serviços_terceirizados_2" localSheetId="6">#REF!</definedName>
    <definedName name="serviços_terceirizados_2">#REF!</definedName>
    <definedName name="SIH" localSheetId="0">#REF!</definedName>
    <definedName name="SIH" localSheetId="4">#REF!</definedName>
    <definedName name="SIH" localSheetId="7">#REF!</definedName>
    <definedName name="SIH" localSheetId="5">#REF!</definedName>
    <definedName name="SIH" localSheetId="2">#REF!</definedName>
    <definedName name="SIH" localSheetId="6">#REF!</definedName>
    <definedName name="SIH">#REF!</definedName>
    <definedName name="SIH_12" localSheetId="4">#REF!</definedName>
    <definedName name="SIH_12" localSheetId="7">#REF!</definedName>
    <definedName name="SIH_12" localSheetId="5">#REF!</definedName>
    <definedName name="SIH_12" localSheetId="2">#REF!</definedName>
    <definedName name="SIH_12" localSheetId="6">#REF!</definedName>
    <definedName name="SIH_12">#REF!</definedName>
    <definedName name="SIH_13" localSheetId="4">#REF!</definedName>
    <definedName name="SIH_13" localSheetId="7">#REF!</definedName>
    <definedName name="SIH_13" localSheetId="5">#REF!</definedName>
    <definedName name="SIH_13" localSheetId="2">#REF!</definedName>
    <definedName name="SIH_13" localSheetId="6">#REF!</definedName>
    <definedName name="SIH_13">#REF!</definedName>
    <definedName name="SIH_19" localSheetId="4">#REF!</definedName>
    <definedName name="SIH_19" localSheetId="7">#REF!</definedName>
    <definedName name="SIH_19" localSheetId="5">#REF!</definedName>
    <definedName name="SIH_19" localSheetId="2">#REF!</definedName>
    <definedName name="SIH_19" localSheetId="6">#REF!</definedName>
    <definedName name="SIH_19">#REF!</definedName>
    <definedName name="SIH_2" localSheetId="4">#REF!</definedName>
    <definedName name="SIH_2" localSheetId="7">#REF!</definedName>
    <definedName name="SIH_2" localSheetId="5">#REF!</definedName>
    <definedName name="SIH_2" localSheetId="2">#REF!</definedName>
    <definedName name="SIH_2" localSheetId="6">#REF!</definedName>
    <definedName name="SIH_2">#REF!</definedName>
    <definedName name="SIH_20" localSheetId="4">#REF!</definedName>
    <definedName name="SIH_20" localSheetId="7">#REF!</definedName>
    <definedName name="SIH_20" localSheetId="5">#REF!</definedName>
    <definedName name="SIH_20" localSheetId="2">#REF!</definedName>
    <definedName name="SIH_20" localSheetId="6">#REF!</definedName>
    <definedName name="SIH_20">#REF!</definedName>
    <definedName name="SIH_24" localSheetId="4">#REF!</definedName>
    <definedName name="SIH_24" localSheetId="7">#REF!</definedName>
    <definedName name="SIH_24" localSheetId="5">#REF!</definedName>
    <definedName name="SIH_24" localSheetId="2">#REF!</definedName>
    <definedName name="SIH_24" localSheetId="6">#REF!</definedName>
    <definedName name="SIH_24">#REF!</definedName>
    <definedName name="SIH_25" localSheetId="4">#REF!</definedName>
    <definedName name="SIH_25" localSheetId="7">#REF!</definedName>
    <definedName name="SIH_25" localSheetId="5">#REF!</definedName>
    <definedName name="SIH_25" localSheetId="2">#REF!</definedName>
    <definedName name="SIH_25" localSheetId="6">#REF!</definedName>
    <definedName name="SIH_25">#REF!</definedName>
    <definedName name="SIH_26" localSheetId="4">#REF!</definedName>
    <definedName name="SIH_26" localSheetId="7">#REF!</definedName>
    <definedName name="SIH_26" localSheetId="5">#REF!</definedName>
    <definedName name="SIH_26" localSheetId="2">#REF!</definedName>
    <definedName name="SIH_26" localSheetId="6">#REF!</definedName>
    <definedName name="SIH_26">#REF!</definedName>
    <definedName name="SIH_30" localSheetId="4">#REF!</definedName>
    <definedName name="SIH_30" localSheetId="7">#REF!</definedName>
    <definedName name="SIH_30" localSheetId="5">#REF!</definedName>
    <definedName name="SIH_30" localSheetId="2">#REF!</definedName>
    <definedName name="SIH_30" localSheetId="6">#REF!</definedName>
    <definedName name="SIH_30">#REF!</definedName>
    <definedName name="SIH_31" localSheetId="4">#REF!</definedName>
    <definedName name="SIH_31" localSheetId="7">#REF!</definedName>
    <definedName name="SIH_31" localSheetId="5">#REF!</definedName>
    <definedName name="SIH_31" localSheetId="2">#REF!</definedName>
    <definedName name="SIH_31" localSheetId="6">#REF!</definedName>
    <definedName name="SIH_31">#REF!</definedName>
    <definedName name="SIH_5" localSheetId="4">#REF!</definedName>
    <definedName name="SIH_5" localSheetId="7">#REF!</definedName>
    <definedName name="SIH_5" localSheetId="5">#REF!</definedName>
    <definedName name="SIH_5" localSheetId="2">#REF!</definedName>
    <definedName name="SIH_5" localSheetId="6">#REF!</definedName>
    <definedName name="SIH_5">#REF!</definedName>
    <definedName name="SIH_5_2" localSheetId="4">#REF!</definedName>
    <definedName name="SIH_5_2" localSheetId="7">#REF!</definedName>
    <definedName name="SIH_5_2" localSheetId="5">#REF!</definedName>
    <definedName name="SIH_5_2" localSheetId="2">#REF!</definedName>
    <definedName name="SIH_5_2" localSheetId="6">#REF!</definedName>
    <definedName name="SIH_5_2">#REF!</definedName>
    <definedName name="SIH_7" localSheetId="4">#REF!</definedName>
    <definedName name="SIH_7" localSheetId="7">#REF!</definedName>
    <definedName name="SIH_7" localSheetId="5">#REF!</definedName>
    <definedName name="SIH_7" localSheetId="2">#REF!</definedName>
    <definedName name="SIH_7" localSheetId="6">#REF!</definedName>
    <definedName name="SIH_7">#REF!</definedName>
    <definedName name="SIH_72" localSheetId="4">#REF!</definedName>
    <definedName name="SIH_72" localSheetId="7">#REF!</definedName>
    <definedName name="SIH_72" localSheetId="5">#REF!</definedName>
    <definedName name="SIH_72" localSheetId="2">#REF!</definedName>
    <definedName name="SIH_72" localSheetId="6">#REF!</definedName>
    <definedName name="SIH_72">#REF!</definedName>
    <definedName name="SIH_78" localSheetId="4">#REF!</definedName>
    <definedName name="SIH_78" localSheetId="7">#REF!</definedName>
    <definedName name="SIH_78" localSheetId="5">#REF!</definedName>
    <definedName name="SIH_78" localSheetId="2">#REF!</definedName>
    <definedName name="SIH_78" localSheetId="6">#REF!</definedName>
    <definedName name="SIH_78">#REF!</definedName>
    <definedName name="SIH_82" localSheetId="4">#REF!</definedName>
    <definedName name="SIH_82" localSheetId="7">#REF!</definedName>
    <definedName name="SIH_82" localSheetId="5">#REF!</definedName>
    <definedName name="SIH_82" localSheetId="2">#REF!</definedName>
    <definedName name="SIH_82" localSheetId="6">#REF!</definedName>
    <definedName name="SIH_82">#REF!</definedName>
    <definedName name="SIH_84" localSheetId="4">#REF!</definedName>
    <definedName name="SIH_84" localSheetId="7">#REF!</definedName>
    <definedName name="SIH_84" localSheetId="5">#REF!</definedName>
    <definedName name="SIH_84" localSheetId="2">#REF!</definedName>
    <definedName name="SIH_84" localSheetId="6">#REF!</definedName>
    <definedName name="SIH_84">#REF!</definedName>
    <definedName name="SIH_88" localSheetId="4">#REF!</definedName>
    <definedName name="SIH_88" localSheetId="7">#REF!</definedName>
    <definedName name="SIH_88" localSheetId="5">#REF!</definedName>
    <definedName name="SIH_88" localSheetId="2">#REF!</definedName>
    <definedName name="SIH_88" localSheetId="6">#REF!</definedName>
    <definedName name="SIH_88">#REF!</definedName>
    <definedName name="SIH_90" localSheetId="4">#REF!</definedName>
    <definedName name="SIH_90" localSheetId="7">#REF!</definedName>
    <definedName name="SIH_90" localSheetId="5">#REF!</definedName>
    <definedName name="SIH_90" localSheetId="2">#REF!</definedName>
    <definedName name="SIH_90" localSheetId="6">#REF!</definedName>
    <definedName name="SIH_90">#REF!</definedName>
    <definedName name="SIH_91" localSheetId="4">#REF!</definedName>
    <definedName name="SIH_91" localSheetId="7">#REF!</definedName>
    <definedName name="SIH_91" localSheetId="5">#REF!</definedName>
    <definedName name="SIH_91" localSheetId="2">#REF!</definedName>
    <definedName name="SIH_91" localSheetId="6">#REF!</definedName>
    <definedName name="SIH_91">#REF!</definedName>
    <definedName name="SIH_92" localSheetId="4">#REF!</definedName>
    <definedName name="SIH_92" localSheetId="7">#REF!</definedName>
    <definedName name="SIH_92" localSheetId="5">#REF!</definedName>
    <definedName name="SIH_92" localSheetId="2">#REF!</definedName>
    <definedName name="SIH_92" localSheetId="6">#REF!</definedName>
    <definedName name="SIH_92">#REF!</definedName>
    <definedName name="SIH_93" localSheetId="4">#REF!</definedName>
    <definedName name="SIH_93" localSheetId="7">#REF!</definedName>
    <definedName name="SIH_93" localSheetId="5">#REF!</definedName>
    <definedName name="SIH_93" localSheetId="2">#REF!</definedName>
    <definedName name="SIH_93" localSheetId="6">#REF!</definedName>
    <definedName name="SIH_93">#REF!</definedName>
    <definedName name="SIH_94" localSheetId="4">#REF!</definedName>
    <definedName name="SIH_94" localSheetId="7">#REF!</definedName>
    <definedName name="SIH_94" localSheetId="5">#REF!</definedName>
    <definedName name="SIH_94" localSheetId="2">#REF!</definedName>
    <definedName name="SIH_94" localSheetId="6">#REF!</definedName>
    <definedName name="SIH_94">#REF!</definedName>
    <definedName name="sihaa" localSheetId="4">#REF!</definedName>
    <definedName name="sihaa" localSheetId="7">#REF!</definedName>
    <definedName name="sihaa" localSheetId="5">#REF!</definedName>
    <definedName name="sihaa" localSheetId="2">#REF!</definedName>
    <definedName name="sihaa" localSheetId="6">#REF!</definedName>
    <definedName name="sihaa">#REF!</definedName>
    <definedName name="sihaa_2" localSheetId="4">#REF!</definedName>
    <definedName name="sihaa_2" localSheetId="7">#REF!</definedName>
    <definedName name="sihaa_2" localSheetId="5">#REF!</definedName>
    <definedName name="sihaa_2" localSheetId="2">#REF!</definedName>
    <definedName name="sihaa_2" localSheetId="6">#REF!</definedName>
    <definedName name="sihaa_2">#REF!</definedName>
    <definedName name="SINAL" localSheetId="4">#REF!</definedName>
    <definedName name="SINAL" localSheetId="7">#REF!</definedName>
    <definedName name="SINAL" localSheetId="5">#REF!</definedName>
    <definedName name="SINAL" localSheetId="2">#REF!</definedName>
    <definedName name="SINAL" localSheetId="6">#REF!</definedName>
    <definedName name="SINAL">#REF!</definedName>
    <definedName name="sinalização_e_elementos_de_segurança" localSheetId="4">#REF!</definedName>
    <definedName name="sinalização_e_elementos_de_segurança" localSheetId="7">#REF!</definedName>
    <definedName name="sinalização_e_elementos_de_segurança" localSheetId="5">#REF!</definedName>
    <definedName name="sinalização_e_elementos_de_segurança" localSheetId="2">#REF!</definedName>
    <definedName name="sinalização_e_elementos_de_segurança" localSheetId="6">#REF!</definedName>
    <definedName name="sinalização_e_elementos_de_segurança">#REF!</definedName>
    <definedName name="sinalização_e_elementos_de_segurança_2" localSheetId="4">#REF!</definedName>
    <definedName name="sinalização_e_elementos_de_segurança_2" localSheetId="7">#REF!</definedName>
    <definedName name="sinalização_e_elementos_de_segurança_2" localSheetId="5">#REF!</definedName>
    <definedName name="sinalização_e_elementos_de_segurança_2" localSheetId="2">#REF!</definedName>
    <definedName name="sinalização_e_elementos_de_segurança_2" localSheetId="6">#REF!</definedName>
    <definedName name="sinalização_e_elementos_de_segurança_2">#REF!</definedName>
    <definedName name="SIV" localSheetId="0">#REF!</definedName>
    <definedName name="SIV" localSheetId="4">#REF!</definedName>
    <definedName name="SIV" localSheetId="7">#REF!</definedName>
    <definedName name="SIV" localSheetId="5">#REF!</definedName>
    <definedName name="SIV" localSheetId="2">#REF!</definedName>
    <definedName name="SIV" localSheetId="6">#REF!</definedName>
    <definedName name="SIV">#REF!</definedName>
    <definedName name="SIV_12" localSheetId="4">#REF!</definedName>
    <definedName name="SIV_12" localSheetId="7">#REF!</definedName>
    <definedName name="SIV_12" localSheetId="5">#REF!</definedName>
    <definedName name="SIV_12" localSheetId="2">#REF!</definedName>
    <definedName name="SIV_12" localSheetId="6">#REF!</definedName>
    <definedName name="SIV_12">#REF!</definedName>
    <definedName name="SIV_13" localSheetId="4">#REF!</definedName>
    <definedName name="SIV_13" localSheetId="7">#REF!</definedName>
    <definedName name="SIV_13" localSheetId="5">#REF!</definedName>
    <definedName name="SIV_13" localSheetId="2">#REF!</definedName>
    <definedName name="SIV_13" localSheetId="6">#REF!</definedName>
    <definedName name="SIV_13">#REF!</definedName>
    <definedName name="SIV_19" localSheetId="4">#REF!</definedName>
    <definedName name="SIV_19" localSheetId="7">#REF!</definedName>
    <definedName name="SIV_19" localSheetId="5">#REF!</definedName>
    <definedName name="SIV_19" localSheetId="2">#REF!</definedName>
    <definedName name="SIV_19" localSheetId="6">#REF!</definedName>
    <definedName name="SIV_19">#REF!</definedName>
    <definedName name="SIV_2" localSheetId="4">#REF!</definedName>
    <definedName name="SIV_2" localSheetId="7">#REF!</definedName>
    <definedName name="SIV_2" localSheetId="5">#REF!</definedName>
    <definedName name="SIV_2" localSheetId="2">#REF!</definedName>
    <definedName name="SIV_2" localSheetId="6">#REF!</definedName>
    <definedName name="SIV_2">#REF!</definedName>
    <definedName name="SIV_20" localSheetId="4">#REF!</definedName>
    <definedName name="SIV_20" localSheetId="7">#REF!</definedName>
    <definedName name="SIV_20" localSheetId="5">#REF!</definedName>
    <definedName name="SIV_20" localSheetId="2">#REF!</definedName>
    <definedName name="SIV_20" localSheetId="6">#REF!</definedName>
    <definedName name="SIV_20">#REF!</definedName>
    <definedName name="SIV_24" localSheetId="4">#REF!</definedName>
    <definedName name="SIV_24" localSheetId="7">#REF!</definedName>
    <definedName name="SIV_24" localSheetId="5">#REF!</definedName>
    <definedName name="SIV_24" localSheetId="2">#REF!</definedName>
    <definedName name="SIV_24" localSheetId="6">#REF!</definedName>
    <definedName name="SIV_24">#REF!</definedName>
    <definedName name="SIV_25" localSheetId="4">#REF!</definedName>
    <definedName name="SIV_25" localSheetId="7">#REF!</definedName>
    <definedName name="SIV_25" localSheetId="5">#REF!</definedName>
    <definedName name="SIV_25" localSheetId="2">#REF!</definedName>
    <definedName name="SIV_25" localSheetId="6">#REF!</definedName>
    <definedName name="SIV_25">#REF!</definedName>
    <definedName name="SIV_26" localSheetId="4">#REF!</definedName>
    <definedName name="SIV_26" localSheetId="7">#REF!</definedName>
    <definedName name="SIV_26" localSheetId="5">#REF!</definedName>
    <definedName name="SIV_26" localSheetId="2">#REF!</definedName>
    <definedName name="SIV_26" localSheetId="6">#REF!</definedName>
    <definedName name="SIV_26">#REF!</definedName>
    <definedName name="SIV_30" localSheetId="4">#REF!</definedName>
    <definedName name="SIV_30" localSheetId="7">#REF!</definedName>
    <definedName name="SIV_30" localSheetId="5">#REF!</definedName>
    <definedName name="SIV_30" localSheetId="2">#REF!</definedName>
    <definedName name="SIV_30" localSheetId="6">#REF!</definedName>
    <definedName name="SIV_30">#REF!</definedName>
    <definedName name="SIV_31" localSheetId="4">#REF!</definedName>
    <definedName name="SIV_31" localSheetId="7">#REF!</definedName>
    <definedName name="SIV_31" localSheetId="5">#REF!</definedName>
    <definedName name="SIV_31" localSheetId="2">#REF!</definedName>
    <definedName name="SIV_31" localSheetId="6">#REF!</definedName>
    <definedName name="SIV_31">#REF!</definedName>
    <definedName name="SIV_5" localSheetId="4">#REF!</definedName>
    <definedName name="SIV_5" localSheetId="7">#REF!</definedName>
    <definedName name="SIV_5" localSheetId="5">#REF!</definedName>
    <definedName name="SIV_5" localSheetId="2">#REF!</definedName>
    <definedName name="SIV_5" localSheetId="6">#REF!</definedName>
    <definedName name="SIV_5">#REF!</definedName>
    <definedName name="SIV_5_2" localSheetId="4">#REF!</definedName>
    <definedName name="SIV_5_2" localSheetId="7">#REF!</definedName>
    <definedName name="SIV_5_2" localSheetId="5">#REF!</definedName>
    <definedName name="SIV_5_2" localSheetId="2">#REF!</definedName>
    <definedName name="SIV_5_2" localSheetId="6">#REF!</definedName>
    <definedName name="SIV_5_2">#REF!</definedName>
    <definedName name="SIV_7" localSheetId="4">#REF!</definedName>
    <definedName name="SIV_7" localSheetId="7">#REF!</definedName>
    <definedName name="SIV_7" localSheetId="5">#REF!</definedName>
    <definedName name="SIV_7" localSheetId="2">#REF!</definedName>
    <definedName name="SIV_7" localSheetId="6">#REF!</definedName>
    <definedName name="SIV_7">#REF!</definedName>
    <definedName name="SIV_72" localSheetId="4">#REF!</definedName>
    <definedName name="SIV_72" localSheetId="7">#REF!</definedName>
    <definedName name="SIV_72" localSheetId="5">#REF!</definedName>
    <definedName name="SIV_72" localSheetId="2">#REF!</definedName>
    <definedName name="SIV_72" localSheetId="6">#REF!</definedName>
    <definedName name="SIV_72">#REF!</definedName>
    <definedName name="SIV_78" localSheetId="4">#REF!</definedName>
    <definedName name="SIV_78" localSheetId="7">#REF!</definedName>
    <definedName name="SIV_78" localSheetId="5">#REF!</definedName>
    <definedName name="SIV_78" localSheetId="2">#REF!</definedName>
    <definedName name="SIV_78" localSheetId="6">#REF!</definedName>
    <definedName name="SIV_78">#REF!</definedName>
    <definedName name="SIV_82" localSheetId="4">#REF!</definedName>
    <definedName name="SIV_82" localSheetId="7">#REF!</definedName>
    <definedName name="SIV_82" localSheetId="5">#REF!</definedName>
    <definedName name="SIV_82" localSheetId="2">#REF!</definedName>
    <definedName name="SIV_82" localSheetId="6">#REF!</definedName>
    <definedName name="SIV_82">#REF!</definedName>
    <definedName name="SIV_84" localSheetId="4">#REF!</definedName>
    <definedName name="SIV_84" localSheetId="7">#REF!</definedName>
    <definedName name="SIV_84" localSheetId="5">#REF!</definedName>
    <definedName name="SIV_84" localSheetId="2">#REF!</definedName>
    <definedName name="SIV_84" localSheetId="6">#REF!</definedName>
    <definedName name="SIV_84">#REF!</definedName>
    <definedName name="SIV_88" localSheetId="4">#REF!</definedName>
    <definedName name="SIV_88" localSheetId="7">#REF!</definedName>
    <definedName name="SIV_88" localSheetId="5">#REF!</definedName>
    <definedName name="SIV_88" localSheetId="2">#REF!</definedName>
    <definedName name="SIV_88" localSheetId="6">#REF!</definedName>
    <definedName name="SIV_88">#REF!</definedName>
    <definedName name="SIV_90" localSheetId="4">#REF!</definedName>
    <definedName name="SIV_90" localSheetId="7">#REF!</definedName>
    <definedName name="SIV_90" localSheetId="5">#REF!</definedName>
    <definedName name="SIV_90" localSheetId="2">#REF!</definedName>
    <definedName name="SIV_90" localSheetId="6">#REF!</definedName>
    <definedName name="SIV_90">#REF!</definedName>
    <definedName name="SIV_91" localSheetId="4">#REF!</definedName>
    <definedName name="SIV_91" localSheetId="7">#REF!</definedName>
    <definedName name="SIV_91" localSheetId="5">#REF!</definedName>
    <definedName name="SIV_91" localSheetId="2">#REF!</definedName>
    <definedName name="SIV_91" localSheetId="6">#REF!</definedName>
    <definedName name="SIV_91">#REF!</definedName>
    <definedName name="SIV_92" localSheetId="4">#REF!</definedName>
    <definedName name="SIV_92" localSheetId="7">#REF!</definedName>
    <definedName name="SIV_92" localSheetId="5">#REF!</definedName>
    <definedName name="SIV_92" localSheetId="2">#REF!</definedName>
    <definedName name="SIV_92" localSheetId="6">#REF!</definedName>
    <definedName name="SIV_92">#REF!</definedName>
    <definedName name="SIV_93" localSheetId="4">#REF!</definedName>
    <definedName name="SIV_93" localSheetId="7">#REF!</definedName>
    <definedName name="SIV_93" localSheetId="5">#REF!</definedName>
    <definedName name="SIV_93" localSheetId="2">#REF!</definedName>
    <definedName name="SIV_93" localSheetId="6">#REF!</definedName>
    <definedName name="SIV_93">#REF!</definedName>
    <definedName name="SIV_94" localSheetId="4">#REF!</definedName>
    <definedName name="SIV_94" localSheetId="7">#REF!</definedName>
    <definedName name="SIV_94" localSheetId="5">#REF!</definedName>
    <definedName name="SIV_94" localSheetId="2">#REF!</definedName>
    <definedName name="SIV_94" localSheetId="6">#REF!</definedName>
    <definedName name="SIV_94">#REF!</definedName>
    <definedName name="sivaa" localSheetId="4">#REF!</definedName>
    <definedName name="sivaa" localSheetId="7">#REF!</definedName>
    <definedName name="sivaa" localSheetId="5">#REF!</definedName>
    <definedName name="sivaa" localSheetId="2">#REF!</definedName>
    <definedName name="sivaa" localSheetId="6">#REF!</definedName>
    <definedName name="sivaa">#REF!</definedName>
    <definedName name="sivaa_2" localSheetId="4">#REF!</definedName>
    <definedName name="sivaa_2" localSheetId="7">#REF!</definedName>
    <definedName name="sivaa_2" localSheetId="5">#REF!</definedName>
    <definedName name="sivaa_2" localSheetId="2">#REF!</definedName>
    <definedName name="sivaa_2" localSheetId="6">#REF!</definedName>
    <definedName name="sivaa_2">#REF!</definedName>
    <definedName name="SLD.000.C.0.00.0000.00.00.42">-6637872.08</definedName>
    <definedName name="SLD.000.C.0.00.0000.00.00.421">-6637872.08</definedName>
    <definedName name="SLD.000.C.0.00.0000.00.00.42101">-3179544.07</definedName>
    <definedName name="SLD.000.C.0.00.0000.00.00.4210101">-3012633.78</definedName>
    <definedName name="SLD.000.C.0.00.0000.00.00.42101010001">0</definedName>
    <definedName name="SLD.000.C.0.00.0000.00.00.42101010002">-1499629.64</definedName>
    <definedName name="SLD.000.C.0.00.0000.00.00.42101010003">0</definedName>
    <definedName name="SLD.000.C.0.00.0000.00.00.42101010004">-124252.87</definedName>
    <definedName name="SLD.000.C.0.00.0000.00.00.42101010005">-4977.5</definedName>
    <definedName name="SLD.000.C.0.00.0000.00.00.42101010006">-165699.16</definedName>
    <definedName name="SLD.000.C.0.00.0000.00.00.42101010007">-133002.13</definedName>
    <definedName name="SLD.000.C.0.00.0000.00.00.42101010008">-677910.15</definedName>
    <definedName name="SLD.000.C.0.00.0000.00.00.42101010009">0</definedName>
    <definedName name="SLD.000.C.0.00.0000.00.00.42101010010">-28734.28</definedName>
    <definedName name="SLD.000.C.0.00.0000.00.00.42101010011">0</definedName>
    <definedName name="SLD.000.C.0.00.0000.00.00.42101010012">0</definedName>
    <definedName name="SLD.000.C.0.00.0000.00.00.42101010013">-52702.65</definedName>
    <definedName name="SLD.000.C.0.00.0000.00.00.42101010014">0</definedName>
    <definedName name="SLD.000.C.0.00.0000.00.00.42101010015">-6715.04</definedName>
    <definedName name="SLD.000.C.0.00.0000.00.00.42101010016">-39600</definedName>
    <definedName name="SLD.000.C.0.00.0000.00.00.42101010017">0</definedName>
    <definedName name="SLD.000.C.0.00.0000.00.00.42101010018">0</definedName>
    <definedName name="SLD.000.C.0.00.0000.00.00.42101010019">-279410.36</definedName>
    <definedName name="SLD.000.C.0.00.0000.00.00.4210102">-8970.67</definedName>
    <definedName name="SLD.000.C.0.00.0000.00.00.42101020001">-17173.24</definedName>
    <definedName name="SLD.000.C.0.00.0000.00.00.42101020002">8202.57</definedName>
    <definedName name="SLD.000.C.0.00.0000.00.00.4210103">-76325</definedName>
    <definedName name="SLD.000.C.0.00.0000.00.00.42101030001">-84989</definedName>
    <definedName name="SLD.000.C.0.00.0000.00.00.42101030002">8664</definedName>
    <definedName name="SLD.000.C.0.00.0000.00.00.4210104">-63934.09</definedName>
    <definedName name="SLD.000.C.0.00.0000.00.00.42101040001">-99988.23</definedName>
    <definedName name="SLD.000.C.0.00.0000.00.00.42101040002">36054.14</definedName>
    <definedName name="SLD.000.C.0.00.0000.00.00.4210105">-13713.53</definedName>
    <definedName name="SLD.000.C.0.00.0000.00.00.42101050001">-34308.68</definedName>
    <definedName name="SLD.000.C.0.00.0000.00.00.42101050002">20595.15</definedName>
    <definedName name="SLD.000.C.0.00.0000.00.00.4210106">-3967</definedName>
    <definedName name="SLD.000.C.0.00.0000.00.00.42101060001">-19144.63</definedName>
    <definedName name="SLD.000.C.0.00.0000.00.00.42101060002">15177.63</definedName>
    <definedName name="SLD.000.C.0.00.0000.00.00.4210107">0</definedName>
    <definedName name="SLD.000.C.0.00.0000.00.00.42101070001">0</definedName>
    <definedName name="SLD.000.C.0.00.0000.00.00.42101070002">0</definedName>
    <definedName name="SLD.000.C.0.00.0000.00.00.42102">-1315714.79</definedName>
    <definedName name="SLD.000.C.0.00.0000.00.00.4210201">-1315714.79</definedName>
    <definedName name="SLD.000.C.0.00.0000.00.00.42102010001">-565564.74</definedName>
    <definedName name="SLD.000.C.0.00.0000.00.00.42102010002">-47934.87</definedName>
    <definedName name="SLD.000.C.0.00.0000.00.00.42102010003">-61198.22</definedName>
    <definedName name="SLD.000.C.0.00.0000.00.00.42102010004">-19555.3</definedName>
    <definedName name="SLD.000.C.0.00.0000.00.00.42102010009">-23900</definedName>
    <definedName name="SLD.000.C.0.00.0000.00.00.42102010011">-141904.71</definedName>
    <definedName name="SLD.000.C.0.00.0000.00.00.42102010012">-548628.94</definedName>
    <definedName name="SLD.000.C.0.00.0000.00.00.42102010015">92971.99</definedName>
    <definedName name="SLD.000.C.0.00.0000.00.00.42103">-185441.45</definedName>
    <definedName name="SLD.000.C.0.00.0000.00.00.4210301">-185441.45</definedName>
    <definedName name="SLD.000.C.0.00.0000.00.00.42103010001">-61388.02</definedName>
    <definedName name="SLD.000.C.0.00.0000.00.00.42103010002">-6075.96</definedName>
    <definedName name="SLD.000.C.0.00.0000.00.00.42103010003">-117977.47</definedName>
    <definedName name="SLD.000.C.0.00.0000.00.00.42104">-1488632.3</definedName>
    <definedName name="SLD.000.C.0.00.0000.00.00.4210401">-1488632.3</definedName>
    <definedName name="SLD.000.C.0.00.0000.00.00.42104010001">-128085.15</definedName>
    <definedName name="SLD.000.C.0.00.0000.00.00.42104010002">-54457.45</definedName>
    <definedName name="SLD.000.C.0.00.0000.00.00.42104010003">-159151.82</definedName>
    <definedName name="SLD.000.C.0.00.0000.00.00.42104010004">-428380.53</definedName>
    <definedName name="SLD.000.C.0.00.0000.00.00.42104010005">-52557.72</definedName>
    <definedName name="SLD.000.C.0.00.0000.00.00.42104010007">-11117.01</definedName>
    <definedName name="SLD.000.C.0.00.0000.00.00.42104010008">-651.18</definedName>
    <definedName name="SLD.000.C.0.00.0000.00.00.42104010010">-24026.06</definedName>
    <definedName name="SLD.000.C.0.00.0000.00.00.42104010011">-13384.73</definedName>
    <definedName name="SLD.000.C.0.00.0000.00.00.42104010012">-1926</definedName>
    <definedName name="SLD.000.C.0.00.0000.00.00.42104010013">-68000.66</definedName>
    <definedName name="SLD.000.C.0.00.0000.00.00.42104010014">-12154.05</definedName>
    <definedName name="SLD.000.C.0.00.0000.00.00.42104010015">-33937.91</definedName>
    <definedName name="SLD.000.C.0.00.0000.00.00.42104010017">-7905.75</definedName>
    <definedName name="SLD.000.C.0.00.0000.00.00.42104010018">-509.78</definedName>
    <definedName name="SLD.000.C.0.00.0000.00.00.42104010020">-17964</definedName>
    <definedName name="SLD.000.C.0.00.0000.00.00.42104010022">-475.8</definedName>
    <definedName name="SLD.000.C.0.00.0000.00.00.42104010023">-22896.35</definedName>
    <definedName name="SLD.000.C.0.00.0000.00.00.42104010026">-18308.98</definedName>
    <definedName name="SLD.000.C.0.00.0000.00.00.42104010027">-22616.44</definedName>
    <definedName name="SLD.000.C.0.00.0000.00.00.42104010028">-3051.76</definedName>
    <definedName name="SLD.000.C.0.00.0000.00.00.42104010029">-365.38</definedName>
    <definedName name="SLD.000.C.0.00.0000.00.00.42104010030">-34450</definedName>
    <definedName name="SLD.000.C.0.00.0000.00.00.42104010031">-17740.54</definedName>
    <definedName name="SLD.000.C.0.00.0000.00.00.42104010032">-24105.23</definedName>
    <definedName name="SLD.000.C.0.00.0000.00.00.42104010034">-207617.57</definedName>
    <definedName name="SLD.000.C.0.00.0000.00.00.42104010035">-121452.54</definedName>
    <definedName name="SLD.000.C.0.00.0000.00.00.42104010037">-1341.91</definedName>
    <definedName name="SLD.000.C.0.00.0000.00.00.42105">-284960.72</definedName>
    <definedName name="SLD.000.C.0.00.0000.00.00.4210501">-284960.72</definedName>
    <definedName name="SLD.000.C.0.00.0000.00.00.42105010001">-1320</definedName>
    <definedName name="SLD.000.C.0.00.0000.00.00.42105010002">-221746.1</definedName>
    <definedName name="SLD.000.C.0.00.0000.00.00.42105010003">-10855.86</definedName>
    <definedName name="SLD.000.C.0.00.0000.00.00.42105010004">-51038.76</definedName>
    <definedName name="SLD.000.C.0.00.0000.00.00.42107">-49805.66</definedName>
    <definedName name="SLD.000.C.0.00.0000.00.00.4210701">-49805.66</definedName>
    <definedName name="SLD.000.C.0.00.0000.00.00.42107010004">-49805.66</definedName>
    <definedName name="SLD.000.C.0.00.0000.00.00.42108">-133773.09</definedName>
    <definedName name="SLD.000.C.0.00.0000.00.00.4210801">-133773.09</definedName>
    <definedName name="SLD.000.C.0.00.0000.00.00.42108010003">-133773.09</definedName>
    <definedName name="SLD.000.C.0.00.2001.00.00.42">-5901725.46</definedName>
    <definedName name="SLD.000.C.0.00.2001.00.00.421">-5901725.46</definedName>
    <definedName name="SLD.000.C.0.00.2001.00.00.42101">-2044209.95</definedName>
    <definedName name="SLD.000.C.0.00.2001.00.00.4210101">-1912122.71</definedName>
    <definedName name="SLD.000.C.0.00.2001.00.00.42101010001">0</definedName>
    <definedName name="SLD.000.C.0.00.2001.00.00.42101010002">-981639.15</definedName>
    <definedName name="SLD.000.C.0.00.2001.00.00.42101010003">0</definedName>
    <definedName name="SLD.000.C.0.00.2001.00.00.42101010004">-121757.73</definedName>
    <definedName name="SLD.000.C.0.00.2001.00.00.42101010005">-10655.34</definedName>
    <definedName name="SLD.000.C.0.00.2001.00.00.42101010006">-120371.72</definedName>
    <definedName name="SLD.000.C.0.00.2001.00.00.42101010007">-90476.67</definedName>
    <definedName name="SLD.000.C.0.00.2001.00.00.42101010008">-448554.71</definedName>
    <definedName name="SLD.000.C.0.00.2001.00.00.42101010009">0</definedName>
    <definedName name="SLD.000.C.0.00.2001.00.00.42101010010">-18155.58</definedName>
    <definedName name="SLD.000.C.0.00.2001.00.00.42101010011">0</definedName>
    <definedName name="SLD.000.C.0.00.2001.00.00.42101010012">-276.94</definedName>
    <definedName name="SLD.000.C.0.00.2001.00.00.42101010013">-56477.08</definedName>
    <definedName name="SLD.000.C.0.00.2001.00.00.42101010014">0</definedName>
    <definedName name="SLD.000.C.0.00.2001.00.00.42101010015">-5394.24</definedName>
    <definedName name="SLD.000.C.0.00.2001.00.00.42101010016">-43200</definedName>
    <definedName name="SLD.000.C.0.00.2001.00.00.42101010017">0</definedName>
    <definedName name="SLD.000.C.0.00.2001.00.00.42101010018">85951.44</definedName>
    <definedName name="SLD.000.C.0.00.2001.00.00.42101010019">-101114.99</definedName>
    <definedName name="SLD.000.C.0.00.2001.00.00.4210102">-7044.09</definedName>
    <definedName name="SLD.000.C.0.00.2001.00.00.42101020001">-12126.4</definedName>
    <definedName name="SLD.000.C.0.00.2001.00.00.42101020002">5082.31</definedName>
    <definedName name="SLD.000.C.0.00.2001.00.00.4210103">-68729.48</definedName>
    <definedName name="SLD.000.C.0.00.2001.00.00.42101030001">-75413.48</definedName>
    <definedName name="SLD.000.C.0.00.2001.00.00.42101030002">6684</definedName>
    <definedName name="SLD.000.C.0.00.2001.00.00.4210104">-48288.26</definedName>
    <definedName name="SLD.000.C.0.00.2001.00.00.42101040001">-78757.26</definedName>
    <definedName name="SLD.000.C.0.00.2001.00.00.42101040002">30469</definedName>
    <definedName name="SLD.000.C.0.00.2001.00.00.4210105">-8158.41</definedName>
    <definedName name="SLD.000.C.0.00.2001.00.00.42101050001">-22491.34</definedName>
    <definedName name="SLD.000.C.0.00.2001.00.00.42101050002">14332.93</definedName>
    <definedName name="SLD.000.C.0.00.2001.00.00.4210106">0</definedName>
    <definedName name="SLD.000.C.0.00.2001.00.00.42101060001">0</definedName>
    <definedName name="SLD.000.C.0.00.2001.00.00.42101060002">0</definedName>
    <definedName name="SLD.000.C.0.00.2001.00.00.4210107">133</definedName>
    <definedName name="SLD.000.C.0.00.2001.00.00.42101070001">0</definedName>
    <definedName name="SLD.000.C.0.00.2001.00.00.42101070002">133</definedName>
    <definedName name="SLD.000.C.0.00.2001.00.00.42102">-1204467.64</definedName>
    <definedName name="SLD.000.C.0.00.2001.00.00.4210201">-1204467.64</definedName>
    <definedName name="SLD.000.C.0.00.2001.00.00.42102010001">-540656.88</definedName>
    <definedName name="SLD.000.C.0.00.2001.00.00.42102010002">-87110.05</definedName>
    <definedName name="SLD.000.C.0.00.2001.00.00.42102010003">0</definedName>
    <definedName name="SLD.000.C.0.00.2001.00.00.42102010004">-13789.73</definedName>
    <definedName name="SLD.000.C.0.00.2001.00.00.42102010009">-13800</definedName>
    <definedName name="SLD.000.C.0.00.2001.00.00.42102010011">-112116.56</definedName>
    <definedName name="SLD.000.C.0.00.2001.00.00.42102010012">-579236.84</definedName>
    <definedName name="SLD.000.C.0.00.2001.00.00.42102010015">133871.08</definedName>
    <definedName name="SLD.000.C.0.00.2001.00.00.42103">-110915.22</definedName>
    <definedName name="SLD.000.C.0.00.2001.00.00.4210301">-110915.22</definedName>
    <definedName name="SLD.000.C.0.00.2001.00.00.42103010001">-62506.31</definedName>
    <definedName name="SLD.000.C.0.00.2001.00.00.42103010002">-4211.61</definedName>
    <definedName name="SLD.000.C.0.00.2001.00.00.42103010003">-47416.6</definedName>
    <definedName name="SLD.000.C.0.00.2001.00.00.42104">-2149767.07</definedName>
    <definedName name="SLD.000.C.0.00.2001.00.00.4210401">-2149767.07</definedName>
    <definedName name="SLD.000.C.0.00.2001.00.00.42104010001">-123744.48</definedName>
    <definedName name="SLD.000.C.0.00.2001.00.00.42104010002">-130884.38</definedName>
    <definedName name="SLD.000.C.0.00.2001.00.00.42104010003">-145824.92</definedName>
    <definedName name="SLD.000.C.0.00.2001.00.00.42104010004">-408761.28</definedName>
    <definedName name="SLD.000.C.0.00.2001.00.00.42104010005">-74762.45</definedName>
    <definedName name="SLD.000.C.0.00.2001.00.00.42104010007">-350.35</definedName>
    <definedName name="SLD.000.C.0.00.2001.00.00.42104010008">-800</definedName>
    <definedName name="SLD.000.C.0.00.2001.00.00.42104010010">-15200.07</definedName>
    <definedName name="SLD.000.C.0.00.2001.00.00.42104010011">-21627.68</definedName>
    <definedName name="SLD.000.C.0.00.2001.00.00.42104010012">-761.6</definedName>
    <definedName name="SLD.000.C.0.00.2001.00.00.42104010013">-6393.92</definedName>
    <definedName name="SLD.000.C.0.00.2001.00.00.42104010014">-18284.81</definedName>
    <definedName name="SLD.000.C.0.00.2001.00.00.42104010015">-38336.35</definedName>
    <definedName name="SLD.000.C.0.00.2001.00.00.42104010017">-17905.13</definedName>
    <definedName name="SLD.000.C.0.00.2001.00.00.42104010018">-9322.72</definedName>
    <definedName name="SLD.000.C.0.00.2001.00.00.42104010020">-74951.91</definedName>
    <definedName name="SLD.000.C.0.00.2001.00.00.42104010022">0</definedName>
    <definedName name="SLD.000.C.0.00.2001.00.00.42104010023">-12143.65</definedName>
    <definedName name="SLD.000.C.0.00.2001.00.00.42104010026">-15376.74</definedName>
    <definedName name="SLD.000.C.0.00.2001.00.00.42104010027">-16735.5</definedName>
    <definedName name="SLD.000.C.0.00.2001.00.00.42104010028">-14964.33</definedName>
    <definedName name="SLD.000.C.0.00.2001.00.00.42104010029">0</definedName>
    <definedName name="SLD.000.C.0.00.2001.00.00.42104010030">-552145.48</definedName>
    <definedName name="SLD.000.C.0.00.2001.00.00.42104010031">-26850.32</definedName>
    <definedName name="SLD.000.C.0.00.2001.00.00.42104010032">-131401.05</definedName>
    <definedName name="SLD.000.C.0.00.2001.00.00.42104010034">-185961.98</definedName>
    <definedName name="SLD.000.C.0.00.2001.00.00.42104010035">-118559.02</definedName>
    <definedName name="SLD.000.C.0.00.2001.00.00.42104010037">0</definedName>
    <definedName name="SLD.000.C.0.00.2001.00.00.42105">-245520.65</definedName>
    <definedName name="SLD.000.C.0.00.2001.00.00.4210501">-245520.65</definedName>
    <definedName name="SLD.000.C.0.00.2001.00.00.42105010001">-6743</definedName>
    <definedName name="SLD.000.C.0.00.2001.00.00.42105010002">-217554.69</definedName>
    <definedName name="SLD.000.C.0.00.2001.00.00.42105010003">-10208.8</definedName>
    <definedName name="SLD.000.C.0.00.2001.00.00.42105010004">-11014.16</definedName>
    <definedName name="SLD.000.C.0.00.2001.00.00.42107">-2515.86</definedName>
    <definedName name="SLD.000.C.0.00.2001.00.00.4210701">-2515.86</definedName>
    <definedName name="SLD.000.C.0.00.2001.00.00.42107010004">-2515.86</definedName>
    <definedName name="SLD.000.C.0.00.2001.00.00.42108">-144329.07</definedName>
    <definedName name="SLD.000.C.0.00.2001.00.00.4210801">-144329.07</definedName>
    <definedName name="SLD.000.C.0.00.2001.00.00.42108010003">-144329.07</definedName>
    <definedName name="SLD.000.C.0.12.2001.00.00.42">-32799381.8599999</definedName>
    <definedName name="SLD.000.C.0.12.2001.00.00.421">-32799381.8599999</definedName>
    <definedName name="SLD.000.C.0.12.2001.00.00.42101">-11434398.03</definedName>
    <definedName name="SLD.000.C.0.12.2001.00.00.4210101">-10858063.83</definedName>
    <definedName name="SLD.000.C.0.12.2001.00.00.42101010001">0</definedName>
    <definedName name="SLD.000.C.0.12.2001.00.00.42101010002">-4765965.71</definedName>
    <definedName name="SLD.000.C.0.12.2001.00.00.42101010003">0</definedName>
    <definedName name="SLD.000.C.0.12.2001.00.00.42101010004">-1934396.92</definedName>
    <definedName name="SLD.000.C.0.12.2001.00.00.42101010005">-52322.48</definedName>
    <definedName name="SLD.000.C.0.12.2001.00.00.42101010006">-750124.24</definedName>
    <definedName name="SLD.000.C.0.12.2001.00.00.42101010007">-519033.38</definedName>
    <definedName name="SLD.000.C.0.12.2001.00.00.42101010008">-2278478.67</definedName>
    <definedName name="SLD.000.C.0.12.2001.00.00.42101010009">0</definedName>
    <definedName name="SLD.000.C.0.12.2001.00.00.42101010010">-285370.12</definedName>
    <definedName name="SLD.000.C.0.12.2001.00.00.42101010011">0</definedName>
    <definedName name="SLD.000.C.0.12.2001.00.00.42101010012">12817.06</definedName>
    <definedName name="SLD.000.C.0.12.2001.00.00.42101010013">-252515.83</definedName>
    <definedName name="SLD.000.C.0.12.2001.00.00.42101010014">-754.8</definedName>
    <definedName name="SLD.000.C.0.12.2001.00.00.42101010015">-18479.88</definedName>
    <definedName name="SLD.000.C.0.12.2001.00.00.42101010016">-170400</definedName>
    <definedName name="SLD.000.C.0.12.2001.00.00.42101010017">0</definedName>
    <definedName name="SLD.000.C.0.12.2001.00.00.42101010018">332323.01</definedName>
    <definedName name="SLD.000.C.0.12.2001.00.00.42101010019">-175361.87</definedName>
    <definedName name="SLD.000.C.0.12.2001.00.00.4210102">-36798.64</definedName>
    <definedName name="SLD.000.C.0.12.2001.00.00.42101020001">-56696.92</definedName>
    <definedName name="SLD.000.C.0.12.2001.00.00.42101020002">19898.28</definedName>
    <definedName name="SLD.000.C.0.12.2001.00.00.4210103">-287640.08</definedName>
    <definedName name="SLD.000.C.0.12.2001.00.00.42101030001">-317404.44</definedName>
    <definedName name="SLD.000.C.0.12.2001.00.00.42101030002">29764.36</definedName>
    <definedName name="SLD.000.C.0.12.2001.00.00.4210104">-210564.55</definedName>
    <definedName name="SLD.000.C.0.12.2001.00.00.42101040001">-347822.61</definedName>
    <definedName name="SLD.000.C.0.12.2001.00.00.42101040002">137258.06</definedName>
    <definedName name="SLD.000.C.0.12.2001.00.00.4210105">-40580.97</definedName>
    <definedName name="SLD.000.C.0.12.2001.00.00.42101050001">-106892.72</definedName>
    <definedName name="SLD.000.C.0.12.2001.00.00.42101050002">66311.75</definedName>
    <definedName name="SLD.000.C.0.12.2001.00.00.4210106">-749.96</definedName>
    <definedName name="SLD.000.C.0.12.2001.00.00.42101060001">-11603.28</definedName>
    <definedName name="SLD.000.C.0.12.2001.00.00.42101060002">10853.32</definedName>
    <definedName name="SLD.000.C.0.12.2001.00.00.4210107">0</definedName>
    <definedName name="SLD.000.C.0.12.2001.00.00.42101070001">0</definedName>
    <definedName name="SLD.000.C.0.12.2001.00.00.42101070002">0</definedName>
    <definedName name="SLD.000.C.0.12.2001.00.00.42102">-11539783.82</definedName>
    <definedName name="SLD.000.C.0.12.2001.00.00.4210201">-11539783.82</definedName>
    <definedName name="SLD.000.C.0.12.2001.00.00.42102010001">-8875614.06</definedName>
    <definedName name="SLD.000.C.0.12.2001.00.00.42102010002">-312763.99</definedName>
    <definedName name="SLD.000.C.0.12.2001.00.00.42102010003">-120609.01</definedName>
    <definedName name="SLD.000.C.0.12.2001.00.00.42102010004">-87022.38</definedName>
    <definedName name="SLD.000.C.0.12.2001.00.00.42102010009">-91545.88</definedName>
    <definedName name="SLD.000.C.0.12.2001.00.00.42102010011">-563704.97</definedName>
    <definedName name="SLD.000.C.0.12.2001.00.00.42102010012">-2072047.07</definedName>
    <definedName name="SLD.000.C.0.12.2001.00.00.42102010015">531058.99</definedName>
    <definedName name="SLD.000.C.0.12.2001.00.00.42103">-560943.09</definedName>
    <definedName name="SLD.000.C.0.12.2001.00.00.4210301">-560943.09</definedName>
    <definedName name="SLD.000.C.0.12.2001.00.00.42103010001">-290203.44</definedName>
    <definedName name="SLD.000.C.0.12.2001.00.00.42103010002">-23951.1</definedName>
    <definedName name="SLD.000.C.0.12.2001.00.00.42103010003">-267807.03</definedName>
    <definedName name="SLD.000.C.0.12.2001.00.00.42104">-7526633.08</definedName>
    <definedName name="SLD.000.C.0.12.2001.00.00.4210401">-7526633.08</definedName>
    <definedName name="SLD.000.C.0.12.2001.00.00.42104010001">-630806.07</definedName>
    <definedName name="SLD.000.C.0.12.2001.00.00.42104010002">-330326.69</definedName>
    <definedName name="SLD.000.C.0.12.2001.00.00.42104010003">-639405.08</definedName>
    <definedName name="SLD.000.C.0.12.2001.00.00.42104010004">-1656987.36</definedName>
    <definedName name="SLD.000.C.0.12.2001.00.00.42104010005">-204205.46</definedName>
    <definedName name="SLD.000.C.0.12.2001.00.00.42104010007">-18032.03</definedName>
    <definedName name="SLD.000.C.0.12.2001.00.00.42104010008">-6226.75</definedName>
    <definedName name="SLD.000.C.0.12.2001.00.00.42104010010">-97646.11</definedName>
    <definedName name="SLD.000.C.0.12.2001.00.00.42104010011">-85149</definedName>
    <definedName name="SLD.000.C.0.12.2001.00.00.42104010012">-5089.58</definedName>
    <definedName name="SLD.000.C.0.12.2001.00.00.42104010013">-34629.7</definedName>
    <definedName name="SLD.000.C.0.12.2001.00.00.42104010014">-65539.93</definedName>
    <definedName name="SLD.000.C.0.12.2001.00.00.42104010015">-207163.73</definedName>
    <definedName name="SLD.000.C.0.12.2001.00.00.42104010017">-22497.36</definedName>
    <definedName name="SLD.000.C.0.12.2001.00.00.42104010018">-17505.12</definedName>
    <definedName name="SLD.000.C.0.12.2001.00.00.42104010020">-288118.35</definedName>
    <definedName name="SLD.000.C.0.12.2001.00.00.42104010022">0</definedName>
    <definedName name="SLD.000.C.0.12.2001.00.00.42104010023">-106888.93</definedName>
    <definedName name="SLD.000.C.0.12.2001.00.00.42104010026">-73323.09</definedName>
    <definedName name="SLD.000.C.0.12.2001.00.00.42104010027">-112583.03</definedName>
    <definedName name="SLD.000.C.0.12.2001.00.00.42104010028">-37441.64</definedName>
    <definedName name="SLD.000.C.0.12.2001.00.00.42104010029">-8630.12</definedName>
    <definedName name="SLD.000.C.0.12.2001.00.00.42104010030">-878300.41</definedName>
    <definedName name="SLD.000.C.0.12.2001.00.00.42104010031">-129204</definedName>
    <definedName name="SLD.000.C.0.12.2001.00.00.42104010032">-444173.19</definedName>
    <definedName name="SLD.000.C.0.12.2001.00.00.42104010034">-785994.85</definedName>
    <definedName name="SLD.000.C.0.12.2001.00.00.42104010035">-636910.34</definedName>
    <definedName name="SLD.000.C.0.12.2001.00.00.42104010037">0</definedName>
    <definedName name="SLD.000.C.0.12.2001.00.00.42105">-1100133.54</definedName>
    <definedName name="SLD.000.C.0.12.2001.00.00.4210501">-1100133.54</definedName>
    <definedName name="SLD.000.C.0.12.2001.00.00.42105010001">-32837.88</definedName>
    <definedName name="SLD.000.C.0.12.2001.00.00.42105010002">-876825.03</definedName>
    <definedName name="SLD.000.C.0.12.2001.00.00.42105010003">-63510.29</definedName>
    <definedName name="SLD.000.C.0.12.2001.00.00.42105010004">-112898.52</definedName>
    <definedName name="SLD.000.C.0.12.2001.00.00.42107">-72016.46</definedName>
    <definedName name="SLD.000.C.0.12.2001.00.00.4210701">-72016.46</definedName>
    <definedName name="SLD.000.C.0.12.2001.00.00.42107010004">-72016.46</definedName>
    <definedName name="SLD.000.C.0.12.2001.00.00.42108">-565473.84</definedName>
    <definedName name="SLD.000.C.0.12.2001.00.00.4210801">-565473.84</definedName>
    <definedName name="SLD.000.C.0.12.2001.00.00.42108010003">-565473.84</definedName>
    <definedName name="SOLUM" localSheetId="0">#REF!</definedName>
    <definedName name="SOLUM" localSheetId="4">#REF!</definedName>
    <definedName name="SOLUM" localSheetId="7">#REF!</definedName>
    <definedName name="SOLUM" localSheetId="5">#REF!</definedName>
    <definedName name="SOLUM" localSheetId="2">#REF!</definedName>
    <definedName name="SOLUM" localSheetId="6">#REF!</definedName>
    <definedName name="SOLUM">#REF!</definedName>
    <definedName name="Soma_Item" localSheetId="0">#REF!</definedName>
    <definedName name="Soma_Item" localSheetId="4">#REF!</definedName>
    <definedName name="Soma_Item" localSheetId="7">#REF!</definedName>
    <definedName name="Soma_Item" localSheetId="1">#REF!</definedName>
    <definedName name="Soma_Item" localSheetId="5">#REF!</definedName>
    <definedName name="Soma_Item" localSheetId="2">#REF!</definedName>
    <definedName name="Soma_Item" localSheetId="6">#REF!</definedName>
    <definedName name="Soma_Item">#REF!</definedName>
    <definedName name="SRT" localSheetId="4">#REF!</definedName>
    <definedName name="SRT" localSheetId="7">#REF!</definedName>
    <definedName name="SRT" localSheetId="5">#REF!</definedName>
    <definedName name="SRT" localSheetId="2">#REF!</definedName>
    <definedName name="SRT" localSheetId="6">#REF!</definedName>
    <definedName name="SRT">#REF!</definedName>
    <definedName name="SRT_2" localSheetId="4">#REF!</definedName>
    <definedName name="SRT_2" localSheetId="7">#REF!</definedName>
    <definedName name="SRT_2" localSheetId="5">#REF!</definedName>
    <definedName name="SRT_2" localSheetId="2">#REF!</definedName>
    <definedName name="SRT_2" localSheetId="6">#REF!</definedName>
    <definedName name="SRT_2">#REF!</definedName>
    <definedName name="SS" localSheetId="4">#REF!</definedName>
    <definedName name="SS" localSheetId="7">#REF!</definedName>
    <definedName name="SS" localSheetId="1">#REF!</definedName>
    <definedName name="SS" localSheetId="5">#REF!</definedName>
    <definedName name="SS" localSheetId="2">#REF!</definedName>
    <definedName name="SS" localSheetId="6">#REF!</definedName>
    <definedName name="SS">#REF!</definedName>
    <definedName name="ssdssss" localSheetId="4">#REF!</definedName>
    <definedName name="ssdssss" localSheetId="7">#REF!</definedName>
    <definedName name="ssdssss" localSheetId="5">#REF!</definedName>
    <definedName name="ssdssss" localSheetId="2">#REF!</definedName>
    <definedName name="ssdssss" localSheetId="6">#REF!</definedName>
    <definedName name="ssdssss">#REF!</definedName>
    <definedName name="ssss" localSheetId="4">#REF!</definedName>
    <definedName name="ssss" localSheetId="7">#REF!</definedName>
    <definedName name="ssss" localSheetId="5">#REF!</definedName>
    <definedName name="ssss" localSheetId="2">#REF!</definedName>
    <definedName name="ssss" localSheetId="6">#REF!</definedName>
    <definedName name="ssss">#REF!</definedName>
    <definedName name="SSSSS" localSheetId="4">#REF!</definedName>
    <definedName name="SSSSS" localSheetId="7">#REF!</definedName>
    <definedName name="SSSSS" localSheetId="5">#REF!</definedName>
    <definedName name="SSSSS" localSheetId="2">#REF!</definedName>
    <definedName name="SSSSS" localSheetId="6">#REF!</definedName>
    <definedName name="SSSSS">#REF!</definedName>
    <definedName name="SSSSS_2" localSheetId="4">#REF!</definedName>
    <definedName name="SSSSS_2" localSheetId="7">#REF!</definedName>
    <definedName name="SSSSS_2" localSheetId="5">#REF!</definedName>
    <definedName name="SSSSS_2" localSheetId="2">#REF!</definedName>
    <definedName name="SSSSS_2" localSheetId="6">#REF!</definedName>
    <definedName name="SSSSS_2">#REF!</definedName>
    <definedName name="SSSSS_5" localSheetId="4">#REF!</definedName>
    <definedName name="SSSSS_5" localSheetId="7">#REF!</definedName>
    <definedName name="SSSSS_5" localSheetId="5">#REF!</definedName>
    <definedName name="SSSSS_5" localSheetId="2">#REF!</definedName>
    <definedName name="SSSSS_5" localSheetId="6">#REF!</definedName>
    <definedName name="SSSSS_5">#REF!</definedName>
    <definedName name="SSSSS_5_2" localSheetId="4">#REF!</definedName>
    <definedName name="SSSSS_5_2" localSheetId="7">#REF!</definedName>
    <definedName name="SSSSS_5_2" localSheetId="5">#REF!</definedName>
    <definedName name="SSSSS_5_2" localSheetId="2">#REF!</definedName>
    <definedName name="SSSSS_5_2" localSheetId="6">#REF!</definedName>
    <definedName name="SSSSS_5_2">#REF!</definedName>
    <definedName name="SSSSSSSSSSSS" localSheetId="4" hidden="1">#REF!</definedName>
    <definedName name="SSSSSSSSSSSS" localSheetId="7" hidden="1">#REF!</definedName>
    <definedName name="SSSSSSSSSSSS" localSheetId="5" hidden="1">#REF!</definedName>
    <definedName name="SSSSSSSSSSSS" localSheetId="2" hidden="1">#REF!</definedName>
    <definedName name="SSSSSSSSSSSS" localSheetId="6" hidden="1">#REF!</definedName>
    <definedName name="SSSSSSSSSSSS" hidden="1">#REF!</definedName>
    <definedName name="Sub_Empreiteiro" localSheetId="0">#REF!</definedName>
    <definedName name="Sub_Empreiteiro" localSheetId="4">#REF!</definedName>
    <definedName name="Sub_Empreiteiro" localSheetId="7">#REF!</definedName>
    <definedName name="Sub_Empreiteiro" localSheetId="5">#REF!</definedName>
    <definedName name="Sub_Empreiteiro" localSheetId="2">#REF!</definedName>
    <definedName name="Sub_Empreiteiro" localSheetId="6">#REF!</definedName>
    <definedName name="Sub_Empreiteiro">#REF!</definedName>
    <definedName name="t" localSheetId="4">#REF!</definedName>
    <definedName name="t" localSheetId="7">#REF!</definedName>
    <definedName name="t" localSheetId="5">#REF!</definedName>
    <definedName name="t" localSheetId="2">#REF!</definedName>
    <definedName name="t" localSheetId="6">#REF!</definedName>
    <definedName name="t">#REF!</definedName>
    <definedName name="t_2" localSheetId="4">#REF!</definedName>
    <definedName name="t_2" localSheetId="7">#REF!</definedName>
    <definedName name="t_2" localSheetId="5">#REF!</definedName>
    <definedName name="t_2" localSheetId="2">#REF!</definedName>
    <definedName name="t_2" localSheetId="6">#REF!</definedName>
    <definedName name="t_2">#REF!</definedName>
    <definedName name="T_DEPENDENCIAS" localSheetId="4">#REF!</definedName>
    <definedName name="T_DEPENDENCIAS" localSheetId="7">#REF!</definedName>
    <definedName name="T_DEPENDENCIAS" localSheetId="5">#REF!</definedName>
    <definedName name="T_DEPENDENCIAS" localSheetId="2">#REF!</definedName>
    <definedName name="T_DEPENDENCIAS" localSheetId="6">#REF!</definedName>
    <definedName name="T_DEPENDENCIAS">#REF!</definedName>
    <definedName name="TAB" localSheetId="0">#REF!</definedName>
    <definedName name="TAB" localSheetId="4">#REF!</definedName>
    <definedName name="tab" localSheetId="7">#REF!</definedName>
    <definedName name="tab" localSheetId="5">#REF!</definedName>
    <definedName name="tab" localSheetId="2">#REF!</definedName>
    <definedName name="tab" localSheetId="6">#REF!</definedName>
    <definedName name="tab">#REF!</definedName>
    <definedName name="tab_5" localSheetId="4">#REF!</definedName>
    <definedName name="tab_5" localSheetId="7">#REF!</definedName>
    <definedName name="tab_5" localSheetId="5">#REF!</definedName>
    <definedName name="tab_5" localSheetId="2">#REF!</definedName>
    <definedName name="tab_5" localSheetId="6">#REF!</definedName>
    <definedName name="tab_5">#REF!</definedName>
    <definedName name="tab_5_2" localSheetId="4">#REF!</definedName>
    <definedName name="tab_5_2" localSheetId="7">#REF!</definedName>
    <definedName name="tab_5_2" localSheetId="5">#REF!</definedName>
    <definedName name="tab_5_2" localSheetId="2">#REF!</definedName>
    <definedName name="tab_5_2" localSheetId="6">#REF!</definedName>
    <definedName name="tab_5_2">#REF!</definedName>
    <definedName name="tabder" localSheetId="4">#REF!</definedName>
    <definedName name="tabder" localSheetId="7">#REF!</definedName>
    <definedName name="tabder" localSheetId="1">#REF!</definedName>
    <definedName name="tabder" localSheetId="5">#REF!</definedName>
    <definedName name="tabder" localSheetId="2">#REF!</definedName>
    <definedName name="tabder" localSheetId="6">#REF!</definedName>
    <definedName name="tabder">#REF!</definedName>
    <definedName name="tabela" localSheetId="4">#REF!</definedName>
    <definedName name="tabela" localSheetId="7">#REF!</definedName>
    <definedName name="tabela" localSheetId="5">#REF!</definedName>
    <definedName name="tabela" localSheetId="2">#REF!</definedName>
    <definedName name="tabela" localSheetId="6">#REF!</definedName>
    <definedName name="tabela">#REF!</definedName>
    <definedName name="tabela_2" localSheetId="4">#REF!</definedName>
    <definedName name="tabela_2" localSheetId="7">#REF!</definedName>
    <definedName name="tabela_2" localSheetId="5">#REF!</definedName>
    <definedName name="tabela_2" localSheetId="2">#REF!</definedName>
    <definedName name="tabela_2" localSheetId="6">#REF!</definedName>
    <definedName name="tabela_2">#REF!</definedName>
    <definedName name="TABELA_AGRUPAMENTO" localSheetId="4">#REF!</definedName>
    <definedName name="TABELA_AGRUPAMENTO" localSheetId="7">#REF!</definedName>
    <definedName name="TABELA_AGRUPAMENTO" localSheetId="5">#REF!</definedName>
    <definedName name="TABELA_AGRUPAMENTO" localSheetId="2">#REF!</definedName>
    <definedName name="TABELA_AGRUPAMENTO" localSheetId="6">#REF!</definedName>
    <definedName name="TABELA_AGRUPAMENTO">#REF!</definedName>
    <definedName name="tabela0198" localSheetId="4">#REF!</definedName>
    <definedName name="tabela0198" localSheetId="7">#REF!</definedName>
    <definedName name="tabela0198" localSheetId="1">#REF!</definedName>
    <definedName name="tabela0198" localSheetId="5">#REF!</definedName>
    <definedName name="tabela0198" localSheetId="2">#REF!</definedName>
    <definedName name="tabela0198" localSheetId="6">#REF!</definedName>
    <definedName name="tabela0198">#REF!</definedName>
    <definedName name="tabela3" localSheetId="4">#REF!</definedName>
    <definedName name="tabela3" localSheetId="7">#REF!</definedName>
    <definedName name="tabela3" localSheetId="5">#REF!</definedName>
    <definedName name="tabela3" localSheetId="2">#REF!</definedName>
    <definedName name="tabela3" localSheetId="6">#REF!</definedName>
    <definedName name="tabela3">#REF!</definedName>
    <definedName name="tb" localSheetId="4">#REF!</definedName>
    <definedName name="tb" localSheetId="7">#REF!</definedName>
    <definedName name="tb" localSheetId="5">#REF!</definedName>
    <definedName name="tb" localSheetId="2">#REF!</definedName>
    <definedName name="tb" localSheetId="6">#REF!</definedName>
    <definedName name="tb">#REF!</definedName>
    <definedName name="Terr_preços" localSheetId="4">#REF!</definedName>
    <definedName name="Terr_preços" localSheetId="7">#REF!</definedName>
    <definedName name="Terr_preços" localSheetId="1">#REF!</definedName>
    <definedName name="Terr_preços" localSheetId="5">#REF!</definedName>
    <definedName name="Terr_preços" localSheetId="2">#REF!</definedName>
    <definedName name="Terr_preços" localSheetId="6">#REF!</definedName>
    <definedName name="Terr_preços">#REF!</definedName>
    <definedName name="TERRA" localSheetId="4">#REF!</definedName>
    <definedName name="TERRA" localSheetId="7">#REF!</definedName>
    <definedName name="TERRA" localSheetId="5">#REF!</definedName>
    <definedName name="TERRA" localSheetId="2">#REF!</definedName>
    <definedName name="TERRA" localSheetId="6">#REF!</definedName>
    <definedName name="TERRA">#REF!</definedName>
    <definedName name="terraplenagem" localSheetId="4">#REF!</definedName>
    <definedName name="terraplenagem" localSheetId="7">#REF!</definedName>
    <definedName name="terraplenagem" localSheetId="5">#REF!</definedName>
    <definedName name="terraplenagem" localSheetId="2">#REF!</definedName>
    <definedName name="terraplenagem" localSheetId="6">#REF!</definedName>
    <definedName name="terraplenagem">#REF!</definedName>
    <definedName name="terraplenagem_2" localSheetId="4">#REF!</definedName>
    <definedName name="terraplenagem_2" localSheetId="7">#REF!</definedName>
    <definedName name="terraplenagem_2" localSheetId="5">#REF!</definedName>
    <definedName name="terraplenagem_2" localSheetId="2">#REF!</definedName>
    <definedName name="terraplenagem_2" localSheetId="6">#REF!</definedName>
    <definedName name="terraplenagem_2">#REF!</definedName>
    <definedName name="TESTE" localSheetId="0">#REF!</definedName>
    <definedName name="TESTE" localSheetId="4">#REF!</definedName>
    <definedName name="Teste" localSheetId="7">#REF!</definedName>
    <definedName name="Teste" localSheetId="5">#REF!</definedName>
    <definedName name="Teste" localSheetId="2">#REF!</definedName>
    <definedName name="Teste" localSheetId="6">#REF!</definedName>
    <definedName name="Teste">#REF!</definedName>
    <definedName name="TESTE_2" localSheetId="4">#REF!</definedName>
    <definedName name="TESTE_2" localSheetId="7">#REF!</definedName>
    <definedName name="TESTE_2" localSheetId="5">#REF!</definedName>
    <definedName name="TESTE_2" localSheetId="2">#REF!</definedName>
    <definedName name="TESTE_2" localSheetId="6">#REF!</definedName>
    <definedName name="TESTE_2">#REF!</definedName>
    <definedName name="teste2" localSheetId="4">#REF!</definedName>
    <definedName name="teste2" localSheetId="7">#REF!</definedName>
    <definedName name="teste2" localSheetId="5">#REF!</definedName>
    <definedName name="teste2" localSheetId="2">#REF!</definedName>
    <definedName name="teste2" localSheetId="6">#REF!</definedName>
    <definedName name="teste2">#REF!</definedName>
    <definedName name="teste2_2" localSheetId="4">#REF!</definedName>
    <definedName name="teste2_2" localSheetId="7">#REF!</definedName>
    <definedName name="teste2_2" localSheetId="5">#REF!</definedName>
    <definedName name="teste2_2" localSheetId="2">#REF!</definedName>
    <definedName name="teste2_2" localSheetId="6">#REF!</definedName>
    <definedName name="teste2_2">#REF!</definedName>
    <definedName name="tetete" localSheetId="0">#REF!</definedName>
    <definedName name="tetete" localSheetId="4">#REF!</definedName>
    <definedName name="tetete" localSheetId="7">#REF!</definedName>
    <definedName name="tetete" localSheetId="5">#REF!</definedName>
    <definedName name="tetete" localSheetId="2">#REF!</definedName>
    <definedName name="tetete" localSheetId="6">#REF!</definedName>
    <definedName name="tetete">#REF!</definedName>
    <definedName name="tex" localSheetId="0">#REF!</definedName>
    <definedName name="tex" localSheetId="4">#REF!</definedName>
    <definedName name="tex" localSheetId="7">#REF!</definedName>
    <definedName name="tex" localSheetId="5">#REF!</definedName>
    <definedName name="tex" localSheetId="2">#REF!</definedName>
    <definedName name="tex" localSheetId="6">#REF!</definedName>
    <definedName name="tex">#REF!</definedName>
    <definedName name="tipobloco" localSheetId="4">#REF!</definedName>
    <definedName name="tipobloco" localSheetId="7">#REF!</definedName>
    <definedName name="tipobloco" localSheetId="5">#REF!</definedName>
    <definedName name="tipobloco" localSheetId="2">#REF!</definedName>
    <definedName name="tipobloco" localSheetId="6">#REF!</definedName>
    <definedName name="tipobloco">#REF!</definedName>
    <definedName name="titulo" localSheetId="0">#REF!</definedName>
    <definedName name="titulo" localSheetId="4">#REF!</definedName>
    <definedName name="titulo" localSheetId="7">#REF!</definedName>
    <definedName name="titulo" localSheetId="5">#REF!</definedName>
    <definedName name="titulo" localSheetId="2">#REF!</definedName>
    <definedName name="titulo" localSheetId="6">#REF!</definedName>
    <definedName name="titulo">#REF!</definedName>
    <definedName name="_xlnm.Print_Titles" localSheetId="1">'REL. CAMIN. 1ª MED EV - GAMERIM'!$1:$6</definedName>
    <definedName name="_xlnm.Print_Titles" localSheetId="5">'REL. CAMIN. 2ª MED EV - GAMERIM'!$1:$6</definedName>
    <definedName name="_xlnm.Print_Titles" localSheetId="2">'RELAÇÃO PEDÁGIO 1ª EV - GAMERIM'!$1:$6</definedName>
    <definedName name="_xlnm.Print_Titles" localSheetId="6">'RELAÇÃO PEDÁGIO 2ª EV - GAMERIM'!$1:$6</definedName>
    <definedName name="_xlnm.Print_Titles">#N/A</definedName>
    <definedName name="Títulos_impressão_IM" localSheetId="4">#REF!</definedName>
    <definedName name="Títulos_impressão_IM" localSheetId="7">#REF!</definedName>
    <definedName name="Títulos_impressão_IM" localSheetId="1">#REF!</definedName>
    <definedName name="Títulos_impressão_IM" localSheetId="5">#REF!</definedName>
    <definedName name="Títulos_impressão_IM" localSheetId="2">#REF!</definedName>
    <definedName name="Títulos_impressão_IM" localSheetId="6">#REF!</definedName>
    <definedName name="Títulos_impressão_IM">#REF!</definedName>
    <definedName name="topo" localSheetId="4">#REF!</definedName>
    <definedName name="topo" localSheetId="7">#REF!</definedName>
    <definedName name="topo" localSheetId="5">#REF!</definedName>
    <definedName name="topo" localSheetId="2">#REF!</definedName>
    <definedName name="topo" localSheetId="6">#REF!</definedName>
    <definedName name="topo">#REF!</definedName>
    <definedName name="TOT" localSheetId="4">#REF!</definedName>
    <definedName name="TOT" localSheetId="7">#REF!</definedName>
    <definedName name="TOT" localSheetId="5">#REF!</definedName>
    <definedName name="TOT" localSheetId="2">#REF!</definedName>
    <definedName name="TOT" localSheetId="6">#REF!</definedName>
    <definedName name="TOT">#REF!</definedName>
    <definedName name="tot3estac" localSheetId="4">#REF!</definedName>
    <definedName name="tot3estac" localSheetId="7">#REF!</definedName>
    <definedName name="tot3estac" localSheetId="5">#REF!</definedName>
    <definedName name="tot3estac" localSheetId="2">#REF!</definedName>
    <definedName name="tot3estac" localSheetId="6">#REF!</definedName>
    <definedName name="tot3estac">#REF!</definedName>
    <definedName name="total" localSheetId="4">#REF!</definedName>
    <definedName name="total" localSheetId="7">#REF!</definedName>
    <definedName name="total" localSheetId="5">#REF!</definedName>
    <definedName name="total" localSheetId="2">#REF!</definedName>
    <definedName name="total" localSheetId="6">#REF!</definedName>
    <definedName name="total">#REF!</definedName>
    <definedName name="total_2" localSheetId="4">#REF!</definedName>
    <definedName name="total_2" localSheetId="7">#REF!</definedName>
    <definedName name="total_2" localSheetId="5">#REF!</definedName>
    <definedName name="total_2" localSheetId="2">#REF!</definedName>
    <definedName name="total_2" localSheetId="6">#REF!</definedName>
    <definedName name="total_2">#REF!</definedName>
    <definedName name="totbase" localSheetId="4">#REF!</definedName>
    <definedName name="totbase" localSheetId="7">#REF!</definedName>
    <definedName name="totbase" localSheetId="5">#REF!</definedName>
    <definedName name="totbase" localSheetId="2">#REF!</definedName>
    <definedName name="totbase" localSheetId="6">#REF!</definedName>
    <definedName name="totbase">#REF!</definedName>
    <definedName name="totestaca" localSheetId="4">#REF!</definedName>
    <definedName name="totestaca" localSheetId="7">#REF!</definedName>
    <definedName name="totestaca" localSheetId="1">#REF!</definedName>
    <definedName name="totestaca" localSheetId="5">#REF!</definedName>
    <definedName name="totestaca" localSheetId="2">#REF!</definedName>
    <definedName name="totestaca" localSheetId="6">#REF!</definedName>
    <definedName name="totestaca">#REF!</definedName>
    <definedName name="toto" localSheetId="0">#REF!</definedName>
    <definedName name="toto" localSheetId="4">#REF!</definedName>
    <definedName name="toto" localSheetId="7">#REF!</definedName>
    <definedName name="toto" localSheetId="5">#REF!</definedName>
    <definedName name="toto" localSheetId="2">#REF!</definedName>
    <definedName name="toto" localSheetId="6">#REF!</definedName>
    <definedName name="toto">#REF!</definedName>
    <definedName name="totperfura" localSheetId="4">#REF!</definedName>
    <definedName name="totperfura" localSheetId="7">#REF!</definedName>
    <definedName name="totperfura" localSheetId="5">#REF!</definedName>
    <definedName name="totperfura" localSheetId="2">#REF!</definedName>
    <definedName name="totperfura" localSheetId="6">#REF!</definedName>
    <definedName name="totperfura">#REF!</definedName>
    <definedName name="TRANS" localSheetId="4">#REF!</definedName>
    <definedName name="TRANS" localSheetId="7">#REF!</definedName>
    <definedName name="TRANS" localSheetId="1">#REF!</definedName>
    <definedName name="TRANS" localSheetId="5">#REF!</definedName>
    <definedName name="TRANS" localSheetId="2">#REF!</definedName>
    <definedName name="TRANS" localSheetId="6">#REF!</definedName>
    <definedName name="TRANS">#REF!</definedName>
    <definedName name="TRANSPORTE" localSheetId="4">#REF!</definedName>
    <definedName name="TRANSPORTE" localSheetId="7">#REF!</definedName>
    <definedName name="TRANSPORTE" localSheetId="1">#REF!</definedName>
    <definedName name="TRANSPORTE" localSheetId="5">#REF!</definedName>
    <definedName name="TRANSPORTE" localSheetId="2">#REF!</definedName>
    <definedName name="TRANSPORTE" localSheetId="6">#REF!</definedName>
    <definedName name="TRANSPORTE">#REF!</definedName>
    <definedName name="trecho" localSheetId="4">#REF!</definedName>
    <definedName name="trecho" localSheetId="7">#REF!</definedName>
    <definedName name="trecho" localSheetId="1">#REF!</definedName>
    <definedName name="trecho" localSheetId="5">#REF!</definedName>
    <definedName name="trecho" localSheetId="2">#REF!</definedName>
    <definedName name="trecho" localSheetId="6">#REF!</definedName>
    <definedName name="trecho">#REF!</definedName>
    <definedName name="TROCA" localSheetId="4">#REF!</definedName>
    <definedName name="TROCA" localSheetId="7">#REF!</definedName>
    <definedName name="TROCA" localSheetId="5">#REF!</definedName>
    <definedName name="TROCA" localSheetId="2">#REF!</definedName>
    <definedName name="TROCA" localSheetId="6">#REF!</definedName>
    <definedName name="TROCA">#REF!</definedName>
    <definedName name="TROCA_2" localSheetId="4">#REF!</definedName>
    <definedName name="TROCA_2" localSheetId="7">#REF!</definedName>
    <definedName name="TROCA_2" localSheetId="5">#REF!</definedName>
    <definedName name="TROCA_2" localSheetId="2">#REF!</definedName>
    <definedName name="TROCA_2" localSheetId="6">#REF!</definedName>
    <definedName name="TROCA_2">#REF!</definedName>
    <definedName name="TRP" localSheetId="0">#REF!</definedName>
    <definedName name="TRP" localSheetId="4">#REF!</definedName>
    <definedName name="TRP" localSheetId="7">#REF!</definedName>
    <definedName name="TRP" localSheetId="5">#REF!</definedName>
    <definedName name="TRP" localSheetId="2">#REF!</definedName>
    <definedName name="TRP" localSheetId="6">#REF!</definedName>
    <definedName name="TRP">#REF!</definedName>
    <definedName name="TRP_12" localSheetId="4">#REF!</definedName>
    <definedName name="TRP_12" localSheetId="7">#REF!</definedName>
    <definedName name="TRP_12" localSheetId="5">#REF!</definedName>
    <definedName name="TRP_12" localSheetId="2">#REF!</definedName>
    <definedName name="TRP_12" localSheetId="6">#REF!</definedName>
    <definedName name="TRP_12">#REF!</definedName>
    <definedName name="TRP_13" localSheetId="4">#REF!</definedName>
    <definedName name="TRP_13" localSheetId="7">#REF!</definedName>
    <definedName name="TRP_13" localSheetId="5">#REF!</definedName>
    <definedName name="TRP_13" localSheetId="2">#REF!</definedName>
    <definedName name="TRP_13" localSheetId="6">#REF!</definedName>
    <definedName name="TRP_13">#REF!</definedName>
    <definedName name="TRP_19" localSheetId="4">#REF!</definedName>
    <definedName name="TRP_19" localSheetId="7">#REF!</definedName>
    <definedName name="TRP_19" localSheetId="5">#REF!</definedName>
    <definedName name="TRP_19" localSheetId="2">#REF!</definedName>
    <definedName name="TRP_19" localSheetId="6">#REF!</definedName>
    <definedName name="TRP_19">#REF!</definedName>
    <definedName name="TRP_2" localSheetId="4">#REF!</definedName>
    <definedName name="TRP_2" localSheetId="7">#REF!</definedName>
    <definedName name="TRP_2" localSheetId="5">#REF!</definedName>
    <definedName name="TRP_2" localSheetId="2">#REF!</definedName>
    <definedName name="TRP_2" localSheetId="6">#REF!</definedName>
    <definedName name="TRP_2">#REF!</definedName>
    <definedName name="TRP_20" localSheetId="4">#REF!</definedName>
    <definedName name="TRP_20" localSheetId="7">#REF!</definedName>
    <definedName name="TRP_20" localSheetId="5">#REF!</definedName>
    <definedName name="TRP_20" localSheetId="2">#REF!</definedName>
    <definedName name="TRP_20" localSheetId="6">#REF!</definedName>
    <definedName name="TRP_20">#REF!</definedName>
    <definedName name="TRP_24" localSheetId="4">#REF!</definedName>
    <definedName name="TRP_24" localSheetId="7">#REF!</definedName>
    <definedName name="TRP_24" localSheetId="5">#REF!</definedName>
    <definedName name="TRP_24" localSheetId="2">#REF!</definedName>
    <definedName name="TRP_24" localSheetId="6">#REF!</definedName>
    <definedName name="TRP_24">#REF!</definedName>
    <definedName name="TRP_25" localSheetId="4">#REF!</definedName>
    <definedName name="TRP_25" localSheetId="7">#REF!</definedName>
    <definedName name="TRP_25" localSheetId="5">#REF!</definedName>
    <definedName name="TRP_25" localSheetId="2">#REF!</definedName>
    <definedName name="TRP_25" localSheetId="6">#REF!</definedName>
    <definedName name="TRP_25">#REF!</definedName>
    <definedName name="TRP_26" localSheetId="4">#REF!</definedName>
    <definedName name="TRP_26" localSheetId="7">#REF!</definedName>
    <definedName name="TRP_26" localSheetId="5">#REF!</definedName>
    <definedName name="TRP_26" localSheetId="2">#REF!</definedName>
    <definedName name="TRP_26" localSheetId="6">#REF!</definedName>
    <definedName name="TRP_26">#REF!</definedName>
    <definedName name="TRP_30" localSheetId="4">#REF!</definedName>
    <definedName name="TRP_30" localSheetId="7">#REF!</definedName>
    <definedName name="TRP_30" localSheetId="5">#REF!</definedName>
    <definedName name="TRP_30" localSheetId="2">#REF!</definedName>
    <definedName name="TRP_30" localSheetId="6">#REF!</definedName>
    <definedName name="TRP_30">#REF!</definedName>
    <definedName name="TRP_31" localSheetId="4">#REF!</definedName>
    <definedName name="TRP_31" localSheetId="7">#REF!</definedName>
    <definedName name="TRP_31" localSheetId="5">#REF!</definedName>
    <definedName name="TRP_31" localSheetId="2">#REF!</definedName>
    <definedName name="TRP_31" localSheetId="6">#REF!</definedName>
    <definedName name="TRP_31">#REF!</definedName>
    <definedName name="TRP_5" localSheetId="4">#REF!</definedName>
    <definedName name="TRP_5" localSheetId="7">#REF!</definedName>
    <definedName name="TRP_5" localSheetId="5">#REF!</definedName>
    <definedName name="TRP_5" localSheetId="2">#REF!</definedName>
    <definedName name="TRP_5" localSheetId="6">#REF!</definedName>
    <definedName name="TRP_5">#REF!</definedName>
    <definedName name="TRP_5_2" localSheetId="4">#REF!</definedName>
    <definedName name="TRP_5_2" localSheetId="7">#REF!</definedName>
    <definedName name="TRP_5_2" localSheetId="5">#REF!</definedName>
    <definedName name="TRP_5_2" localSheetId="2">#REF!</definedName>
    <definedName name="TRP_5_2" localSheetId="6">#REF!</definedName>
    <definedName name="TRP_5_2">#REF!</definedName>
    <definedName name="TRP_7" localSheetId="4">#REF!</definedName>
    <definedName name="TRP_7" localSheetId="7">#REF!</definedName>
    <definedName name="TRP_7" localSheetId="5">#REF!</definedName>
    <definedName name="TRP_7" localSheetId="2">#REF!</definedName>
    <definedName name="TRP_7" localSheetId="6">#REF!</definedName>
    <definedName name="TRP_7">#REF!</definedName>
    <definedName name="TRP_72" localSheetId="4">#REF!</definedName>
    <definedName name="TRP_72" localSheetId="7">#REF!</definedName>
    <definedName name="TRP_72" localSheetId="5">#REF!</definedName>
    <definedName name="TRP_72" localSheetId="2">#REF!</definedName>
    <definedName name="TRP_72" localSheetId="6">#REF!</definedName>
    <definedName name="TRP_72">#REF!</definedName>
    <definedName name="TRP_78" localSheetId="4">#REF!</definedName>
    <definedName name="TRP_78" localSheetId="7">#REF!</definedName>
    <definedName name="TRP_78" localSheetId="5">#REF!</definedName>
    <definedName name="TRP_78" localSheetId="2">#REF!</definedName>
    <definedName name="TRP_78" localSheetId="6">#REF!</definedName>
    <definedName name="TRP_78">#REF!</definedName>
    <definedName name="TRP_82" localSheetId="4">#REF!</definedName>
    <definedName name="TRP_82" localSheetId="7">#REF!</definedName>
    <definedName name="TRP_82" localSheetId="5">#REF!</definedName>
    <definedName name="TRP_82" localSheetId="2">#REF!</definedName>
    <definedName name="TRP_82" localSheetId="6">#REF!</definedName>
    <definedName name="TRP_82">#REF!</definedName>
    <definedName name="TRP_84" localSheetId="4">#REF!</definedName>
    <definedName name="TRP_84" localSheetId="7">#REF!</definedName>
    <definedName name="TRP_84" localSheetId="5">#REF!</definedName>
    <definedName name="TRP_84" localSheetId="2">#REF!</definedName>
    <definedName name="TRP_84" localSheetId="6">#REF!</definedName>
    <definedName name="TRP_84">#REF!</definedName>
    <definedName name="TRP_88" localSheetId="4">#REF!</definedName>
    <definedName name="TRP_88" localSheetId="7">#REF!</definedName>
    <definedName name="TRP_88" localSheetId="5">#REF!</definedName>
    <definedName name="TRP_88" localSheetId="2">#REF!</definedName>
    <definedName name="TRP_88" localSheetId="6">#REF!</definedName>
    <definedName name="TRP_88">#REF!</definedName>
    <definedName name="TRP_90" localSheetId="4">#REF!</definedName>
    <definedName name="TRP_90" localSheetId="7">#REF!</definedName>
    <definedName name="TRP_90" localSheetId="5">#REF!</definedName>
    <definedName name="TRP_90" localSheetId="2">#REF!</definedName>
    <definedName name="TRP_90" localSheetId="6">#REF!</definedName>
    <definedName name="TRP_90">#REF!</definedName>
    <definedName name="TRP_91" localSheetId="4">#REF!</definedName>
    <definedName name="TRP_91" localSheetId="7">#REF!</definedName>
    <definedName name="TRP_91" localSheetId="5">#REF!</definedName>
    <definedName name="TRP_91" localSheetId="2">#REF!</definedName>
    <definedName name="TRP_91" localSheetId="6">#REF!</definedName>
    <definedName name="TRP_91">#REF!</definedName>
    <definedName name="TRP_92" localSheetId="4">#REF!</definedName>
    <definedName name="TRP_92" localSheetId="7">#REF!</definedName>
    <definedName name="TRP_92" localSheetId="5">#REF!</definedName>
    <definedName name="TRP_92" localSheetId="2">#REF!</definedName>
    <definedName name="TRP_92" localSheetId="6">#REF!</definedName>
    <definedName name="TRP_92">#REF!</definedName>
    <definedName name="TRP_93" localSheetId="4">#REF!</definedName>
    <definedName name="TRP_93" localSheetId="7">#REF!</definedName>
    <definedName name="TRP_93" localSheetId="5">#REF!</definedName>
    <definedName name="TRP_93" localSheetId="2">#REF!</definedName>
    <definedName name="TRP_93" localSheetId="6">#REF!</definedName>
    <definedName name="TRP_93">#REF!</definedName>
    <definedName name="TRP_94" localSheetId="4">#REF!</definedName>
    <definedName name="TRP_94" localSheetId="7">#REF!</definedName>
    <definedName name="TRP_94" localSheetId="5">#REF!</definedName>
    <definedName name="TRP_94" localSheetId="2">#REF!</definedName>
    <definedName name="TRP_94" localSheetId="6">#REF!</definedName>
    <definedName name="TRP_94">#REF!</definedName>
    <definedName name="trpaa" localSheetId="4">#REF!</definedName>
    <definedName name="trpaa" localSheetId="7">#REF!</definedName>
    <definedName name="trpaa" localSheetId="5">#REF!</definedName>
    <definedName name="trpaa" localSheetId="2">#REF!</definedName>
    <definedName name="trpaa" localSheetId="6">#REF!</definedName>
    <definedName name="trpaa">#REF!</definedName>
    <definedName name="trpaa_2" localSheetId="4">#REF!</definedName>
    <definedName name="trpaa_2" localSheetId="7">#REF!</definedName>
    <definedName name="trpaa_2" localSheetId="5">#REF!</definedName>
    <definedName name="trpaa_2" localSheetId="2">#REF!</definedName>
    <definedName name="trpaa_2" localSheetId="6">#REF!</definedName>
    <definedName name="trpaa_2">#REF!</definedName>
    <definedName name="trpaa_5" localSheetId="4">#REF!</definedName>
    <definedName name="trpaa_5" localSheetId="7">#REF!</definedName>
    <definedName name="trpaa_5" localSheetId="5">#REF!</definedName>
    <definedName name="trpaa_5" localSheetId="2">#REF!</definedName>
    <definedName name="trpaa_5" localSheetId="6">#REF!</definedName>
    <definedName name="trpaa_5">#REF!</definedName>
    <definedName name="trpaa_5_2" localSheetId="4">#REF!</definedName>
    <definedName name="trpaa_5_2" localSheetId="7">#REF!</definedName>
    <definedName name="trpaa_5_2" localSheetId="5">#REF!</definedName>
    <definedName name="trpaa_5_2" localSheetId="2">#REF!</definedName>
    <definedName name="trpaa_5_2" localSheetId="6">#REF!</definedName>
    <definedName name="trpaa_5_2">#REF!</definedName>
    <definedName name="TS" localSheetId="0">#REF!</definedName>
    <definedName name="TS" localSheetId="4">#REF!</definedName>
    <definedName name="TS" localSheetId="7">#REF!</definedName>
    <definedName name="TS" localSheetId="5">#REF!</definedName>
    <definedName name="TS" localSheetId="2">#REF!</definedName>
    <definedName name="TS" localSheetId="6">#REF!</definedName>
    <definedName name="TS">#REF!</definedName>
    <definedName name="TSDisp.149" localSheetId="4">#REF!</definedName>
    <definedName name="TSDisp.149" localSheetId="7">#REF!</definedName>
    <definedName name="TSDisp.149" localSheetId="5">#REF!</definedName>
    <definedName name="TSDisp.149" localSheetId="2">#REF!</definedName>
    <definedName name="TSDisp.149" localSheetId="6">#REF!</definedName>
    <definedName name="TSDisp.149">#REF!</definedName>
    <definedName name="tudo" localSheetId="4">#REF!</definedName>
    <definedName name="tudo" localSheetId="7">#REF!</definedName>
    <definedName name="tudo" localSheetId="5">#REF!</definedName>
    <definedName name="tudo" localSheetId="2">#REF!</definedName>
    <definedName name="tudo" localSheetId="6">#REF!</definedName>
    <definedName name="tudo">#REF!</definedName>
    <definedName name="Tunnel_Liner" localSheetId="4">#REF!</definedName>
    <definedName name="Tunnel_Liner" localSheetId="7">#REF!</definedName>
    <definedName name="Tunnel_Liner" localSheetId="5">#REF!</definedName>
    <definedName name="Tunnel_Liner" localSheetId="2">#REF!</definedName>
    <definedName name="Tunnel_Liner" localSheetId="6">#REF!</definedName>
    <definedName name="Tunnel_Liner">#REF!</definedName>
    <definedName name="TY" localSheetId="0">#REF!</definedName>
    <definedName name="TY" localSheetId="4">#REF!</definedName>
    <definedName name="TY" localSheetId="7">#REF!</definedName>
    <definedName name="TY" localSheetId="5">#REF!</definedName>
    <definedName name="TY" localSheetId="2">#REF!</definedName>
    <definedName name="TY" localSheetId="6">#REF!</definedName>
    <definedName name="TY">#REF!</definedName>
    <definedName name="unidade" localSheetId="4">#REF!</definedName>
    <definedName name="unidade" localSheetId="7">#REF!</definedName>
    <definedName name="unidade" localSheetId="1">#REF!</definedName>
    <definedName name="unidade" localSheetId="5">#REF!</definedName>
    <definedName name="unidade" localSheetId="2">#REF!</definedName>
    <definedName name="unidade" localSheetId="6">#REF!</definedName>
    <definedName name="unidade">#REF!</definedName>
    <definedName name="Unidades" localSheetId="4">#REF!</definedName>
    <definedName name="Unidades" localSheetId="7">#REF!</definedName>
    <definedName name="Unidades" localSheetId="5">#REF!</definedName>
    <definedName name="Unidades" localSheetId="2">#REF!</definedName>
    <definedName name="Unidades" localSheetId="6">#REF!</definedName>
    <definedName name="Unidades">#REF!</definedName>
    <definedName name="unit" localSheetId="4">#REF!</definedName>
    <definedName name="unit" localSheetId="7">#REF!</definedName>
    <definedName name="unit" localSheetId="1">#REF!</definedName>
    <definedName name="unit" localSheetId="5">#REF!</definedName>
    <definedName name="unit" localSheetId="2">#REF!</definedName>
    <definedName name="unit" localSheetId="6">#REF!</definedName>
    <definedName name="unit">#REF!</definedName>
    <definedName name="USA" localSheetId="4">#REF!</definedName>
    <definedName name="USA" localSheetId="7">#REF!</definedName>
    <definedName name="USA" localSheetId="1">#REF!</definedName>
    <definedName name="USA" localSheetId="5">#REF!</definedName>
    <definedName name="USA" localSheetId="2">#REF!</definedName>
    <definedName name="USA" localSheetId="6">#REF!</definedName>
    <definedName name="USA">#REF!</definedName>
    <definedName name="UU" localSheetId="4">#REF!</definedName>
    <definedName name="UU" localSheetId="7">#REF!</definedName>
    <definedName name="UU" localSheetId="1">#REF!</definedName>
    <definedName name="UU" localSheetId="5">#REF!</definedName>
    <definedName name="UU" localSheetId="2">#REF!</definedName>
    <definedName name="UU" localSheetId="6">#REF!</definedName>
    <definedName name="UU">#REF!</definedName>
    <definedName name="UUU" localSheetId="0">#REF!</definedName>
    <definedName name="UUU" localSheetId="4">#REF!</definedName>
    <definedName name="uuu" localSheetId="7">#REF!</definedName>
    <definedName name="uuu" localSheetId="5">#REF!</definedName>
    <definedName name="uuu" localSheetId="2">#REF!</definedName>
    <definedName name="uuu" localSheetId="6">#REF!</definedName>
    <definedName name="uuu">#REF!</definedName>
    <definedName name="VALORES_DINAMICA" localSheetId="0">#REF!</definedName>
    <definedName name="VALORES_DINAMICA" localSheetId="4">#REF!</definedName>
    <definedName name="VALORES_DINAMICA" localSheetId="7">#REF!</definedName>
    <definedName name="VALORES_DINAMICA" localSheetId="5">#REF!</definedName>
    <definedName name="VALORES_DINAMICA" localSheetId="2">#REF!</definedName>
    <definedName name="VALORES_DINAMICA" localSheetId="6">#REF!</definedName>
    <definedName name="VALORES_DINAMICA">#REF!</definedName>
    <definedName name="VAX_ANT" localSheetId="4">#REF!</definedName>
    <definedName name="VAX_ANT" localSheetId="7">#REF!</definedName>
    <definedName name="VAX_ANT" localSheetId="5">#REF!</definedName>
    <definedName name="VAX_ANT" localSheetId="2">#REF!</definedName>
    <definedName name="VAX_ANT" localSheetId="6">#REF!</definedName>
    <definedName name="VAX_ANT">#REF!</definedName>
    <definedName name="VAX_ANT_2" localSheetId="4">#REF!</definedName>
    <definedName name="VAX_ANT_2" localSheetId="7">#REF!</definedName>
    <definedName name="VAX_ANT_2" localSheetId="5">#REF!</definedName>
    <definedName name="VAX_ANT_2" localSheetId="2">#REF!</definedName>
    <definedName name="VAX_ANT_2" localSheetId="6">#REF!</definedName>
    <definedName name="VAX_ANT_2">#REF!</definedName>
    <definedName name="VEIC" localSheetId="4">#REF!</definedName>
    <definedName name="VEIC" localSheetId="7">#REF!</definedName>
    <definedName name="VEIC" localSheetId="5">#REF!</definedName>
    <definedName name="VEIC" localSheetId="2">#REF!</definedName>
    <definedName name="VEIC" localSheetId="6">#REF!</definedName>
    <definedName name="VEIC">#REF!</definedName>
    <definedName name="VERSAO_1" localSheetId="0">#REF!</definedName>
    <definedName name="VERSAO_1" localSheetId="4">#REF!</definedName>
    <definedName name="VERSAO_1" localSheetId="7">#REF!</definedName>
    <definedName name="VERSAO_1" localSheetId="5">#REF!</definedName>
    <definedName name="VERSAO_1" localSheetId="2">#REF!</definedName>
    <definedName name="VERSAO_1" localSheetId="6">#REF!</definedName>
    <definedName name="VERSAO_1">#REF!</definedName>
    <definedName name="VIDROS">#N/A</definedName>
    <definedName name="VRL" localSheetId="4">#REF!</definedName>
    <definedName name="VRL" localSheetId="7">#REF!</definedName>
    <definedName name="VRL" localSheetId="5">#REF!</definedName>
    <definedName name="VRL" localSheetId="2">#REF!</definedName>
    <definedName name="VRL" localSheetId="6">#REF!</definedName>
    <definedName name="VRL">#REF!</definedName>
    <definedName name="VRL_2" localSheetId="4">#REF!</definedName>
    <definedName name="VRL_2" localSheetId="7">#REF!</definedName>
    <definedName name="VRL_2" localSheetId="5">#REF!</definedName>
    <definedName name="VRL_2" localSheetId="2">#REF!</definedName>
    <definedName name="VRL_2" localSheetId="6">#REF!</definedName>
    <definedName name="VRL_2">#REF!</definedName>
    <definedName name="VRL0" localSheetId="4">#REF!</definedName>
    <definedName name="VRL0" localSheetId="7">#REF!</definedName>
    <definedName name="VRL0" localSheetId="5">#REF!</definedName>
    <definedName name="VRL0" localSheetId="2">#REF!</definedName>
    <definedName name="VRL0" localSheetId="6">#REF!</definedName>
    <definedName name="VRL0">#REF!</definedName>
    <definedName name="VRL0_2" localSheetId="4">#REF!</definedName>
    <definedName name="VRL0_2" localSheetId="7">#REF!</definedName>
    <definedName name="VRL0_2" localSheetId="5">#REF!</definedName>
    <definedName name="VRL0_2" localSheetId="2">#REF!</definedName>
    <definedName name="VRL0_2" localSheetId="6">#REF!</definedName>
    <definedName name="VRL0_2">#REF!</definedName>
    <definedName name="wdc" localSheetId="0">#REF!</definedName>
    <definedName name="wdc" localSheetId="4">#REF!</definedName>
    <definedName name="wdc" localSheetId="7">#REF!</definedName>
    <definedName name="wdc" localSheetId="5">#REF!</definedName>
    <definedName name="wdc" localSheetId="2">#REF!</definedName>
    <definedName name="wdc" localSheetId="6">#REF!</definedName>
    <definedName name="wdc">#REF!</definedName>
    <definedName name="wdwqdq" localSheetId="4" hidden="1">#REF!</definedName>
    <definedName name="wdwqdq" localSheetId="7" hidden="1">#REF!</definedName>
    <definedName name="wdwqdq" localSheetId="1" hidden="1">#REF!</definedName>
    <definedName name="wdwqdq" localSheetId="5" hidden="1">#REF!</definedName>
    <definedName name="wdwqdq" localSheetId="2" hidden="1">#REF!</definedName>
    <definedName name="wdwqdq" localSheetId="6" hidden="1">#REF!</definedName>
    <definedName name="wdwqdq" hidden="1">#REF!</definedName>
    <definedName name="WQ" localSheetId="0">#REF!</definedName>
    <definedName name="WQ" localSheetId="4">#REF!</definedName>
    <definedName name="WQ" localSheetId="7">#REF!</definedName>
    <definedName name="WQ" localSheetId="5">#REF!</definedName>
    <definedName name="WQ" localSheetId="2">#REF!</definedName>
    <definedName name="WQ" localSheetId="6">#REF!</definedName>
    <definedName name="WQ">#REF!</definedName>
    <definedName name="wrn.DESDOBRE." localSheetId="4" hidden="1">{#N/A,#N/A,FALSE,"CPV";#N/A,#N/A,FALSE,"Pareto";#N/A,#N/A,FALSE,"Gráficos"}</definedName>
    <definedName name="wrn.DESDOBRE." localSheetId="3" hidden="1">{#N/A,#N/A,FALSE,"CPV";#N/A,#N/A,FALSE,"Pareto";#N/A,#N/A,FALSE,"Gráficos"}</definedName>
    <definedName name="wrn.DESDOBRE." localSheetId="7" hidden="1">{#N/A,#N/A,FALSE,"CPV";#N/A,#N/A,FALSE,"Pareto";#N/A,#N/A,FALSE,"Gráficos"}</definedName>
    <definedName name="wrn.DESDOBRE." localSheetId="1" hidden="1">{#N/A,#N/A,FALSE,"CPV";#N/A,#N/A,FALSE,"Pareto";#N/A,#N/A,FALSE,"Gráficos"}</definedName>
    <definedName name="wrn.DESDOBRE." localSheetId="5" hidden="1">{#N/A,#N/A,FALSE,"CPV";#N/A,#N/A,FALSE,"Pareto";#N/A,#N/A,FALSE,"Gráficos"}</definedName>
    <definedName name="wrn.DESDOBRE." localSheetId="2" hidden="1">{#N/A,#N/A,FALSE,"CPV";#N/A,#N/A,FALSE,"Pareto";#N/A,#N/A,FALSE,"Gráficos"}</definedName>
    <definedName name="wrn.DESDOBRE." localSheetId="6" hidden="1">{#N/A,#N/A,FALSE,"CPV";#N/A,#N/A,FALSE,"Pareto";#N/A,#N/A,FALSE,"Gráficos"}</definedName>
    <definedName name="wrn.DESDOBRE." hidden="1">{#N/A,#N/A,FALSE,"CPV";#N/A,#N/A,FALSE,"Pareto";#N/A,#N/A,FALSE,"Gráficos"}</definedName>
    <definedName name="wrn.PENDENCIAS.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Quadros._.relatório." localSheetId="4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3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7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5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2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6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SBBE." localSheetId="4" hidden="1">{#N/A,#N/A,FALSE,"Plan1"}</definedName>
    <definedName name="wrn.SBBE." localSheetId="3" hidden="1">{#N/A,#N/A,FALSE,"Plan1"}</definedName>
    <definedName name="wrn.SBBE." localSheetId="7" hidden="1">{#N/A,#N/A,FALSE,"Plan1"}</definedName>
    <definedName name="wrn.SBBE." localSheetId="1" hidden="1">{#N/A,#N/A,FALSE,"Plan1"}</definedName>
    <definedName name="wrn.SBBE." localSheetId="5" hidden="1">{#N/A,#N/A,FALSE,"Plan1"}</definedName>
    <definedName name="wrn.SBBE." localSheetId="2" hidden="1">{#N/A,#N/A,FALSE,"Plan1"}</definedName>
    <definedName name="wrn.SBBE." localSheetId="6" hidden="1">{#N/A,#N/A,FALSE,"Plan1"}</definedName>
    <definedName name="wrn.SBBE." hidden="1">{#N/A,#N/A,FALSE,"Plan1"}</definedName>
    <definedName name="WW" localSheetId="4">#REF!</definedName>
    <definedName name="WW" localSheetId="7">#REF!</definedName>
    <definedName name="WW" localSheetId="5">#REF!</definedName>
    <definedName name="WW" localSheetId="2">#REF!</definedName>
    <definedName name="WW" localSheetId="6">#REF!</definedName>
    <definedName name="WW">#REF!</definedName>
    <definedName name="WW_2" localSheetId="4">#REF!</definedName>
    <definedName name="WW_2" localSheetId="7">#REF!</definedName>
    <definedName name="WW_2" localSheetId="5">#REF!</definedName>
    <definedName name="WW_2" localSheetId="2">#REF!</definedName>
    <definedName name="WW_2" localSheetId="6">#REF!</definedName>
    <definedName name="WW_2">#REF!</definedName>
    <definedName name="WWW" localSheetId="4">#REF!</definedName>
    <definedName name="WWW" localSheetId="7">#REF!</definedName>
    <definedName name="WWW" localSheetId="5">#REF!</definedName>
    <definedName name="WWW" localSheetId="2">#REF!</definedName>
    <definedName name="WWW" localSheetId="6">#REF!</definedName>
    <definedName name="WWW">#REF!</definedName>
    <definedName name="Y" localSheetId="0">#REF!</definedName>
    <definedName name="Y" localSheetId="4">#REF!</definedName>
    <definedName name="Y" localSheetId="7">#REF!</definedName>
    <definedName name="Y" localSheetId="5">#REF!</definedName>
    <definedName name="Y" localSheetId="2">#REF!</definedName>
    <definedName name="Y" localSheetId="6">#REF!</definedName>
    <definedName name="Y">#REF!</definedName>
    <definedName name="YT" localSheetId="0">#REF!</definedName>
    <definedName name="YT" localSheetId="4">#REF!</definedName>
    <definedName name="YT" localSheetId="7">#REF!</definedName>
    <definedName name="YT" localSheetId="5">#REF!</definedName>
    <definedName name="YT" localSheetId="2">#REF!</definedName>
    <definedName name="YT" localSheetId="6">#REF!</definedName>
    <definedName name="YT">#REF!</definedName>
    <definedName name="YTRE" localSheetId="0">#REF!</definedName>
    <definedName name="YTRE" localSheetId="4">#REF!</definedName>
    <definedName name="YTRE" localSheetId="7">#REF!</definedName>
    <definedName name="YTRE" localSheetId="5">#REF!</definedName>
    <definedName name="YTRE" localSheetId="2">#REF!</definedName>
    <definedName name="YTRE" localSheetId="6">#REF!</definedName>
    <definedName name="YTRE">#REF!</definedName>
    <definedName name="Z" localSheetId="4" hidden="1">{#N/A,#N/A,FALSE,"Plan1"}</definedName>
    <definedName name="Z" localSheetId="3" hidden="1">{#N/A,#N/A,FALSE,"Plan1"}</definedName>
    <definedName name="Z" localSheetId="7" hidden="1">{#N/A,#N/A,FALSE,"Plan1"}</definedName>
    <definedName name="Z" localSheetId="1" hidden="1">{#N/A,#N/A,FALSE,"Plan1"}</definedName>
    <definedName name="Z" localSheetId="5" hidden="1">{#N/A,#N/A,FALSE,"Plan1"}</definedName>
    <definedName name="Z" localSheetId="2" hidden="1">{#N/A,#N/A,FALSE,"Plan1"}</definedName>
    <definedName name="Z" localSheetId="6" hidden="1">{#N/A,#N/A,FALSE,"Plan1"}</definedName>
    <definedName name="Z" hidden="1">{#N/A,#N/A,FALSE,"Plan1"}</definedName>
    <definedName name="Z_022B7420_7F94_427F_B370_84030F9B3342_.wvu.FilterData" localSheetId="4" hidden="1">#REF!</definedName>
    <definedName name="Z_022B7420_7F94_427F_B370_84030F9B3342_.wvu.FilterData" localSheetId="7" hidden="1">#REF!</definedName>
    <definedName name="Z_022B7420_7F94_427F_B370_84030F9B3342_.wvu.FilterData" localSheetId="5" hidden="1">#REF!</definedName>
    <definedName name="Z_022B7420_7F94_427F_B370_84030F9B3342_.wvu.FilterData" localSheetId="2" hidden="1">#REF!</definedName>
    <definedName name="Z_022B7420_7F94_427F_B370_84030F9B3342_.wvu.FilterData" localSheetId="6" hidden="1">#REF!</definedName>
    <definedName name="Z_022B7420_7F94_427F_B370_84030F9B3342_.wvu.FilterData" hidden="1">#REF!</definedName>
    <definedName name="Z_04BC043C_175B_412D_8093_6F29CD74FBAE_.wvu.FilterData" localSheetId="4" hidden="1">#REF!</definedName>
    <definedName name="Z_04BC043C_175B_412D_8093_6F29CD74FBAE_.wvu.FilterData" localSheetId="7" hidden="1">#REF!</definedName>
    <definedName name="Z_04BC043C_175B_412D_8093_6F29CD74FBAE_.wvu.FilterData" localSheetId="5" hidden="1">#REF!</definedName>
    <definedName name="Z_04BC043C_175B_412D_8093_6F29CD74FBAE_.wvu.FilterData" localSheetId="2" hidden="1">#REF!</definedName>
    <definedName name="Z_04BC043C_175B_412D_8093_6F29CD74FBAE_.wvu.FilterData" localSheetId="6" hidden="1">#REF!</definedName>
    <definedName name="Z_04BC043C_175B_412D_8093_6F29CD74FBAE_.wvu.FilterData" hidden="1">#REF!</definedName>
    <definedName name="Z_058B9256_CB4D_4C39_834D_D693FEEB491F_.wvu.FilterData" localSheetId="4" hidden="1">#REF!</definedName>
    <definedName name="Z_058B9256_CB4D_4C39_834D_D693FEEB491F_.wvu.FilterData" localSheetId="7" hidden="1">#REF!</definedName>
    <definedName name="Z_058B9256_CB4D_4C39_834D_D693FEEB491F_.wvu.FilterData" localSheetId="5" hidden="1">#REF!</definedName>
    <definedName name="Z_058B9256_CB4D_4C39_834D_D693FEEB491F_.wvu.FilterData" localSheetId="2" hidden="1">#REF!</definedName>
    <definedName name="Z_058B9256_CB4D_4C39_834D_D693FEEB491F_.wvu.FilterData" localSheetId="6" hidden="1">#REF!</definedName>
    <definedName name="Z_058B9256_CB4D_4C39_834D_D693FEEB491F_.wvu.FilterData" hidden="1">#REF!</definedName>
    <definedName name="Z_05D1A71D_3B7B_4FB7_8DF3_B8E29CA3927A_.wvu.FilterData" localSheetId="4" hidden="1">#REF!</definedName>
    <definedName name="Z_05D1A71D_3B7B_4FB7_8DF3_B8E29CA3927A_.wvu.FilterData" localSheetId="7" hidden="1">#REF!</definedName>
    <definedName name="Z_05D1A71D_3B7B_4FB7_8DF3_B8E29CA3927A_.wvu.FilterData" localSheetId="5" hidden="1">#REF!</definedName>
    <definedName name="Z_05D1A71D_3B7B_4FB7_8DF3_B8E29CA3927A_.wvu.FilterData" localSheetId="2" hidden="1">#REF!</definedName>
    <definedName name="Z_05D1A71D_3B7B_4FB7_8DF3_B8E29CA3927A_.wvu.FilterData" localSheetId="6" hidden="1">#REF!</definedName>
    <definedName name="Z_05D1A71D_3B7B_4FB7_8DF3_B8E29CA3927A_.wvu.FilterData" hidden="1">#REF!</definedName>
    <definedName name="Z_07C2CF55_E6DF_411A_AB00_7E155615468C_.wvu.FilterData" localSheetId="4" hidden="1">#REF!</definedName>
    <definedName name="Z_07C2CF55_E6DF_411A_AB00_7E155615468C_.wvu.FilterData" localSheetId="7" hidden="1">#REF!</definedName>
    <definedName name="Z_07C2CF55_E6DF_411A_AB00_7E155615468C_.wvu.FilterData" localSheetId="5" hidden="1">#REF!</definedName>
    <definedName name="Z_07C2CF55_E6DF_411A_AB00_7E155615468C_.wvu.FilterData" localSheetId="2" hidden="1">#REF!</definedName>
    <definedName name="Z_07C2CF55_E6DF_411A_AB00_7E155615468C_.wvu.FilterData" localSheetId="6" hidden="1">#REF!</definedName>
    <definedName name="Z_07C2CF55_E6DF_411A_AB00_7E155615468C_.wvu.FilterData" hidden="1">#REF!</definedName>
    <definedName name="Z_0B1003A7_69DB_4D5B_966D_57B9E8AF76FB_.wvu.FilterData" localSheetId="4" hidden="1">#REF!</definedName>
    <definedName name="Z_0B1003A7_69DB_4D5B_966D_57B9E8AF76FB_.wvu.FilterData" localSheetId="7" hidden="1">#REF!</definedName>
    <definedName name="Z_0B1003A7_69DB_4D5B_966D_57B9E8AF76FB_.wvu.FilterData" localSheetId="5" hidden="1">#REF!</definedName>
    <definedName name="Z_0B1003A7_69DB_4D5B_966D_57B9E8AF76FB_.wvu.FilterData" localSheetId="2" hidden="1">#REF!</definedName>
    <definedName name="Z_0B1003A7_69DB_4D5B_966D_57B9E8AF76FB_.wvu.FilterData" localSheetId="6" hidden="1">#REF!</definedName>
    <definedName name="Z_0B1003A7_69DB_4D5B_966D_57B9E8AF76FB_.wvu.FilterData" hidden="1">#REF!</definedName>
    <definedName name="Z_0C3EE359_64F6_4049_9576_8EACA8563EA4_.wvu.FilterData" localSheetId="4" hidden="1">#REF!</definedName>
    <definedName name="Z_0C3EE359_64F6_4049_9576_8EACA8563EA4_.wvu.FilterData" localSheetId="7" hidden="1">#REF!</definedName>
    <definedName name="Z_0C3EE359_64F6_4049_9576_8EACA8563EA4_.wvu.FilterData" localSheetId="5" hidden="1">#REF!</definedName>
    <definedName name="Z_0C3EE359_64F6_4049_9576_8EACA8563EA4_.wvu.FilterData" localSheetId="2" hidden="1">#REF!</definedName>
    <definedName name="Z_0C3EE359_64F6_4049_9576_8EACA8563EA4_.wvu.FilterData" localSheetId="6" hidden="1">#REF!</definedName>
    <definedName name="Z_0C3EE359_64F6_4049_9576_8EACA8563EA4_.wvu.FilterData" hidden="1">#REF!</definedName>
    <definedName name="Z_0D05AC4E_32D3_4985_8208_9776E00AC749_.wvu.FilterData" localSheetId="4" hidden="1">#REF!</definedName>
    <definedName name="Z_0D05AC4E_32D3_4985_8208_9776E00AC749_.wvu.FilterData" localSheetId="7" hidden="1">#REF!</definedName>
    <definedName name="Z_0D05AC4E_32D3_4985_8208_9776E00AC749_.wvu.FilterData" localSheetId="5" hidden="1">#REF!</definedName>
    <definedName name="Z_0D05AC4E_32D3_4985_8208_9776E00AC749_.wvu.FilterData" localSheetId="2" hidden="1">#REF!</definedName>
    <definedName name="Z_0D05AC4E_32D3_4985_8208_9776E00AC749_.wvu.FilterData" localSheetId="6" hidden="1">#REF!</definedName>
    <definedName name="Z_0D05AC4E_32D3_4985_8208_9776E00AC749_.wvu.FilterData" hidden="1">#REF!</definedName>
    <definedName name="Z_0DC459DE_F68C_4E33_8D1E_F1663ABAC944_.wvu.FilterData" localSheetId="4" hidden="1">#REF!</definedName>
    <definedName name="Z_0DC459DE_F68C_4E33_8D1E_F1663ABAC944_.wvu.FilterData" localSheetId="7" hidden="1">#REF!</definedName>
    <definedName name="Z_0DC459DE_F68C_4E33_8D1E_F1663ABAC944_.wvu.FilterData" localSheetId="5" hidden="1">#REF!</definedName>
    <definedName name="Z_0DC459DE_F68C_4E33_8D1E_F1663ABAC944_.wvu.FilterData" localSheetId="2" hidden="1">#REF!</definedName>
    <definedName name="Z_0DC459DE_F68C_4E33_8D1E_F1663ABAC944_.wvu.FilterData" localSheetId="6" hidden="1">#REF!</definedName>
    <definedName name="Z_0DC459DE_F68C_4E33_8D1E_F1663ABAC944_.wvu.FilterData" hidden="1">#REF!</definedName>
    <definedName name="Z_0FACBA89_1203_4ED8_87E5_EC1D45B051B7_.wvu.FilterData" localSheetId="4" hidden="1">#REF!</definedName>
    <definedName name="Z_0FACBA89_1203_4ED8_87E5_EC1D45B051B7_.wvu.FilterData" localSheetId="7" hidden="1">#REF!</definedName>
    <definedName name="Z_0FACBA89_1203_4ED8_87E5_EC1D45B051B7_.wvu.FilterData" localSheetId="5" hidden="1">#REF!</definedName>
    <definedName name="Z_0FACBA89_1203_4ED8_87E5_EC1D45B051B7_.wvu.FilterData" localSheetId="2" hidden="1">#REF!</definedName>
    <definedName name="Z_0FACBA89_1203_4ED8_87E5_EC1D45B051B7_.wvu.FilterData" localSheetId="6" hidden="1">#REF!</definedName>
    <definedName name="Z_0FACBA89_1203_4ED8_87E5_EC1D45B051B7_.wvu.FilterData" hidden="1">#REF!</definedName>
    <definedName name="Z_0FEA3536_5108_4591_BECF_C3181387F85F_.wvu.FilterData" localSheetId="4" hidden="1">#REF!</definedName>
    <definedName name="Z_0FEA3536_5108_4591_BECF_C3181387F85F_.wvu.FilterData" localSheetId="7" hidden="1">#REF!</definedName>
    <definedName name="Z_0FEA3536_5108_4591_BECF_C3181387F85F_.wvu.FilterData" localSheetId="5" hidden="1">#REF!</definedName>
    <definedName name="Z_0FEA3536_5108_4591_BECF_C3181387F85F_.wvu.FilterData" localSheetId="2" hidden="1">#REF!</definedName>
    <definedName name="Z_0FEA3536_5108_4591_BECF_C3181387F85F_.wvu.FilterData" localSheetId="6" hidden="1">#REF!</definedName>
    <definedName name="Z_0FEA3536_5108_4591_BECF_C3181387F85F_.wvu.FilterData" hidden="1">#REF!</definedName>
    <definedName name="Z_0FEFDB42_ECBC_4500_A6C8_FEE3D368790B_.wvu.FilterData" localSheetId="4" hidden="1">#REF!</definedName>
    <definedName name="Z_0FEFDB42_ECBC_4500_A6C8_FEE3D368790B_.wvu.FilterData" localSheetId="7" hidden="1">#REF!</definedName>
    <definedName name="Z_0FEFDB42_ECBC_4500_A6C8_FEE3D368790B_.wvu.FilterData" localSheetId="5" hidden="1">#REF!</definedName>
    <definedName name="Z_0FEFDB42_ECBC_4500_A6C8_FEE3D368790B_.wvu.FilterData" localSheetId="2" hidden="1">#REF!</definedName>
    <definedName name="Z_0FEFDB42_ECBC_4500_A6C8_FEE3D368790B_.wvu.FilterData" localSheetId="6" hidden="1">#REF!</definedName>
    <definedName name="Z_0FEFDB42_ECBC_4500_A6C8_FEE3D368790B_.wvu.FilterData" hidden="1">#REF!</definedName>
    <definedName name="Z_110A0651_47C7_408E_B3BF_0C80D30B95FC_.wvu.FilterData" localSheetId="4" hidden="1">#REF!</definedName>
    <definedName name="Z_110A0651_47C7_408E_B3BF_0C80D30B95FC_.wvu.FilterData" localSheetId="7" hidden="1">#REF!</definedName>
    <definedName name="Z_110A0651_47C7_408E_B3BF_0C80D30B95FC_.wvu.FilterData" localSheetId="5" hidden="1">#REF!</definedName>
    <definedName name="Z_110A0651_47C7_408E_B3BF_0C80D30B95FC_.wvu.FilterData" localSheetId="2" hidden="1">#REF!</definedName>
    <definedName name="Z_110A0651_47C7_408E_B3BF_0C80D30B95FC_.wvu.FilterData" localSheetId="6" hidden="1">#REF!</definedName>
    <definedName name="Z_110A0651_47C7_408E_B3BF_0C80D30B95FC_.wvu.FilterData" hidden="1">#REF!</definedName>
    <definedName name="Z_128E64DD_BE84_40EE_A6D2_C9B0EB25CBBD_.wvu.FilterData" localSheetId="4" hidden="1">#REF!</definedName>
    <definedName name="Z_128E64DD_BE84_40EE_A6D2_C9B0EB25CBBD_.wvu.FilterData" localSheetId="7" hidden="1">#REF!</definedName>
    <definedName name="Z_128E64DD_BE84_40EE_A6D2_C9B0EB25CBBD_.wvu.FilterData" localSheetId="5" hidden="1">#REF!</definedName>
    <definedName name="Z_128E64DD_BE84_40EE_A6D2_C9B0EB25CBBD_.wvu.FilterData" localSheetId="2" hidden="1">#REF!</definedName>
    <definedName name="Z_128E64DD_BE84_40EE_A6D2_C9B0EB25CBBD_.wvu.FilterData" localSheetId="6" hidden="1">#REF!</definedName>
    <definedName name="Z_128E64DD_BE84_40EE_A6D2_C9B0EB25CBBD_.wvu.FilterData" hidden="1">#REF!</definedName>
    <definedName name="Z_12F2973E_0018_407B_98AD_CD9C5D1F65FA_.wvu.FilterData" localSheetId="4" hidden="1">#REF!</definedName>
    <definedName name="Z_12F2973E_0018_407B_98AD_CD9C5D1F65FA_.wvu.FilterData" localSheetId="7" hidden="1">#REF!</definedName>
    <definedName name="Z_12F2973E_0018_407B_98AD_CD9C5D1F65FA_.wvu.FilterData" localSheetId="5" hidden="1">#REF!</definedName>
    <definedName name="Z_12F2973E_0018_407B_98AD_CD9C5D1F65FA_.wvu.FilterData" localSheetId="2" hidden="1">#REF!</definedName>
    <definedName name="Z_12F2973E_0018_407B_98AD_CD9C5D1F65FA_.wvu.FilterData" localSheetId="6" hidden="1">#REF!</definedName>
    <definedName name="Z_12F2973E_0018_407B_98AD_CD9C5D1F65FA_.wvu.FilterData" hidden="1">#REF!</definedName>
    <definedName name="Z_137DAE61_8A8D_4219_A4CC_0EEC18A94882_.wvu.FilterData" localSheetId="4" hidden="1">#REF!</definedName>
    <definedName name="Z_137DAE61_8A8D_4219_A4CC_0EEC18A94882_.wvu.FilterData" localSheetId="7" hidden="1">#REF!</definedName>
    <definedName name="Z_137DAE61_8A8D_4219_A4CC_0EEC18A94882_.wvu.FilterData" localSheetId="5" hidden="1">#REF!</definedName>
    <definedName name="Z_137DAE61_8A8D_4219_A4CC_0EEC18A94882_.wvu.FilterData" localSheetId="2" hidden="1">#REF!</definedName>
    <definedName name="Z_137DAE61_8A8D_4219_A4CC_0EEC18A94882_.wvu.FilterData" localSheetId="6" hidden="1">#REF!</definedName>
    <definedName name="Z_137DAE61_8A8D_4219_A4CC_0EEC18A94882_.wvu.FilterData" hidden="1">#REF!</definedName>
    <definedName name="Z_13E06FB5_D019_406D_B278_1B53AD2F6386_.wvu.FilterData" localSheetId="4" hidden="1">#REF!</definedName>
    <definedName name="Z_13E06FB5_D019_406D_B278_1B53AD2F6386_.wvu.FilterData" localSheetId="7" hidden="1">#REF!</definedName>
    <definedName name="Z_13E06FB5_D019_406D_B278_1B53AD2F6386_.wvu.FilterData" localSheetId="5" hidden="1">#REF!</definedName>
    <definedName name="Z_13E06FB5_D019_406D_B278_1B53AD2F6386_.wvu.FilterData" localSheetId="2" hidden="1">#REF!</definedName>
    <definedName name="Z_13E06FB5_D019_406D_B278_1B53AD2F6386_.wvu.FilterData" localSheetId="6" hidden="1">#REF!</definedName>
    <definedName name="Z_13E06FB5_D019_406D_B278_1B53AD2F6386_.wvu.FilterData" hidden="1">#REF!</definedName>
    <definedName name="Z_14D375AC_5615_46DE_8EE3_95915B2A8B54_.wvu.FilterData" localSheetId="4" hidden="1">#REF!</definedName>
    <definedName name="Z_14D375AC_5615_46DE_8EE3_95915B2A8B54_.wvu.FilterData" localSheetId="7" hidden="1">#REF!</definedName>
    <definedName name="Z_14D375AC_5615_46DE_8EE3_95915B2A8B54_.wvu.FilterData" localSheetId="5" hidden="1">#REF!</definedName>
    <definedName name="Z_14D375AC_5615_46DE_8EE3_95915B2A8B54_.wvu.FilterData" localSheetId="2" hidden="1">#REF!</definedName>
    <definedName name="Z_14D375AC_5615_46DE_8EE3_95915B2A8B54_.wvu.FilterData" localSheetId="6" hidden="1">#REF!</definedName>
    <definedName name="Z_14D375AC_5615_46DE_8EE3_95915B2A8B54_.wvu.FilterData" hidden="1">#REF!</definedName>
    <definedName name="Z_15B5DC78_B02F_4AC6_8572_015040A55619_.wvu.FilterData" localSheetId="4" hidden="1">#REF!</definedName>
    <definedName name="Z_15B5DC78_B02F_4AC6_8572_015040A55619_.wvu.FilterData" localSheetId="7" hidden="1">#REF!</definedName>
    <definedName name="Z_15B5DC78_B02F_4AC6_8572_015040A55619_.wvu.FilterData" localSheetId="5" hidden="1">#REF!</definedName>
    <definedName name="Z_15B5DC78_B02F_4AC6_8572_015040A55619_.wvu.FilterData" localSheetId="2" hidden="1">#REF!</definedName>
    <definedName name="Z_15B5DC78_B02F_4AC6_8572_015040A55619_.wvu.FilterData" localSheetId="6" hidden="1">#REF!</definedName>
    <definedName name="Z_15B5DC78_B02F_4AC6_8572_015040A55619_.wvu.FilterData" hidden="1">#REF!</definedName>
    <definedName name="Z_166D6F0F_4D44_46E7_8C36_48FD4848B5AA_.wvu.FilterData" localSheetId="4" hidden="1">#REF!</definedName>
    <definedName name="Z_166D6F0F_4D44_46E7_8C36_48FD4848B5AA_.wvu.FilterData" localSheetId="7" hidden="1">#REF!</definedName>
    <definedName name="Z_166D6F0F_4D44_46E7_8C36_48FD4848B5AA_.wvu.FilterData" localSheetId="5" hidden="1">#REF!</definedName>
    <definedName name="Z_166D6F0F_4D44_46E7_8C36_48FD4848B5AA_.wvu.FilterData" localSheetId="2" hidden="1">#REF!</definedName>
    <definedName name="Z_166D6F0F_4D44_46E7_8C36_48FD4848B5AA_.wvu.FilterData" localSheetId="6" hidden="1">#REF!</definedName>
    <definedName name="Z_166D6F0F_4D44_46E7_8C36_48FD4848B5AA_.wvu.FilterData" hidden="1">#REF!</definedName>
    <definedName name="Z_16FAB836_2255_4D4C_90E4_6B46255F3759_.wvu.FilterData" localSheetId="4" hidden="1">#REF!</definedName>
    <definedName name="Z_16FAB836_2255_4D4C_90E4_6B46255F3759_.wvu.FilterData" localSheetId="7" hidden="1">#REF!</definedName>
    <definedName name="Z_16FAB836_2255_4D4C_90E4_6B46255F3759_.wvu.FilterData" localSheetId="5" hidden="1">#REF!</definedName>
    <definedName name="Z_16FAB836_2255_4D4C_90E4_6B46255F3759_.wvu.FilterData" localSheetId="2" hidden="1">#REF!</definedName>
    <definedName name="Z_16FAB836_2255_4D4C_90E4_6B46255F3759_.wvu.FilterData" localSheetId="6" hidden="1">#REF!</definedName>
    <definedName name="Z_16FAB836_2255_4D4C_90E4_6B46255F3759_.wvu.FilterData" hidden="1">#REF!</definedName>
    <definedName name="Z_198D391C_95CB_49F5_8924_5FEA3CE5C98A_.wvu.FilterData" localSheetId="4" hidden="1">#REF!</definedName>
    <definedName name="Z_198D391C_95CB_49F5_8924_5FEA3CE5C98A_.wvu.FilterData" localSheetId="7" hidden="1">#REF!</definedName>
    <definedName name="Z_198D391C_95CB_49F5_8924_5FEA3CE5C98A_.wvu.FilterData" localSheetId="5" hidden="1">#REF!</definedName>
    <definedName name="Z_198D391C_95CB_49F5_8924_5FEA3CE5C98A_.wvu.FilterData" localSheetId="2" hidden="1">#REF!</definedName>
    <definedName name="Z_198D391C_95CB_49F5_8924_5FEA3CE5C98A_.wvu.FilterData" localSheetId="6" hidden="1">#REF!</definedName>
    <definedName name="Z_198D391C_95CB_49F5_8924_5FEA3CE5C98A_.wvu.FilterData" hidden="1">#REF!</definedName>
    <definedName name="Z_1D9C37CC_3E33_4D4D_B7CD_819F75C83D65_.wvu.FilterData" localSheetId="4" hidden="1">#REF!</definedName>
    <definedName name="Z_1D9C37CC_3E33_4D4D_B7CD_819F75C83D65_.wvu.FilterData" localSheetId="7" hidden="1">#REF!</definedName>
    <definedName name="Z_1D9C37CC_3E33_4D4D_B7CD_819F75C83D65_.wvu.FilterData" localSheetId="5" hidden="1">#REF!</definedName>
    <definedName name="Z_1D9C37CC_3E33_4D4D_B7CD_819F75C83D65_.wvu.FilterData" localSheetId="2" hidden="1">#REF!</definedName>
    <definedName name="Z_1D9C37CC_3E33_4D4D_B7CD_819F75C83D65_.wvu.FilterData" localSheetId="6" hidden="1">#REF!</definedName>
    <definedName name="Z_1D9C37CC_3E33_4D4D_B7CD_819F75C83D65_.wvu.FilterData" hidden="1">#REF!</definedName>
    <definedName name="Z_1DF9838C_880D_4C4E_BFFE_89B5894EC40F_.wvu.FilterData" localSheetId="4" hidden="1">#REF!</definedName>
    <definedName name="Z_1DF9838C_880D_4C4E_BFFE_89B5894EC40F_.wvu.FilterData" localSheetId="7" hidden="1">#REF!</definedName>
    <definedName name="Z_1DF9838C_880D_4C4E_BFFE_89B5894EC40F_.wvu.FilterData" localSheetId="5" hidden="1">#REF!</definedName>
    <definedName name="Z_1DF9838C_880D_4C4E_BFFE_89B5894EC40F_.wvu.FilterData" localSheetId="2" hidden="1">#REF!</definedName>
    <definedName name="Z_1DF9838C_880D_4C4E_BFFE_89B5894EC40F_.wvu.FilterData" localSheetId="6" hidden="1">#REF!</definedName>
    <definedName name="Z_1DF9838C_880D_4C4E_BFFE_89B5894EC40F_.wvu.FilterData" hidden="1">#REF!</definedName>
    <definedName name="Z_1EF42BFC_874B_4E01_B67D_1607E823ACD0_.wvu.FilterData" localSheetId="4" hidden="1">#REF!</definedName>
    <definedName name="Z_1EF42BFC_874B_4E01_B67D_1607E823ACD0_.wvu.FilterData" localSheetId="7" hidden="1">#REF!</definedName>
    <definedName name="Z_1EF42BFC_874B_4E01_B67D_1607E823ACD0_.wvu.FilterData" localSheetId="5" hidden="1">#REF!</definedName>
    <definedName name="Z_1EF42BFC_874B_4E01_B67D_1607E823ACD0_.wvu.FilterData" localSheetId="2" hidden="1">#REF!</definedName>
    <definedName name="Z_1EF42BFC_874B_4E01_B67D_1607E823ACD0_.wvu.FilterData" localSheetId="6" hidden="1">#REF!</definedName>
    <definedName name="Z_1EF42BFC_874B_4E01_B67D_1607E823ACD0_.wvu.FilterData" hidden="1">#REF!</definedName>
    <definedName name="Z_1F94C6E7_3CCA_4599_AF6F_4D6291B2AD93_.wvu.FilterData" localSheetId="4" hidden="1">#REF!</definedName>
    <definedName name="Z_1F94C6E7_3CCA_4599_AF6F_4D6291B2AD93_.wvu.FilterData" localSheetId="7" hidden="1">#REF!</definedName>
    <definedName name="Z_1F94C6E7_3CCA_4599_AF6F_4D6291B2AD93_.wvu.FilterData" localSheetId="5" hidden="1">#REF!</definedName>
    <definedName name="Z_1F94C6E7_3CCA_4599_AF6F_4D6291B2AD93_.wvu.FilterData" localSheetId="2" hidden="1">#REF!</definedName>
    <definedName name="Z_1F94C6E7_3CCA_4599_AF6F_4D6291B2AD93_.wvu.FilterData" localSheetId="6" hidden="1">#REF!</definedName>
    <definedName name="Z_1F94C6E7_3CCA_4599_AF6F_4D6291B2AD93_.wvu.FilterData" hidden="1">#REF!</definedName>
    <definedName name="Z_20A9AA17_0DEB_4190_8DAD_FC60D0D33A52_.wvu.FilterData" localSheetId="4" hidden="1">#REF!</definedName>
    <definedName name="Z_20A9AA17_0DEB_4190_8DAD_FC60D0D33A52_.wvu.FilterData" localSheetId="7" hidden="1">#REF!</definedName>
    <definedName name="Z_20A9AA17_0DEB_4190_8DAD_FC60D0D33A52_.wvu.FilterData" localSheetId="5" hidden="1">#REF!</definedName>
    <definedName name="Z_20A9AA17_0DEB_4190_8DAD_FC60D0D33A52_.wvu.FilterData" localSheetId="2" hidden="1">#REF!</definedName>
    <definedName name="Z_20A9AA17_0DEB_4190_8DAD_FC60D0D33A52_.wvu.FilterData" localSheetId="6" hidden="1">#REF!</definedName>
    <definedName name="Z_20A9AA17_0DEB_4190_8DAD_FC60D0D33A52_.wvu.FilterData" hidden="1">#REF!</definedName>
    <definedName name="Z_2103F656_ECB2_4F99_BE9B_56F4D7A5CEE2_.wvu.FilterData" localSheetId="4" hidden="1">#REF!</definedName>
    <definedName name="Z_2103F656_ECB2_4F99_BE9B_56F4D7A5CEE2_.wvu.FilterData" localSheetId="7" hidden="1">#REF!</definedName>
    <definedName name="Z_2103F656_ECB2_4F99_BE9B_56F4D7A5CEE2_.wvu.FilterData" localSheetId="5" hidden="1">#REF!</definedName>
    <definedName name="Z_2103F656_ECB2_4F99_BE9B_56F4D7A5CEE2_.wvu.FilterData" localSheetId="2" hidden="1">#REF!</definedName>
    <definedName name="Z_2103F656_ECB2_4F99_BE9B_56F4D7A5CEE2_.wvu.FilterData" localSheetId="6" hidden="1">#REF!</definedName>
    <definedName name="Z_2103F656_ECB2_4F99_BE9B_56F4D7A5CEE2_.wvu.FilterData" hidden="1">#REF!</definedName>
    <definedName name="Z_2158A2BC_8DB5_455D_AFDE_914B22949288_.wvu.FilterData" localSheetId="4" hidden="1">#REF!</definedName>
    <definedName name="Z_2158A2BC_8DB5_455D_AFDE_914B22949288_.wvu.FilterData" localSheetId="7" hidden="1">#REF!</definedName>
    <definedName name="Z_2158A2BC_8DB5_455D_AFDE_914B22949288_.wvu.FilterData" localSheetId="5" hidden="1">#REF!</definedName>
    <definedName name="Z_2158A2BC_8DB5_455D_AFDE_914B22949288_.wvu.FilterData" localSheetId="2" hidden="1">#REF!</definedName>
    <definedName name="Z_2158A2BC_8DB5_455D_AFDE_914B22949288_.wvu.FilterData" localSheetId="6" hidden="1">#REF!</definedName>
    <definedName name="Z_2158A2BC_8DB5_455D_AFDE_914B22949288_.wvu.FilterData" hidden="1">#REF!</definedName>
    <definedName name="Z_21A967FF_561E_495F_AEB9_4DD3BEDA53BC_.wvu.FilterData" localSheetId="4" hidden="1">#REF!</definedName>
    <definedName name="Z_21A967FF_561E_495F_AEB9_4DD3BEDA53BC_.wvu.FilterData" localSheetId="7" hidden="1">#REF!</definedName>
    <definedName name="Z_21A967FF_561E_495F_AEB9_4DD3BEDA53BC_.wvu.FilterData" localSheetId="5" hidden="1">#REF!</definedName>
    <definedName name="Z_21A967FF_561E_495F_AEB9_4DD3BEDA53BC_.wvu.FilterData" localSheetId="2" hidden="1">#REF!</definedName>
    <definedName name="Z_21A967FF_561E_495F_AEB9_4DD3BEDA53BC_.wvu.FilterData" localSheetId="6" hidden="1">#REF!</definedName>
    <definedName name="Z_21A967FF_561E_495F_AEB9_4DD3BEDA53BC_.wvu.FilterData" hidden="1">#REF!</definedName>
    <definedName name="Z_227E7522_DC52_4EA7_A11A_0741FF23CC42_.wvu.FilterData" localSheetId="4" hidden="1">#REF!</definedName>
    <definedName name="Z_227E7522_DC52_4EA7_A11A_0741FF23CC42_.wvu.FilterData" localSheetId="7" hidden="1">#REF!</definedName>
    <definedName name="Z_227E7522_DC52_4EA7_A11A_0741FF23CC42_.wvu.FilterData" localSheetId="5" hidden="1">#REF!</definedName>
    <definedName name="Z_227E7522_DC52_4EA7_A11A_0741FF23CC42_.wvu.FilterData" localSheetId="2" hidden="1">#REF!</definedName>
    <definedName name="Z_227E7522_DC52_4EA7_A11A_0741FF23CC42_.wvu.FilterData" localSheetId="6" hidden="1">#REF!</definedName>
    <definedName name="Z_227E7522_DC52_4EA7_A11A_0741FF23CC42_.wvu.FilterData" hidden="1">#REF!</definedName>
    <definedName name="Z_23BA0C23_280B_4568_A53C_1C6D2E85772A_.wvu.FilterData" localSheetId="4" hidden="1">#REF!</definedName>
    <definedName name="Z_23BA0C23_280B_4568_A53C_1C6D2E85772A_.wvu.FilterData" localSheetId="7" hidden="1">#REF!</definedName>
    <definedName name="Z_23BA0C23_280B_4568_A53C_1C6D2E85772A_.wvu.FilterData" localSheetId="5" hidden="1">#REF!</definedName>
    <definedName name="Z_23BA0C23_280B_4568_A53C_1C6D2E85772A_.wvu.FilterData" localSheetId="2" hidden="1">#REF!</definedName>
    <definedName name="Z_23BA0C23_280B_4568_A53C_1C6D2E85772A_.wvu.FilterData" localSheetId="6" hidden="1">#REF!</definedName>
    <definedName name="Z_23BA0C23_280B_4568_A53C_1C6D2E85772A_.wvu.FilterData" hidden="1">#REF!</definedName>
    <definedName name="Z_244346C6_3866_4160_9E2E_C77913F25398_.wvu.FilterData" localSheetId="4" hidden="1">#REF!</definedName>
    <definedName name="Z_244346C6_3866_4160_9E2E_C77913F25398_.wvu.FilterData" localSheetId="7" hidden="1">#REF!</definedName>
    <definedName name="Z_244346C6_3866_4160_9E2E_C77913F25398_.wvu.FilterData" localSheetId="5" hidden="1">#REF!</definedName>
    <definedName name="Z_244346C6_3866_4160_9E2E_C77913F25398_.wvu.FilterData" localSheetId="2" hidden="1">#REF!</definedName>
    <definedName name="Z_244346C6_3866_4160_9E2E_C77913F25398_.wvu.FilterData" localSheetId="6" hidden="1">#REF!</definedName>
    <definedName name="Z_244346C6_3866_4160_9E2E_C77913F25398_.wvu.FilterData" hidden="1">#REF!</definedName>
    <definedName name="Z_25117F67_F0EE_43EF_8FF9_79F533CE10B0_.wvu.FilterData" localSheetId="4" hidden="1">#REF!</definedName>
    <definedName name="Z_25117F67_F0EE_43EF_8FF9_79F533CE10B0_.wvu.FilterData" localSheetId="7" hidden="1">#REF!</definedName>
    <definedName name="Z_25117F67_F0EE_43EF_8FF9_79F533CE10B0_.wvu.FilterData" localSheetId="5" hidden="1">#REF!</definedName>
    <definedName name="Z_25117F67_F0EE_43EF_8FF9_79F533CE10B0_.wvu.FilterData" localSheetId="2" hidden="1">#REF!</definedName>
    <definedName name="Z_25117F67_F0EE_43EF_8FF9_79F533CE10B0_.wvu.FilterData" localSheetId="6" hidden="1">#REF!</definedName>
    <definedName name="Z_25117F67_F0EE_43EF_8FF9_79F533CE10B0_.wvu.FilterData" hidden="1">#REF!</definedName>
    <definedName name="Z_259E2DDE_5459_4510_B7A2_66F49964C56E_.wvu.FilterData" localSheetId="4" hidden="1">#REF!</definedName>
    <definedName name="Z_259E2DDE_5459_4510_B7A2_66F49964C56E_.wvu.FilterData" localSheetId="7" hidden="1">#REF!</definedName>
    <definedName name="Z_259E2DDE_5459_4510_B7A2_66F49964C56E_.wvu.FilterData" localSheetId="5" hidden="1">#REF!</definedName>
    <definedName name="Z_259E2DDE_5459_4510_B7A2_66F49964C56E_.wvu.FilterData" localSheetId="2" hidden="1">#REF!</definedName>
    <definedName name="Z_259E2DDE_5459_4510_B7A2_66F49964C56E_.wvu.FilterData" localSheetId="6" hidden="1">#REF!</definedName>
    <definedName name="Z_259E2DDE_5459_4510_B7A2_66F49964C56E_.wvu.FilterData" hidden="1">#REF!</definedName>
    <definedName name="Z_25C7DFCF_BE54_4A41_B957_DE39B9B2A5B5_.wvu.FilterData" localSheetId="4" hidden="1">#REF!</definedName>
    <definedName name="Z_25C7DFCF_BE54_4A41_B957_DE39B9B2A5B5_.wvu.FilterData" localSheetId="7" hidden="1">#REF!</definedName>
    <definedName name="Z_25C7DFCF_BE54_4A41_B957_DE39B9B2A5B5_.wvu.FilterData" localSheetId="5" hidden="1">#REF!</definedName>
    <definedName name="Z_25C7DFCF_BE54_4A41_B957_DE39B9B2A5B5_.wvu.FilterData" localSheetId="2" hidden="1">#REF!</definedName>
    <definedName name="Z_25C7DFCF_BE54_4A41_B957_DE39B9B2A5B5_.wvu.FilterData" localSheetId="6" hidden="1">#REF!</definedName>
    <definedName name="Z_25C7DFCF_BE54_4A41_B957_DE39B9B2A5B5_.wvu.FilterData" hidden="1">#REF!</definedName>
    <definedName name="Z_272E0E4D_901D_11D7_B59C_0050DAB35C7B_.wvu.FilterData" localSheetId="4" hidden="1">#REF!</definedName>
    <definedName name="Z_272E0E4D_901D_11D7_B59C_0050DAB35C7B_.wvu.FilterData" localSheetId="7" hidden="1">#REF!</definedName>
    <definedName name="Z_272E0E4D_901D_11D7_B59C_0050DAB35C7B_.wvu.FilterData" localSheetId="5" hidden="1">#REF!</definedName>
    <definedName name="Z_272E0E4D_901D_11D7_B59C_0050DAB35C7B_.wvu.FilterData" localSheetId="2" hidden="1">#REF!</definedName>
    <definedName name="Z_272E0E4D_901D_11D7_B59C_0050DAB35C7B_.wvu.FilterData" localSheetId="6" hidden="1">#REF!</definedName>
    <definedName name="Z_272E0E4D_901D_11D7_B59C_0050DAB35C7B_.wvu.FilterData" hidden="1">#REF!</definedName>
    <definedName name="Z_27D9353E_5A5F_49BF_8724_FA312A4073FF_.wvu.FilterData" localSheetId="4" hidden="1">#REF!</definedName>
    <definedName name="Z_27D9353E_5A5F_49BF_8724_FA312A4073FF_.wvu.FilterData" localSheetId="7" hidden="1">#REF!</definedName>
    <definedName name="Z_27D9353E_5A5F_49BF_8724_FA312A4073FF_.wvu.FilterData" localSheetId="5" hidden="1">#REF!</definedName>
    <definedName name="Z_27D9353E_5A5F_49BF_8724_FA312A4073FF_.wvu.FilterData" localSheetId="2" hidden="1">#REF!</definedName>
    <definedName name="Z_27D9353E_5A5F_49BF_8724_FA312A4073FF_.wvu.FilterData" localSheetId="6" hidden="1">#REF!</definedName>
    <definedName name="Z_27D9353E_5A5F_49BF_8724_FA312A4073FF_.wvu.FilterData" hidden="1">#REF!</definedName>
    <definedName name="Z_299BE965_B904_49FA_A79D_B9538F94936F_.wvu.FilterData" localSheetId="4" hidden="1">#REF!</definedName>
    <definedName name="Z_299BE965_B904_49FA_A79D_B9538F94936F_.wvu.FilterData" localSheetId="7" hidden="1">#REF!</definedName>
    <definedName name="Z_299BE965_B904_49FA_A79D_B9538F94936F_.wvu.FilterData" localSheetId="5" hidden="1">#REF!</definedName>
    <definedName name="Z_299BE965_B904_49FA_A79D_B9538F94936F_.wvu.FilterData" localSheetId="2" hidden="1">#REF!</definedName>
    <definedName name="Z_299BE965_B904_49FA_A79D_B9538F94936F_.wvu.FilterData" localSheetId="6" hidden="1">#REF!</definedName>
    <definedName name="Z_299BE965_B904_49FA_A79D_B9538F94936F_.wvu.FilterData" hidden="1">#REF!</definedName>
    <definedName name="Z_29D37CE9_76D1_4D09_99A0_55ABA6929929_.wvu.FilterData" localSheetId="4" hidden="1">#REF!</definedName>
    <definedName name="Z_29D37CE9_76D1_4D09_99A0_55ABA6929929_.wvu.FilterData" localSheetId="7" hidden="1">#REF!</definedName>
    <definedName name="Z_29D37CE9_76D1_4D09_99A0_55ABA6929929_.wvu.FilterData" localSheetId="5" hidden="1">#REF!</definedName>
    <definedName name="Z_29D37CE9_76D1_4D09_99A0_55ABA6929929_.wvu.FilterData" localSheetId="2" hidden="1">#REF!</definedName>
    <definedName name="Z_29D37CE9_76D1_4D09_99A0_55ABA6929929_.wvu.FilterData" localSheetId="6" hidden="1">#REF!</definedName>
    <definedName name="Z_29D37CE9_76D1_4D09_99A0_55ABA6929929_.wvu.FilterData" hidden="1">#REF!</definedName>
    <definedName name="Z_2C05BC27_731C_41F4_980F_CD81E4A7A662_.wvu.FilterData" localSheetId="4" hidden="1">#REF!</definedName>
    <definedName name="Z_2C05BC27_731C_41F4_980F_CD81E4A7A662_.wvu.FilterData" localSheetId="7" hidden="1">#REF!</definedName>
    <definedName name="Z_2C05BC27_731C_41F4_980F_CD81E4A7A662_.wvu.FilterData" localSheetId="5" hidden="1">#REF!</definedName>
    <definedName name="Z_2C05BC27_731C_41F4_980F_CD81E4A7A662_.wvu.FilterData" localSheetId="2" hidden="1">#REF!</definedName>
    <definedName name="Z_2C05BC27_731C_41F4_980F_CD81E4A7A662_.wvu.FilterData" localSheetId="6" hidden="1">#REF!</definedName>
    <definedName name="Z_2C05BC27_731C_41F4_980F_CD81E4A7A662_.wvu.FilterData" hidden="1">#REF!</definedName>
    <definedName name="Z_2C0BDCBF_705B_4E5A_9659_05D99EC56641_.wvu.FilterData" localSheetId="4" hidden="1">#REF!</definedName>
    <definedName name="Z_2C0BDCBF_705B_4E5A_9659_05D99EC56641_.wvu.FilterData" localSheetId="7" hidden="1">#REF!</definedName>
    <definedName name="Z_2C0BDCBF_705B_4E5A_9659_05D99EC56641_.wvu.FilterData" localSheetId="5" hidden="1">#REF!</definedName>
    <definedName name="Z_2C0BDCBF_705B_4E5A_9659_05D99EC56641_.wvu.FilterData" localSheetId="2" hidden="1">#REF!</definedName>
    <definedName name="Z_2C0BDCBF_705B_4E5A_9659_05D99EC56641_.wvu.FilterData" localSheetId="6" hidden="1">#REF!</definedName>
    <definedName name="Z_2C0BDCBF_705B_4E5A_9659_05D99EC56641_.wvu.FilterData" hidden="1">#REF!</definedName>
    <definedName name="Z_2CD580B5_D99D_45ED_AC1E_45F8CBBBB9F1_.wvu.FilterData" localSheetId="4" hidden="1">#REF!</definedName>
    <definedName name="Z_2CD580B5_D99D_45ED_AC1E_45F8CBBBB9F1_.wvu.FilterData" localSheetId="7" hidden="1">#REF!</definedName>
    <definedName name="Z_2CD580B5_D99D_45ED_AC1E_45F8CBBBB9F1_.wvu.FilterData" localSheetId="5" hidden="1">#REF!</definedName>
    <definedName name="Z_2CD580B5_D99D_45ED_AC1E_45F8CBBBB9F1_.wvu.FilterData" localSheetId="2" hidden="1">#REF!</definedName>
    <definedName name="Z_2CD580B5_D99D_45ED_AC1E_45F8CBBBB9F1_.wvu.FilterData" localSheetId="6" hidden="1">#REF!</definedName>
    <definedName name="Z_2CD580B5_D99D_45ED_AC1E_45F8CBBBB9F1_.wvu.FilterData" hidden="1">#REF!</definedName>
    <definedName name="Z_2D98D706_A306_4353_8B3D_DA92F9EAEC9A_.wvu.FilterData" localSheetId="4" hidden="1">#REF!</definedName>
    <definedName name="Z_2D98D706_A306_4353_8B3D_DA92F9EAEC9A_.wvu.FilterData" localSheetId="7" hidden="1">#REF!</definedName>
    <definedName name="Z_2D98D706_A306_4353_8B3D_DA92F9EAEC9A_.wvu.FilterData" localSheetId="5" hidden="1">#REF!</definedName>
    <definedName name="Z_2D98D706_A306_4353_8B3D_DA92F9EAEC9A_.wvu.FilterData" localSheetId="2" hidden="1">#REF!</definedName>
    <definedName name="Z_2D98D706_A306_4353_8B3D_DA92F9EAEC9A_.wvu.FilterData" localSheetId="6" hidden="1">#REF!</definedName>
    <definedName name="Z_2D98D706_A306_4353_8B3D_DA92F9EAEC9A_.wvu.FilterData" hidden="1">#REF!</definedName>
    <definedName name="Z_2F8736FC_F07E_49E8_9C13_8E0A0F5EFE5F_.wvu.FilterData" localSheetId="4" hidden="1">#REF!</definedName>
    <definedName name="Z_2F8736FC_F07E_49E8_9C13_8E0A0F5EFE5F_.wvu.FilterData" localSheetId="7" hidden="1">#REF!</definedName>
    <definedName name="Z_2F8736FC_F07E_49E8_9C13_8E0A0F5EFE5F_.wvu.FilterData" localSheetId="5" hidden="1">#REF!</definedName>
    <definedName name="Z_2F8736FC_F07E_49E8_9C13_8E0A0F5EFE5F_.wvu.FilterData" localSheetId="2" hidden="1">#REF!</definedName>
    <definedName name="Z_2F8736FC_F07E_49E8_9C13_8E0A0F5EFE5F_.wvu.FilterData" localSheetId="6" hidden="1">#REF!</definedName>
    <definedName name="Z_2F8736FC_F07E_49E8_9C13_8E0A0F5EFE5F_.wvu.FilterData" hidden="1">#REF!</definedName>
    <definedName name="Z_304C2F7A_D3A6_4DBA_A568_C3E56D7C6E2F_.wvu.FilterData" localSheetId="4" hidden="1">#REF!</definedName>
    <definedName name="Z_304C2F7A_D3A6_4DBA_A568_C3E56D7C6E2F_.wvu.FilterData" localSheetId="7" hidden="1">#REF!</definedName>
    <definedName name="Z_304C2F7A_D3A6_4DBA_A568_C3E56D7C6E2F_.wvu.FilterData" localSheetId="5" hidden="1">#REF!</definedName>
    <definedName name="Z_304C2F7A_D3A6_4DBA_A568_C3E56D7C6E2F_.wvu.FilterData" localSheetId="2" hidden="1">#REF!</definedName>
    <definedName name="Z_304C2F7A_D3A6_4DBA_A568_C3E56D7C6E2F_.wvu.FilterData" localSheetId="6" hidden="1">#REF!</definedName>
    <definedName name="Z_304C2F7A_D3A6_4DBA_A568_C3E56D7C6E2F_.wvu.FilterData" hidden="1">#REF!</definedName>
    <definedName name="Z_30E0ACE8_B29A_44E9_B542_E8C1CA3FD802_.wvu.FilterData" localSheetId="4" hidden="1">#REF!</definedName>
    <definedName name="Z_30E0ACE8_B29A_44E9_B542_E8C1CA3FD802_.wvu.FilterData" localSheetId="7" hidden="1">#REF!</definedName>
    <definedName name="Z_30E0ACE8_B29A_44E9_B542_E8C1CA3FD802_.wvu.FilterData" localSheetId="5" hidden="1">#REF!</definedName>
    <definedName name="Z_30E0ACE8_B29A_44E9_B542_E8C1CA3FD802_.wvu.FilterData" localSheetId="2" hidden="1">#REF!</definedName>
    <definedName name="Z_30E0ACE8_B29A_44E9_B542_E8C1CA3FD802_.wvu.FilterData" localSheetId="6" hidden="1">#REF!</definedName>
    <definedName name="Z_30E0ACE8_B29A_44E9_B542_E8C1CA3FD802_.wvu.FilterData" hidden="1">#REF!</definedName>
    <definedName name="Z_31A27EA2_D574_43B8_A671_7419A12151C9_.wvu.FilterData" localSheetId="4" hidden="1">#REF!</definedName>
    <definedName name="Z_31A27EA2_D574_43B8_A671_7419A12151C9_.wvu.FilterData" localSheetId="7" hidden="1">#REF!</definedName>
    <definedName name="Z_31A27EA2_D574_43B8_A671_7419A12151C9_.wvu.FilterData" localSheetId="5" hidden="1">#REF!</definedName>
    <definedName name="Z_31A27EA2_D574_43B8_A671_7419A12151C9_.wvu.FilterData" localSheetId="2" hidden="1">#REF!</definedName>
    <definedName name="Z_31A27EA2_D574_43B8_A671_7419A12151C9_.wvu.FilterData" localSheetId="6" hidden="1">#REF!</definedName>
    <definedName name="Z_31A27EA2_D574_43B8_A671_7419A12151C9_.wvu.FilterData" hidden="1">#REF!</definedName>
    <definedName name="Z_32D1B352_62AB_4105_8DFC_EAA2DF743365_.wvu.FilterData" localSheetId="4" hidden="1">#REF!</definedName>
    <definedName name="Z_32D1B352_62AB_4105_8DFC_EAA2DF743365_.wvu.FilterData" localSheetId="7" hidden="1">#REF!</definedName>
    <definedName name="Z_32D1B352_62AB_4105_8DFC_EAA2DF743365_.wvu.FilterData" localSheetId="5" hidden="1">#REF!</definedName>
    <definedName name="Z_32D1B352_62AB_4105_8DFC_EAA2DF743365_.wvu.FilterData" localSheetId="2" hidden="1">#REF!</definedName>
    <definedName name="Z_32D1B352_62AB_4105_8DFC_EAA2DF743365_.wvu.FilterData" localSheetId="6" hidden="1">#REF!</definedName>
    <definedName name="Z_32D1B352_62AB_4105_8DFC_EAA2DF743365_.wvu.FilterData" hidden="1">#REF!</definedName>
    <definedName name="Z_330DF436_5BED_40AF_AC51_73D268BD9DF4_.wvu.FilterData" localSheetId="4" hidden="1">#REF!</definedName>
    <definedName name="Z_330DF436_5BED_40AF_AC51_73D268BD9DF4_.wvu.FilterData" localSheetId="7" hidden="1">#REF!</definedName>
    <definedName name="Z_330DF436_5BED_40AF_AC51_73D268BD9DF4_.wvu.FilterData" localSheetId="5" hidden="1">#REF!</definedName>
    <definedName name="Z_330DF436_5BED_40AF_AC51_73D268BD9DF4_.wvu.FilterData" localSheetId="2" hidden="1">#REF!</definedName>
    <definedName name="Z_330DF436_5BED_40AF_AC51_73D268BD9DF4_.wvu.FilterData" localSheetId="6" hidden="1">#REF!</definedName>
    <definedName name="Z_330DF436_5BED_40AF_AC51_73D268BD9DF4_.wvu.FilterData" hidden="1">#REF!</definedName>
    <definedName name="Z_33B8EF57_2FB1_4600_9590_B0A2F2FE409B_.wvu.FilterData" localSheetId="4" hidden="1">#REF!</definedName>
    <definedName name="Z_33B8EF57_2FB1_4600_9590_B0A2F2FE409B_.wvu.FilterData" localSheetId="7" hidden="1">#REF!</definedName>
    <definedName name="Z_33B8EF57_2FB1_4600_9590_B0A2F2FE409B_.wvu.FilterData" localSheetId="5" hidden="1">#REF!</definedName>
    <definedName name="Z_33B8EF57_2FB1_4600_9590_B0A2F2FE409B_.wvu.FilterData" localSheetId="2" hidden="1">#REF!</definedName>
    <definedName name="Z_33B8EF57_2FB1_4600_9590_B0A2F2FE409B_.wvu.FilterData" localSheetId="6" hidden="1">#REF!</definedName>
    <definedName name="Z_33B8EF57_2FB1_4600_9590_B0A2F2FE409B_.wvu.FilterData" hidden="1">#REF!</definedName>
    <definedName name="Z_3404588C_6CE7_4C97_A62C_D19D9EE290D3_.wvu.FilterData" localSheetId="4" hidden="1">#REF!</definedName>
    <definedName name="Z_3404588C_6CE7_4C97_A62C_D19D9EE290D3_.wvu.FilterData" localSheetId="7" hidden="1">#REF!</definedName>
    <definedName name="Z_3404588C_6CE7_4C97_A62C_D19D9EE290D3_.wvu.FilterData" localSheetId="5" hidden="1">#REF!</definedName>
    <definedName name="Z_3404588C_6CE7_4C97_A62C_D19D9EE290D3_.wvu.FilterData" localSheetId="2" hidden="1">#REF!</definedName>
    <definedName name="Z_3404588C_6CE7_4C97_A62C_D19D9EE290D3_.wvu.FilterData" localSheetId="6" hidden="1">#REF!</definedName>
    <definedName name="Z_3404588C_6CE7_4C97_A62C_D19D9EE290D3_.wvu.FilterData" hidden="1">#REF!</definedName>
    <definedName name="Z_34E71878_8D1A_4343_91A1_3FE085136D2B_.wvu.FilterData" localSheetId="4" hidden="1">#REF!</definedName>
    <definedName name="Z_34E71878_8D1A_4343_91A1_3FE085136D2B_.wvu.FilterData" localSheetId="7" hidden="1">#REF!</definedName>
    <definedName name="Z_34E71878_8D1A_4343_91A1_3FE085136D2B_.wvu.FilterData" localSheetId="5" hidden="1">#REF!</definedName>
    <definedName name="Z_34E71878_8D1A_4343_91A1_3FE085136D2B_.wvu.FilterData" localSheetId="2" hidden="1">#REF!</definedName>
    <definedName name="Z_34E71878_8D1A_4343_91A1_3FE085136D2B_.wvu.FilterData" localSheetId="6" hidden="1">#REF!</definedName>
    <definedName name="Z_34E71878_8D1A_4343_91A1_3FE085136D2B_.wvu.FilterData" hidden="1">#REF!</definedName>
    <definedName name="Z_37611AA0_E86A_42C8_8705_108B25E060A1_.wvu.FilterData" localSheetId="4" hidden="1">#REF!</definedName>
    <definedName name="Z_37611AA0_E86A_42C8_8705_108B25E060A1_.wvu.FilterData" localSheetId="7" hidden="1">#REF!</definedName>
    <definedName name="Z_37611AA0_E86A_42C8_8705_108B25E060A1_.wvu.FilterData" localSheetId="5" hidden="1">#REF!</definedName>
    <definedName name="Z_37611AA0_E86A_42C8_8705_108B25E060A1_.wvu.FilterData" localSheetId="2" hidden="1">#REF!</definedName>
    <definedName name="Z_37611AA0_E86A_42C8_8705_108B25E060A1_.wvu.FilterData" localSheetId="6" hidden="1">#REF!</definedName>
    <definedName name="Z_37611AA0_E86A_42C8_8705_108B25E060A1_.wvu.FilterData" hidden="1">#REF!</definedName>
    <definedName name="Z_38FE6CED_4C19_4332_9788_ACC902B20A46_.wvu.FilterData" localSheetId="4" hidden="1">#REF!</definedName>
    <definedName name="Z_38FE6CED_4C19_4332_9788_ACC902B20A46_.wvu.FilterData" localSheetId="7" hidden="1">#REF!</definedName>
    <definedName name="Z_38FE6CED_4C19_4332_9788_ACC902B20A46_.wvu.FilterData" localSheetId="5" hidden="1">#REF!</definedName>
    <definedName name="Z_38FE6CED_4C19_4332_9788_ACC902B20A46_.wvu.FilterData" localSheetId="2" hidden="1">#REF!</definedName>
    <definedName name="Z_38FE6CED_4C19_4332_9788_ACC902B20A46_.wvu.FilterData" localSheetId="6" hidden="1">#REF!</definedName>
    <definedName name="Z_38FE6CED_4C19_4332_9788_ACC902B20A46_.wvu.FilterData" hidden="1">#REF!</definedName>
    <definedName name="Z_394E75CB_4F7F_4C88_A08F_29E48E587341_.wvu.FilterData" localSheetId="4" hidden="1">#REF!</definedName>
    <definedName name="Z_394E75CB_4F7F_4C88_A08F_29E48E587341_.wvu.FilterData" localSheetId="7" hidden="1">#REF!</definedName>
    <definedName name="Z_394E75CB_4F7F_4C88_A08F_29E48E587341_.wvu.FilterData" localSheetId="5" hidden="1">#REF!</definedName>
    <definedName name="Z_394E75CB_4F7F_4C88_A08F_29E48E587341_.wvu.FilterData" localSheetId="2" hidden="1">#REF!</definedName>
    <definedName name="Z_394E75CB_4F7F_4C88_A08F_29E48E587341_.wvu.FilterData" localSheetId="6" hidden="1">#REF!</definedName>
    <definedName name="Z_394E75CB_4F7F_4C88_A08F_29E48E587341_.wvu.FilterData" hidden="1">#REF!</definedName>
    <definedName name="Z_3C200595_20A3_4A0C_B071_705F4AD5DAD3_.wvu.FilterData" localSheetId="4" hidden="1">#REF!</definedName>
    <definedName name="Z_3C200595_20A3_4A0C_B071_705F4AD5DAD3_.wvu.FilterData" localSheetId="7" hidden="1">#REF!</definedName>
    <definedName name="Z_3C200595_20A3_4A0C_B071_705F4AD5DAD3_.wvu.FilterData" localSheetId="5" hidden="1">#REF!</definedName>
    <definedName name="Z_3C200595_20A3_4A0C_B071_705F4AD5DAD3_.wvu.FilterData" localSheetId="2" hidden="1">#REF!</definedName>
    <definedName name="Z_3C200595_20A3_4A0C_B071_705F4AD5DAD3_.wvu.FilterData" localSheetId="6" hidden="1">#REF!</definedName>
    <definedName name="Z_3C200595_20A3_4A0C_B071_705F4AD5DAD3_.wvu.FilterData" hidden="1">#REF!</definedName>
    <definedName name="Z_3E93FF4A_0B7F_475C_A63C_54FBDB9DB4C5_.wvu.FilterData" localSheetId="4" hidden="1">#REF!</definedName>
    <definedName name="Z_3E93FF4A_0B7F_475C_A63C_54FBDB9DB4C5_.wvu.FilterData" localSheetId="7" hidden="1">#REF!</definedName>
    <definedName name="Z_3E93FF4A_0B7F_475C_A63C_54FBDB9DB4C5_.wvu.FilterData" localSheetId="5" hidden="1">#REF!</definedName>
    <definedName name="Z_3E93FF4A_0B7F_475C_A63C_54FBDB9DB4C5_.wvu.FilterData" localSheetId="2" hidden="1">#REF!</definedName>
    <definedName name="Z_3E93FF4A_0B7F_475C_A63C_54FBDB9DB4C5_.wvu.FilterData" localSheetId="6" hidden="1">#REF!</definedName>
    <definedName name="Z_3E93FF4A_0B7F_475C_A63C_54FBDB9DB4C5_.wvu.FilterData" hidden="1">#REF!</definedName>
    <definedName name="Z_3FF05DC4_CA9E_470D_A193_91785ACE00EF_.wvu.FilterData" localSheetId="4" hidden="1">#REF!</definedName>
    <definedName name="Z_3FF05DC4_CA9E_470D_A193_91785ACE00EF_.wvu.FilterData" localSheetId="7" hidden="1">#REF!</definedName>
    <definedName name="Z_3FF05DC4_CA9E_470D_A193_91785ACE00EF_.wvu.FilterData" localSheetId="5" hidden="1">#REF!</definedName>
    <definedName name="Z_3FF05DC4_CA9E_470D_A193_91785ACE00EF_.wvu.FilterData" localSheetId="2" hidden="1">#REF!</definedName>
    <definedName name="Z_3FF05DC4_CA9E_470D_A193_91785ACE00EF_.wvu.FilterData" localSheetId="6" hidden="1">#REF!</definedName>
    <definedName name="Z_3FF05DC4_CA9E_470D_A193_91785ACE00EF_.wvu.FilterData" hidden="1">#REF!</definedName>
    <definedName name="Z_43791B95_57D7_42F4_8815_D1B7E488543E_.wvu.FilterData" localSheetId="4" hidden="1">#REF!</definedName>
    <definedName name="Z_43791B95_57D7_42F4_8815_D1B7E488543E_.wvu.FilterData" localSheetId="7" hidden="1">#REF!</definedName>
    <definedName name="Z_43791B95_57D7_42F4_8815_D1B7E488543E_.wvu.FilterData" localSheetId="5" hidden="1">#REF!</definedName>
    <definedName name="Z_43791B95_57D7_42F4_8815_D1B7E488543E_.wvu.FilterData" localSheetId="2" hidden="1">#REF!</definedName>
    <definedName name="Z_43791B95_57D7_42F4_8815_D1B7E488543E_.wvu.FilterData" localSheetId="6" hidden="1">#REF!</definedName>
    <definedName name="Z_43791B95_57D7_42F4_8815_D1B7E488543E_.wvu.FilterData" hidden="1">#REF!</definedName>
    <definedName name="Z_445AA90F_6D9B_40F5_8E1D_CE1EF57CF450_.wvu.FilterData" localSheetId="4" hidden="1">#REF!</definedName>
    <definedName name="Z_445AA90F_6D9B_40F5_8E1D_CE1EF57CF450_.wvu.FilterData" localSheetId="7" hidden="1">#REF!</definedName>
    <definedName name="Z_445AA90F_6D9B_40F5_8E1D_CE1EF57CF450_.wvu.FilterData" localSheetId="5" hidden="1">#REF!</definedName>
    <definedName name="Z_445AA90F_6D9B_40F5_8E1D_CE1EF57CF450_.wvu.FilterData" localSheetId="2" hidden="1">#REF!</definedName>
    <definedName name="Z_445AA90F_6D9B_40F5_8E1D_CE1EF57CF450_.wvu.FilterData" localSheetId="6" hidden="1">#REF!</definedName>
    <definedName name="Z_445AA90F_6D9B_40F5_8E1D_CE1EF57CF450_.wvu.FilterData" hidden="1">#REF!</definedName>
    <definedName name="Z_454E0C40_F84F_42A3_A371_6F23C1F38595_.wvu.FilterData" localSheetId="4" hidden="1">#REF!</definedName>
    <definedName name="Z_454E0C40_F84F_42A3_A371_6F23C1F38595_.wvu.FilterData" localSheetId="7" hidden="1">#REF!</definedName>
    <definedName name="Z_454E0C40_F84F_42A3_A371_6F23C1F38595_.wvu.FilterData" localSheetId="5" hidden="1">#REF!</definedName>
    <definedName name="Z_454E0C40_F84F_42A3_A371_6F23C1F38595_.wvu.FilterData" localSheetId="2" hidden="1">#REF!</definedName>
    <definedName name="Z_454E0C40_F84F_42A3_A371_6F23C1F38595_.wvu.FilterData" localSheetId="6" hidden="1">#REF!</definedName>
    <definedName name="Z_454E0C40_F84F_42A3_A371_6F23C1F38595_.wvu.FilterData" hidden="1">#REF!</definedName>
    <definedName name="Z_4608FCB3_3552_4D58_B6CE_B8F34D78221E_.wvu.FilterData" localSheetId="4" hidden="1">#REF!</definedName>
    <definedName name="Z_4608FCB3_3552_4D58_B6CE_B8F34D78221E_.wvu.FilterData" localSheetId="7" hidden="1">#REF!</definedName>
    <definedName name="Z_4608FCB3_3552_4D58_B6CE_B8F34D78221E_.wvu.FilterData" localSheetId="5" hidden="1">#REF!</definedName>
    <definedName name="Z_4608FCB3_3552_4D58_B6CE_B8F34D78221E_.wvu.FilterData" localSheetId="2" hidden="1">#REF!</definedName>
    <definedName name="Z_4608FCB3_3552_4D58_B6CE_B8F34D78221E_.wvu.FilterData" localSheetId="6" hidden="1">#REF!</definedName>
    <definedName name="Z_4608FCB3_3552_4D58_B6CE_B8F34D78221E_.wvu.FilterData" hidden="1">#REF!</definedName>
    <definedName name="Z_46E47F7C_9185_4E39_BED5_B4A69FF64CC1_.wvu.FilterData" localSheetId="4" hidden="1">#REF!</definedName>
    <definedName name="Z_46E47F7C_9185_4E39_BED5_B4A69FF64CC1_.wvu.FilterData" localSheetId="7" hidden="1">#REF!</definedName>
    <definedName name="Z_46E47F7C_9185_4E39_BED5_B4A69FF64CC1_.wvu.FilterData" localSheetId="5" hidden="1">#REF!</definedName>
    <definedName name="Z_46E47F7C_9185_4E39_BED5_B4A69FF64CC1_.wvu.FilterData" localSheetId="2" hidden="1">#REF!</definedName>
    <definedName name="Z_46E47F7C_9185_4E39_BED5_B4A69FF64CC1_.wvu.FilterData" localSheetId="6" hidden="1">#REF!</definedName>
    <definedName name="Z_46E47F7C_9185_4E39_BED5_B4A69FF64CC1_.wvu.FilterData" hidden="1">#REF!</definedName>
    <definedName name="Z_48202D5D_77CB_41DE_8C59_9325C98D7C97_.wvu.FilterData" localSheetId="4" hidden="1">#REF!</definedName>
    <definedName name="Z_48202D5D_77CB_41DE_8C59_9325C98D7C97_.wvu.FilterData" localSheetId="7" hidden="1">#REF!</definedName>
    <definedName name="Z_48202D5D_77CB_41DE_8C59_9325C98D7C97_.wvu.FilterData" localSheetId="5" hidden="1">#REF!</definedName>
    <definedName name="Z_48202D5D_77CB_41DE_8C59_9325C98D7C97_.wvu.FilterData" localSheetId="2" hidden="1">#REF!</definedName>
    <definedName name="Z_48202D5D_77CB_41DE_8C59_9325C98D7C97_.wvu.FilterData" localSheetId="6" hidden="1">#REF!</definedName>
    <definedName name="Z_48202D5D_77CB_41DE_8C59_9325C98D7C97_.wvu.FilterData" hidden="1">#REF!</definedName>
    <definedName name="Z_48824DFE_B714_4D0B_9E95_F01C5BAD5D1F_.wvu.FilterData" localSheetId="4" hidden="1">#REF!</definedName>
    <definedName name="Z_48824DFE_B714_4D0B_9E95_F01C5BAD5D1F_.wvu.FilterData" localSheetId="7" hidden="1">#REF!</definedName>
    <definedName name="Z_48824DFE_B714_4D0B_9E95_F01C5BAD5D1F_.wvu.FilterData" localSheetId="5" hidden="1">#REF!</definedName>
    <definedName name="Z_48824DFE_B714_4D0B_9E95_F01C5BAD5D1F_.wvu.FilterData" localSheetId="2" hidden="1">#REF!</definedName>
    <definedName name="Z_48824DFE_B714_4D0B_9E95_F01C5BAD5D1F_.wvu.FilterData" localSheetId="6" hidden="1">#REF!</definedName>
    <definedName name="Z_48824DFE_B714_4D0B_9E95_F01C5BAD5D1F_.wvu.FilterData" hidden="1">#REF!</definedName>
    <definedName name="Z_4C45D885_33EE_4DA9_BF96_6B10CFBA5596_.wvu.FilterData" localSheetId="4" hidden="1">#REF!</definedName>
    <definedName name="Z_4C45D885_33EE_4DA9_BF96_6B10CFBA5596_.wvu.FilterData" localSheetId="7" hidden="1">#REF!</definedName>
    <definedName name="Z_4C45D885_33EE_4DA9_BF96_6B10CFBA5596_.wvu.FilterData" localSheetId="5" hidden="1">#REF!</definedName>
    <definedName name="Z_4C45D885_33EE_4DA9_BF96_6B10CFBA5596_.wvu.FilterData" localSheetId="2" hidden="1">#REF!</definedName>
    <definedName name="Z_4C45D885_33EE_4DA9_BF96_6B10CFBA5596_.wvu.FilterData" localSheetId="6" hidden="1">#REF!</definedName>
    <definedName name="Z_4C45D885_33EE_4DA9_BF96_6B10CFBA5596_.wvu.FilterData" hidden="1">#REF!</definedName>
    <definedName name="Z_4D344757_9064_4D2F_A3A5_69132D23B7B9_.wvu.FilterData" localSheetId="4" hidden="1">#REF!</definedName>
    <definedName name="Z_4D344757_9064_4D2F_A3A5_69132D23B7B9_.wvu.FilterData" localSheetId="7" hidden="1">#REF!</definedName>
    <definedName name="Z_4D344757_9064_4D2F_A3A5_69132D23B7B9_.wvu.FilterData" localSheetId="5" hidden="1">#REF!</definedName>
    <definedName name="Z_4D344757_9064_4D2F_A3A5_69132D23B7B9_.wvu.FilterData" localSheetId="2" hidden="1">#REF!</definedName>
    <definedName name="Z_4D344757_9064_4D2F_A3A5_69132D23B7B9_.wvu.FilterData" localSheetId="6" hidden="1">#REF!</definedName>
    <definedName name="Z_4D344757_9064_4D2F_A3A5_69132D23B7B9_.wvu.FilterData" hidden="1">#REF!</definedName>
    <definedName name="Z_4E773EE1_0A5B_43A9_9C28_FFB0A27D19C3_.wvu.FilterData" localSheetId="4" hidden="1">#REF!</definedName>
    <definedName name="Z_4E773EE1_0A5B_43A9_9C28_FFB0A27D19C3_.wvu.FilterData" localSheetId="7" hidden="1">#REF!</definedName>
    <definedName name="Z_4E773EE1_0A5B_43A9_9C28_FFB0A27D19C3_.wvu.FilterData" localSheetId="5" hidden="1">#REF!</definedName>
    <definedName name="Z_4E773EE1_0A5B_43A9_9C28_FFB0A27D19C3_.wvu.FilterData" localSheetId="2" hidden="1">#REF!</definedName>
    <definedName name="Z_4E773EE1_0A5B_43A9_9C28_FFB0A27D19C3_.wvu.FilterData" localSheetId="6" hidden="1">#REF!</definedName>
    <definedName name="Z_4E773EE1_0A5B_43A9_9C28_FFB0A27D19C3_.wvu.FilterData" hidden="1">#REF!</definedName>
    <definedName name="Z_5122F04C_91B2_4031_BAE2_43203D520992_.wvu.FilterData" localSheetId="4" hidden="1">#REF!</definedName>
    <definedName name="Z_5122F04C_91B2_4031_BAE2_43203D520992_.wvu.FilterData" localSheetId="7" hidden="1">#REF!</definedName>
    <definedName name="Z_5122F04C_91B2_4031_BAE2_43203D520992_.wvu.FilterData" localSheetId="5" hidden="1">#REF!</definedName>
    <definedName name="Z_5122F04C_91B2_4031_BAE2_43203D520992_.wvu.FilterData" localSheetId="2" hidden="1">#REF!</definedName>
    <definedName name="Z_5122F04C_91B2_4031_BAE2_43203D520992_.wvu.FilterData" localSheetId="6" hidden="1">#REF!</definedName>
    <definedName name="Z_5122F04C_91B2_4031_BAE2_43203D520992_.wvu.FilterData" hidden="1">#REF!</definedName>
    <definedName name="Z_52B8D0B0_5872_4367_8D38_9AA5A4B975B3_.wvu.FilterData" localSheetId="4" hidden="1">#REF!</definedName>
    <definedName name="Z_52B8D0B0_5872_4367_8D38_9AA5A4B975B3_.wvu.FilterData" localSheetId="7" hidden="1">#REF!</definedName>
    <definedName name="Z_52B8D0B0_5872_4367_8D38_9AA5A4B975B3_.wvu.FilterData" localSheetId="5" hidden="1">#REF!</definedName>
    <definedName name="Z_52B8D0B0_5872_4367_8D38_9AA5A4B975B3_.wvu.FilterData" localSheetId="2" hidden="1">#REF!</definedName>
    <definedName name="Z_52B8D0B0_5872_4367_8D38_9AA5A4B975B3_.wvu.FilterData" localSheetId="6" hidden="1">#REF!</definedName>
    <definedName name="Z_52B8D0B0_5872_4367_8D38_9AA5A4B975B3_.wvu.FilterData" hidden="1">#REF!</definedName>
    <definedName name="Z_532423B2_94C7_44C1_9A2A_9712DAE92CE9_.wvu.FilterData" localSheetId="4" hidden="1">#REF!</definedName>
    <definedName name="Z_532423B2_94C7_44C1_9A2A_9712DAE92CE9_.wvu.FilterData" localSheetId="7" hidden="1">#REF!</definedName>
    <definedName name="Z_532423B2_94C7_44C1_9A2A_9712DAE92CE9_.wvu.FilterData" localSheetId="5" hidden="1">#REF!</definedName>
    <definedName name="Z_532423B2_94C7_44C1_9A2A_9712DAE92CE9_.wvu.FilterData" localSheetId="2" hidden="1">#REF!</definedName>
    <definedName name="Z_532423B2_94C7_44C1_9A2A_9712DAE92CE9_.wvu.FilterData" localSheetId="6" hidden="1">#REF!</definedName>
    <definedName name="Z_532423B2_94C7_44C1_9A2A_9712DAE92CE9_.wvu.FilterData" hidden="1">#REF!</definedName>
    <definedName name="Z_53F31130_5EA7_42BA_93EB_88A7CB743782_.wvu.FilterData" localSheetId="4" hidden="1">#REF!</definedName>
    <definedName name="Z_53F31130_5EA7_42BA_93EB_88A7CB743782_.wvu.FilterData" localSheetId="7" hidden="1">#REF!</definedName>
    <definedName name="Z_53F31130_5EA7_42BA_93EB_88A7CB743782_.wvu.FilterData" localSheetId="5" hidden="1">#REF!</definedName>
    <definedName name="Z_53F31130_5EA7_42BA_93EB_88A7CB743782_.wvu.FilterData" localSheetId="2" hidden="1">#REF!</definedName>
    <definedName name="Z_53F31130_5EA7_42BA_93EB_88A7CB743782_.wvu.FilterData" localSheetId="6" hidden="1">#REF!</definedName>
    <definedName name="Z_53F31130_5EA7_42BA_93EB_88A7CB743782_.wvu.FilterData" hidden="1">#REF!</definedName>
    <definedName name="Z_55213581_1831_4A94_AB4D_23E4F8BC8085_.wvu.FilterData" localSheetId="4" hidden="1">#REF!</definedName>
    <definedName name="Z_55213581_1831_4A94_AB4D_23E4F8BC8085_.wvu.FilterData" localSheetId="7" hidden="1">#REF!</definedName>
    <definedName name="Z_55213581_1831_4A94_AB4D_23E4F8BC8085_.wvu.FilterData" localSheetId="5" hidden="1">#REF!</definedName>
    <definedName name="Z_55213581_1831_4A94_AB4D_23E4F8BC8085_.wvu.FilterData" localSheetId="2" hidden="1">#REF!</definedName>
    <definedName name="Z_55213581_1831_4A94_AB4D_23E4F8BC8085_.wvu.FilterData" localSheetId="6" hidden="1">#REF!</definedName>
    <definedName name="Z_55213581_1831_4A94_AB4D_23E4F8BC8085_.wvu.FilterData" hidden="1">#REF!</definedName>
    <definedName name="Z_552B9204_1C85_45BC_B148_AF3E206BDAA2_.wvu.FilterData" localSheetId="4" hidden="1">#REF!</definedName>
    <definedName name="Z_552B9204_1C85_45BC_B148_AF3E206BDAA2_.wvu.FilterData" localSheetId="7" hidden="1">#REF!</definedName>
    <definedName name="Z_552B9204_1C85_45BC_B148_AF3E206BDAA2_.wvu.FilterData" localSheetId="5" hidden="1">#REF!</definedName>
    <definedName name="Z_552B9204_1C85_45BC_B148_AF3E206BDAA2_.wvu.FilterData" localSheetId="2" hidden="1">#REF!</definedName>
    <definedName name="Z_552B9204_1C85_45BC_B148_AF3E206BDAA2_.wvu.FilterData" localSheetId="6" hidden="1">#REF!</definedName>
    <definedName name="Z_552B9204_1C85_45BC_B148_AF3E206BDAA2_.wvu.FilterData" hidden="1">#REF!</definedName>
    <definedName name="Z_566671FC_5910_47FD_B961_1065A17D262D_.wvu.FilterData" localSheetId="4" hidden="1">#REF!</definedName>
    <definedName name="Z_566671FC_5910_47FD_B961_1065A17D262D_.wvu.FilterData" localSheetId="7" hidden="1">#REF!</definedName>
    <definedName name="Z_566671FC_5910_47FD_B961_1065A17D262D_.wvu.FilterData" localSheetId="5" hidden="1">#REF!</definedName>
    <definedName name="Z_566671FC_5910_47FD_B961_1065A17D262D_.wvu.FilterData" localSheetId="2" hidden="1">#REF!</definedName>
    <definedName name="Z_566671FC_5910_47FD_B961_1065A17D262D_.wvu.FilterData" localSheetId="6" hidden="1">#REF!</definedName>
    <definedName name="Z_566671FC_5910_47FD_B961_1065A17D262D_.wvu.FilterData" hidden="1">#REF!</definedName>
    <definedName name="Z_569D17FA_30FE_42CA_8D65_E126C1C01EC2_.wvu.FilterData" localSheetId="4" hidden="1">#REF!</definedName>
    <definedName name="Z_569D17FA_30FE_42CA_8D65_E126C1C01EC2_.wvu.FilterData" localSheetId="7" hidden="1">#REF!</definedName>
    <definedName name="Z_569D17FA_30FE_42CA_8D65_E126C1C01EC2_.wvu.FilterData" localSheetId="5" hidden="1">#REF!</definedName>
    <definedName name="Z_569D17FA_30FE_42CA_8D65_E126C1C01EC2_.wvu.FilterData" localSheetId="2" hidden="1">#REF!</definedName>
    <definedName name="Z_569D17FA_30FE_42CA_8D65_E126C1C01EC2_.wvu.FilterData" localSheetId="6" hidden="1">#REF!</definedName>
    <definedName name="Z_569D17FA_30FE_42CA_8D65_E126C1C01EC2_.wvu.FilterData" hidden="1">#REF!</definedName>
    <definedName name="Z_573E904E_5C2F_4CA2_AFCF_918B916322E4_.wvu.FilterData" localSheetId="4" hidden="1">#REF!</definedName>
    <definedName name="Z_573E904E_5C2F_4CA2_AFCF_918B916322E4_.wvu.FilterData" localSheetId="7" hidden="1">#REF!</definedName>
    <definedName name="Z_573E904E_5C2F_4CA2_AFCF_918B916322E4_.wvu.FilterData" localSheetId="5" hidden="1">#REF!</definedName>
    <definedName name="Z_573E904E_5C2F_4CA2_AFCF_918B916322E4_.wvu.FilterData" localSheetId="2" hidden="1">#REF!</definedName>
    <definedName name="Z_573E904E_5C2F_4CA2_AFCF_918B916322E4_.wvu.FilterData" localSheetId="6" hidden="1">#REF!</definedName>
    <definedName name="Z_573E904E_5C2F_4CA2_AFCF_918B916322E4_.wvu.FilterData" hidden="1">#REF!</definedName>
    <definedName name="Z_58DA6172_DC47_4A5F_B420_207BB6987764_.wvu.FilterData" localSheetId="4" hidden="1">#REF!</definedName>
    <definedName name="Z_58DA6172_DC47_4A5F_B420_207BB6987764_.wvu.FilterData" localSheetId="7" hidden="1">#REF!</definedName>
    <definedName name="Z_58DA6172_DC47_4A5F_B420_207BB6987764_.wvu.FilterData" localSheetId="5" hidden="1">#REF!</definedName>
    <definedName name="Z_58DA6172_DC47_4A5F_B420_207BB6987764_.wvu.FilterData" localSheetId="2" hidden="1">#REF!</definedName>
    <definedName name="Z_58DA6172_DC47_4A5F_B420_207BB6987764_.wvu.FilterData" localSheetId="6" hidden="1">#REF!</definedName>
    <definedName name="Z_58DA6172_DC47_4A5F_B420_207BB6987764_.wvu.FilterData" hidden="1">#REF!</definedName>
    <definedName name="Z_58FCB891_F6F4_46F2_BF6B_861E585C9231_.wvu.FilterData" localSheetId="4" hidden="1">#REF!</definedName>
    <definedName name="Z_58FCB891_F6F4_46F2_BF6B_861E585C9231_.wvu.FilterData" localSheetId="7" hidden="1">#REF!</definedName>
    <definedName name="Z_58FCB891_F6F4_46F2_BF6B_861E585C9231_.wvu.FilterData" localSheetId="5" hidden="1">#REF!</definedName>
    <definedName name="Z_58FCB891_F6F4_46F2_BF6B_861E585C9231_.wvu.FilterData" localSheetId="2" hidden="1">#REF!</definedName>
    <definedName name="Z_58FCB891_F6F4_46F2_BF6B_861E585C9231_.wvu.FilterData" localSheetId="6" hidden="1">#REF!</definedName>
    <definedName name="Z_58FCB891_F6F4_46F2_BF6B_861E585C9231_.wvu.FilterData" hidden="1">#REF!</definedName>
    <definedName name="Z_59A87EBA_E018_40E8_A580_AB2176E95D7E_.wvu.FilterData" localSheetId="4" hidden="1">#REF!</definedName>
    <definedName name="Z_59A87EBA_E018_40E8_A580_AB2176E95D7E_.wvu.FilterData" localSheetId="7" hidden="1">#REF!</definedName>
    <definedName name="Z_59A87EBA_E018_40E8_A580_AB2176E95D7E_.wvu.FilterData" localSheetId="5" hidden="1">#REF!</definedName>
    <definedName name="Z_59A87EBA_E018_40E8_A580_AB2176E95D7E_.wvu.FilterData" localSheetId="2" hidden="1">#REF!</definedName>
    <definedName name="Z_59A87EBA_E018_40E8_A580_AB2176E95D7E_.wvu.FilterData" localSheetId="6" hidden="1">#REF!</definedName>
    <definedName name="Z_59A87EBA_E018_40E8_A580_AB2176E95D7E_.wvu.FilterData" hidden="1">#REF!</definedName>
    <definedName name="Z_5A3E740D_87C0_4F85_AB6D_B402AD860D04_.wvu.FilterData" localSheetId="4" hidden="1">#REF!</definedName>
    <definedName name="Z_5A3E740D_87C0_4F85_AB6D_B402AD860D04_.wvu.FilterData" localSheetId="7" hidden="1">#REF!</definedName>
    <definedName name="Z_5A3E740D_87C0_4F85_AB6D_B402AD860D04_.wvu.FilterData" localSheetId="5" hidden="1">#REF!</definedName>
    <definedName name="Z_5A3E740D_87C0_4F85_AB6D_B402AD860D04_.wvu.FilterData" localSheetId="2" hidden="1">#REF!</definedName>
    <definedName name="Z_5A3E740D_87C0_4F85_AB6D_B402AD860D04_.wvu.FilterData" localSheetId="6" hidden="1">#REF!</definedName>
    <definedName name="Z_5A3E740D_87C0_4F85_AB6D_B402AD860D04_.wvu.FilterData" hidden="1">#REF!</definedName>
    <definedName name="Z_5B42E6B5_40AA_4D3F_B932_EF1583491CDE_.wvu.FilterData" localSheetId="4" hidden="1">#REF!</definedName>
    <definedName name="Z_5B42E6B5_40AA_4D3F_B932_EF1583491CDE_.wvu.FilterData" localSheetId="7" hidden="1">#REF!</definedName>
    <definedName name="Z_5B42E6B5_40AA_4D3F_B932_EF1583491CDE_.wvu.FilterData" localSheetId="5" hidden="1">#REF!</definedName>
    <definedName name="Z_5B42E6B5_40AA_4D3F_B932_EF1583491CDE_.wvu.FilterData" localSheetId="2" hidden="1">#REF!</definedName>
    <definedName name="Z_5B42E6B5_40AA_4D3F_B932_EF1583491CDE_.wvu.FilterData" localSheetId="6" hidden="1">#REF!</definedName>
    <definedName name="Z_5B42E6B5_40AA_4D3F_B932_EF1583491CDE_.wvu.FilterData" hidden="1">#REF!</definedName>
    <definedName name="Z_5B7B4951_7310_4C66_B906_4D046076272E_.wvu.FilterData" localSheetId="4" hidden="1">#REF!</definedName>
    <definedName name="Z_5B7B4951_7310_4C66_B906_4D046076272E_.wvu.FilterData" localSheetId="7" hidden="1">#REF!</definedName>
    <definedName name="Z_5B7B4951_7310_4C66_B906_4D046076272E_.wvu.FilterData" localSheetId="5" hidden="1">#REF!</definedName>
    <definedName name="Z_5B7B4951_7310_4C66_B906_4D046076272E_.wvu.FilterData" localSheetId="2" hidden="1">#REF!</definedName>
    <definedName name="Z_5B7B4951_7310_4C66_B906_4D046076272E_.wvu.FilterData" localSheetId="6" hidden="1">#REF!</definedName>
    <definedName name="Z_5B7B4951_7310_4C66_B906_4D046076272E_.wvu.FilterData" hidden="1">#REF!</definedName>
    <definedName name="Z_5D41F4B9_83DF_4509_9C07_453BA5A62846_.wvu.FilterData" localSheetId="4" hidden="1">#REF!</definedName>
    <definedName name="Z_5D41F4B9_83DF_4509_9C07_453BA5A62846_.wvu.FilterData" localSheetId="7" hidden="1">#REF!</definedName>
    <definedName name="Z_5D41F4B9_83DF_4509_9C07_453BA5A62846_.wvu.FilterData" localSheetId="5" hidden="1">#REF!</definedName>
    <definedName name="Z_5D41F4B9_83DF_4509_9C07_453BA5A62846_.wvu.FilterData" localSheetId="2" hidden="1">#REF!</definedName>
    <definedName name="Z_5D41F4B9_83DF_4509_9C07_453BA5A62846_.wvu.FilterData" localSheetId="6" hidden="1">#REF!</definedName>
    <definedName name="Z_5D41F4B9_83DF_4509_9C07_453BA5A62846_.wvu.FilterData" hidden="1">#REF!</definedName>
    <definedName name="Z_5DB05E9F_8F3B_4886_A6CB_2CC53331BA7A_.wvu.FilterData" localSheetId="4" hidden="1">#REF!</definedName>
    <definedName name="Z_5DB05E9F_8F3B_4886_A6CB_2CC53331BA7A_.wvu.FilterData" localSheetId="7" hidden="1">#REF!</definedName>
    <definedName name="Z_5DB05E9F_8F3B_4886_A6CB_2CC53331BA7A_.wvu.FilterData" localSheetId="5" hidden="1">#REF!</definedName>
    <definedName name="Z_5DB05E9F_8F3B_4886_A6CB_2CC53331BA7A_.wvu.FilterData" localSheetId="2" hidden="1">#REF!</definedName>
    <definedName name="Z_5DB05E9F_8F3B_4886_A6CB_2CC53331BA7A_.wvu.FilterData" localSheetId="6" hidden="1">#REF!</definedName>
    <definedName name="Z_5DB05E9F_8F3B_4886_A6CB_2CC53331BA7A_.wvu.FilterData" hidden="1">#REF!</definedName>
    <definedName name="Z_5F096896_2CB8_4B96_A0FE_9AB50EEEEFAB_.wvu.FilterData" localSheetId="4" hidden="1">#REF!</definedName>
    <definedName name="Z_5F096896_2CB8_4B96_A0FE_9AB50EEEEFAB_.wvu.FilterData" localSheetId="7" hidden="1">#REF!</definedName>
    <definedName name="Z_5F096896_2CB8_4B96_A0FE_9AB50EEEEFAB_.wvu.FilterData" localSheetId="5" hidden="1">#REF!</definedName>
    <definedName name="Z_5F096896_2CB8_4B96_A0FE_9AB50EEEEFAB_.wvu.FilterData" localSheetId="2" hidden="1">#REF!</definedName>
    <definedName name="Z_5F096896_2CB8_4B96_A0FE_9AB50EEEEFAB_.wvu.FilterData" localSheetId="6" hidden="1">#REF!</definedName>
    <definedName name="Z_5F096896_2CB8_4B96_A0FE_9AB50EEEEFAB_.wvu.FilterData" hidden="1">#REF!</definedName>
    <definedName name="Z_60DF8B29_1C1F_4B50_BDA8_B8E0C7DD04C3_.wvu.Cols" localSheetId="4" hidden="1">#REF!,#REF!</definedName>
    <definedName name="Z_60DF8B29_1C1F_4B50_BDA8_B8E0C7DD04C3_.wvu.Cols" localSheetId="7" hidden="1">#REF!,#REF!</definedName>
    <definedName name="Z_60DF8B29_1C1F_4B50_BDA8_B8E0C7DD04C3_.wvu.Cols" localSheetId="1" hidden="1">#REF!,#REF!</definedName>
    <definedName name="Z_60DF8B29_1C1F_4B50_BDA8_B8E0C7DD04C3_.wvu.Cols" localSheetId="5" hidden="1">#REF!,#REF!</definedName>
    <definedName name="Z_60DF8B29_1C1F_4B50_BDA8_B8E0C7DD04C3_.wvu.Cols" localSheetId="2" hidden="1">#REF!,#REF!</definedName>
    <definedName name="Z_60DF8B29_1C1F_4B50_BDA8_B8E0C7DD04C3_.wvu.Cols" localSheetId="6" hidden="1">#REF!,#REF!</definedName>
    <definedName name="Z_60DF8B29_1C1F_4B50_BDA8_B8E0C7DD04C3_.wvu.Cols" hidden="1">#REF!,#REF!</definedName>
    <definedName name="Z_60DF8B29_1C1F_4B50_BDA8_B8E0C7DD04C3_.wvu.FilterData" localSheetId="4" hidden="1">#REF!</definedName>
    <definedName name="Z_60DF8B29_1C1F_4B50_BDA8_B8E0C7DD04C3_.wvu.FilterData" localSheetId="7" hidden="1">#REF!</definedName>
    <definedName name="Z_60DF8B29_1C1F_4B50_BDA8_B8E0C7DD04C3_.wvu.FilterData" localSheetId="5" hidden="1">#REF!</definedName>
    <definedName name="Z_60DF8B29_1C1F_4B50_BDA8_B8E0C7DD04C3_.wvu.FilterData" localSheetId="2" hidden="1">#REF!</definedName>
    <definedName name="Z_60DF8B29_1C1F_4B50_BDA8_B8E0C7DD04C3_.wvu.FilterData" localSheetId="6" hidden="1">#REF!</definedName>
    <definedName name="Z_60DF8B29_1C1F_4B50_BDA8_B8E0C7DD04C3_.wvu.FilterData" hidden="1">#REF!</definedName>
    <definedName name="Z_615F4A4D_D5AB_4A04_81F5_F436484247A5_.wvu.FilterData" localSheetId="4" hidden="1">#REF!</definedName>
    <definedName name="Z_615F4A4D_D5AB_4A04_81F5_F436484247A5_.wvu.FilterData" localSheetId="7" hidden="1">#REF!</definedName>
    <definedName name="Z_615F4A4D_D5AB_4A04_81F5_F436484247A5_.wvu.FilterData" localSheetId="5" hidden="1">#REF!</definedName>
    <definedName name="Z_615F4A4D_D5AB_4A04_81F5_F436484247A5_.wvu.FilterData" localSheetId="2" hidden="1">#REF!</definedName>
    <definedName name="Z_615F4A4D_D5AB_4A04_81F5_F436484247A5_.wvu.FilterData" localSheetId="6" hidden="1">#REF!</definedName>
    <definedName name="Z_615F4A4D_D5AB_4A04_81F5_F436484247A5_.wvu.FilterData" hidden="1">#REF!</definedName>
    <definedName name="Z_616443B5_6F0D_4082_9223_F71B54305366_.wvu.FilterData" localSheetId="4" hidden="1">#REF!</definedName>
    <definedName name="Z_616443B5_6F0D_4082_9223_F71B54305366_.wvu.FilterData" localSheetId="7" hidden="1">#REF!</definedName>
    <definedName name="Z_616443B5_6F0D_4082_9223_F71B54305366_.wvu.FilterData" localSheetId="5" hidden="1">#REF!</definedName>
    <definedName name="Z_616443B5_6F0D_4082_9223_F71B54305366_.wvu.FilterData" localSheetId="2" hidden="1">#REF!</definedName>
    <definedName name="Z_616443B5_6F0D_4082_9223_F71B54305366_.wvu.FilterData" localSheetId="6" hidden="1">#REF!</definedName>
    <definedName name="Z_616443B5_6F0D_4082_9223_F71B54305366_.wvu.FilterData" hidden="1">#REF!</definedName>
    <definedName name="Z_631F0312_B404_409F_AF2B_39FB2D25040B_.wvu.FilterData" localSheetId="4" hidden="1">#REF!</definedName>
    <definedName name="Z_631F0312_B404_409F_AF2B_39FB2D25040B_.wvu.FilterData" localSheetId="7" hidden="1">#REF!</definedName>
    <definedName name="Z_631F0312_B404_409F_AF2B_39FB2D25040B_.wvu.FilterData" localSheetId="5" hidden="1">#REF!</definedName>
    <definedName name="Z_631F0312_B404_409F_AF2B_39FB2D25040B_.wvu.FilterData" localSheetId="2" hidden="1">#REF!</definedName>
    <definedName name="Z_631F0312_B404_409F_AF2B_39FB2D25040B_.wvu.FilterData" localSheetId="6" hidden="1">#REF!</definedName>
    <definedName name="Z_631F0312_B404_409F_AF2B_39FB2D25040B_.wvu.FilterData" hidden="1">#REF!</definedName>
    <definedName name="Z_632CF316_8294_4588_87E1_2B69E184A62B_.wvu.FilterData" localSheetId="4" hidden="1">#REF!</definedName>
    <definedName name="Z_632CF316_8294_4588_87E1_2B69E184A62B_.wvu.FilterData" localSheetId="7" hidden="1">#REF!</definedName>
    <definedName name="Z_632CF316_8294_4588_87E1_2B69E184A62B_.wvu.FilterData" localSheetId="5" hidden="1">#REF!</definedName>
    <definedName name="Z_632CF316_8294_4588_87E1_2B69E184A62B_.wvu.FilterData" localSheetId="2" hidden="1">#REF!</definedName>
    <definedName name="Z_632CF316_8294_4588_87E1_2B69E184A62B_.wvu.FilterData" localSheetId="6" hidden="1">#REF!</definedName>
    <definedName name="Z_632CF316_8294_4588_87E1_2B69E184A62B_.wvu.FilterData" hidden="1">#REF!</definedName>
    <definedName name="Z_66D1BA5F_F4AE_443C_8583_CE89D6674A73_.wvu.FilterData" localSheetId="4" hidden="1">#REF!</definedName>
    <definedName name="Z_66D1BA5F_F4AE_443C_8583_CE89D6674A73_.wvu.FilterData" localSheetId="7" hidden="1">#REF!</definedName>
    <definedName name="Z_66D1BA5F_F4AE_443C_8583_CE89D6674A73_.wvu.FilterData" localSheetId="5" hidden="1">#REF!</definedName>
    <definedName name="Z_66D1BA5F_F4AE_443C_8583_CE89D6674A73_.wvu.FilterData" localSheetId="2" hidden="1">#REF!</definedName>
    <definedName name="Z_66D1BA5F_F4AE_443C_8583_CE89D6674A73_.wvu.FilterData" localSheetId="6" hidden="1">#REF!</definedName>
    <definedName name="Z_66D1BA5F_F4AE_443C_8583_CE89D6674A73_.wvu.FilterData" hidden="1">#REF!</definedName>
    <definedName name="Z_66DD4806_8039_438A_B1CE_46CC5B464050_.wvu.FilterData" localSheetId="4" hidden="1">#REF!</definedName>
    <definedName name="Z_66DD4806_8039_438A_B1CE_46CC5B464050_.wvu.FilterData" localSheetId="7" hidden="1">#REF!</definedName>
    <definedName name="Z_66DD4806_8039_438A_B1CE_46CC5B464050_.wvu.FilterData" localSheetId="5" hidden="1">#REF!</definedName>
    <definedName name="Z_66DD4806_8039_438A_B1CE_46CC5B464050_.wvu.FilterData" localSheetId="2" hidden="1">#REF!</definedName>
    <definedName name="Z_66DD4806_8039_438A_B1CE_46CC5B464050_.wvu.FilterData" localSheetId="6" hidden="1">#REF!</definedName>
    <definedName name="Z_66DD4806_8039_438A_B1CE_46CC5B464050_.wvu.FilterData" hidden="1">#REF!</definedName>
    <definedName name="Z_67B65FDF_FF67_490E_B8E5_92DC66C9FC9D_.wvu.FilterData" localSheetId="4" hidden="1">#REF!</definedName>
    <definedName name="Z_67B65FDF_FF67_490E_B8E5_92DC66C9FC9D_.wvu.FilterData" localSheetId="7" hidden="1">#REF!</definedName>
    <definedName name="Z_67B65FDF_FF67_490E_B8E5_92DC66C9FC9D_.wvu.FilterData" localSheetId="5" hidden="1">#REF!</definedName>
    <definedName name="Z_67B65FDF_FF67_490E_B8E5_92DC66C9FC9D_.wvu.FilterData" localSheetId="2" hidden="1">#REF!</definedName>
    <definedName name="Z_67B65FDF_FF67_490E_B8E5_92DC66C9FC9D_.wvu.FilterData" localSheetId="6" hidden="1">#REF!</definedName>
    <definedName name="Z_67B65FDF_FF67_490E_B8E5_92DC66C9FC9D_.wvu.FilterData" hidden="1">#REF!</definedName>
    <definedName name="Z_68B709DF_9429_4090_9106_386C5F16C4D7_.wvu.FilterData" localSheetId="4" hidden="1">#REF!</definedName>
    <definedName name="Z_68B709DF_9429_4090_9106_386C5F16C4D7_.wvu.FilterData" localSheetId="7" hidden="1">#REF!</definedName>
    <definedName name="Z_68B709DF_9429_4090_9106_386C5F16C4D7_.wvu.FilterData" localSheetId="5" hidden="1">#REF!</definedName>
    <definedName name="Z_68B709DF_9429_4090_9106_386C5F16C4D7_.wvu.FilterData" localSheetId="2" hidden="1">#REF!</definedName>
    <definedName name="Z_68B709DF_9429_4090_9106_386C5F16C4D7_.wvu.FilterData" localSheetId="6" hidden="1">#REF!</definedName>
    <definedName name="Z_68B709DF_9429_4090_9106_386C5F16C4D7_.wvu.FilterData" hidden="1">#REF!</definedName>
    <definedName name="Z_690BC25F_5AA3_4B4B_9507_8C197E768E98_.wvu.FilterData" localSheetId="4" hidden="1">#REF!</definedName>
    <definedName name="Z_690BC25F_5AA3_4B4B_9507_8C197E768E98_.wvu.FilterData" localSheetId="7" hidden="1">#REF!</definedName>
    <definedName name="Z_690BC25F_5AA3_4B4B_9507_8C197E768E98_.wvu.FilterData" localSheetId="5" hidden="1">#REF!</definedName>
    <definedName name="Z_690BC25F_5AA3_4B4B_9507_8C197E768E98_.wvu.FilterData" localSheetId="2" hidden="1">#REF!</definedName>
    <definedName name="Z_690BC25F_5AA3_4B4B_9507_8C197E768E98_.wvu.FilterData" localSheetId="6" hidden="1">#REF!</definedName>
    <definedName name="Z_690BC25F_5AA3_4B4B_9507_8C197E768E98_.wvu.FilterData" hidden="1">#REF!</definedName>
    <definedName name="Z_6A66B8A7_491B_4A29_94A1_39F4FDA32C48_.wvu.FilterData" localSheetId="4" hidden="1">#REF!</definedName>
    <definedName name="Z_6A66B8A7_491B_4A29_94A1_39F4FDA32C48_.wvu.FilterData" localSheetId="7" hidden="1">#REF!</definedName>
    <definedName name="Z_6A66B8A7_491B_4A29_94A1_39F4FDA32C48_.wvu.FilterData" localSheetId="5" hidden="1">#REF!</definedName>
    <definedName name="Z_6A66B8A7_491B_4A29_94A1_39F4FDA32C48_.wvu.FilterData" localSheetId="2" hidden="1">#REF!</definedName>
    <definedName name="Z_6A66B8A7_491B_4A29_94A1_39F4FDA32C48_.wvu.FilterData" localSheetId="6" hidden="1">#REF!</definedName>
    <definedName name="Z_6A66B8A7_491B_4A29_94A1_39F4FDA32C48_.wvu.FilterData" hidden="1">#REF!</definedName>
    <definedName name="Z_6A6F36C8_24A1_4147_9C63_27B7978935DD_.wvu.FilterData" localSheetId="4" hidden="1">#REF!</definedName>
    <definedName name="Z_6A6F36C8_24A1_4147_9C63_27B7978935DD_.wvu.FilterData" localSheetId="7" hidden="1">#REF!</definedName>
    <definedName name="Z_6A6F36C8_24A1_4147_9C63_27B7978935DD_.wvu.FilterData" localSheetId="5" hidden="1">#REF!</definedName>
    <definedName name="Z_6A6F36C8_24A1_4147_9C63_27B7978935DD_.wvu.FilterData" localSheetId="2" hidden="1">#REF!</definedName>
    <definedName name="Z_6A6F36C8_24A1_4147_9C63_27B7978935DD_.wvu.FilterData" localSheetId="6" hidden="1">#REF!</definedName>
    <definedName name="Z_6A6F36C8_24A1_4147_9C63_27B7978935DD_.wvu.FilterData" hidden="1">#REF!</definedName>
    <definedName name="Z_6C2050D3_ABE5_4B48_B2A7_DDDD21669987_.wvu.FilterData" localSheetId="4" hidden="1">#REF!</definedName>
    <definedName name="Z_6C2050D3_ABE5_4B48_B2A7_DDDD21669987_.wvu.FilterData" localSheetId="7" hidden="1">#REF!</definedName>
    <definedName name="Z_6C2050D3_ABE5_4B48_B2A7_DDDD21669987_.wvu.FilterData" localSheetId="5" hidden="1">#REF!</definedName>
    <definedName name="Z_6C2050D3_ABE5_4B48_B2A7_DDDD21669987_.wvu.FilterData" localSheetId="2" hidden="1">#REF!</definedName>
    <definedName name="Z_6C2050D3_ABE5_4B48_B2A7_DDDD21669987_.wvu.FilterData" localSheetId="6" hidden="1">#REF!</definedName>
    <definedName name="Z_6C2050D3_ABE5_4B48_B2A7_DDDD21669987_.wvu.FilterData" hidden="1">#REF!</definedName>
    <definedName name="Z_6CD84A0B_C00D_4BC8_A655_6383CCA4B296_.wvu.FilterData" localSheetId="4" hidden="1">#REF!</definedName>
    <definedName name="Z_6CD84A0B_C00D_4BC8_A655_6383CCA4B296_.wvu.FilterData" localSheetId="7" hidden="1">#REF!</definedName>
    <definedName name="Z_6CD84A0B_C00D_4BC8_A655_6383CCA4B296_.wvu.FilterData" localSheetId="5" hidden="1">#REF!</definedName>
    <definedName name="Z_6CD84A0B_C00D_4BC8_A655_6383CCA4B296_.wvu.FilterData" localSheetId="2" hidden="1">#REF!</definedName>
    <definedName name="Z_6CD84A0B_C00D_4BC8_A655_6383CCA4B296_.wvu.FilterData" localSheetId="6" hidden="1">#REF!</definedName>
    <definedName name="Z_6CD84A0B_C00D_4BC8_A655_6383CCA4B296_.wvu.FilterData" hidden="1">#REF!</definedName>
    <definedName name="Z_6D5E5F42_E924_48A0_A50F_5BB481AFD1D5_.wvu.FilterData" localSheetId="4" hidden="1">#REF!</definedName>
    <definedName name="Z_6D5E5F42_E924_48A0_A50F_5BB481AFD1D5_.wvu.FilterData" localSheetId="7" hidden="1">#REF!</definedName>
    <definedName name="Z_6D5E5F42_E924_48A0_A50F_5BB481AFD1D5_.wvu.FilterData" localSheetId="5" hidden="1">#REF!</definedName>
    <definedName name="Z_6D5E5F42_E924_48A0_A50F_5BB481AFD1D5_.wvu.FilterData" localSheetId="2" hidden="1">#REF!</definedName>
    <definedName name="Z_6D5E5F42_E924_48A0_A50F_5BB481AFD1D5_.wvu.FilterData" localSheetId="6" hidden="1">#REF!</definedName>
    <definedName name="Z_6D5E5F42_E924_48A0_A50F_5BB481AFD1D5_.wvu.FilterData" hidden="1">#REF!</definedName>
    <definedName name="Z_6D789842_F56B_40C4_8907_F36C02855F76_.wvu.FilterData" localSheetId="4" hidden="1">#REF!</definedName>
    <definedName name="Z_6D789842_F56B_40C4_8907_F36C02855F76_.wvu.FilterData" localSheetId="7" hidden="1">#REF!</definedName>
    <definedName name="Z_6D789842_F56B_40C4_8907_F36C02855F76_.wvu.FilterData" localSheetId="5" hidden="1">#REF!</definedName>
    <definedName name="Z_6D789842_F56B_40C4_8907_F36C02855F76_.wvu.FilterData" localSheetId="2" hidden="1">#REF!</definedName>
    <definedName name="Z_6D789842_F56B_40C4_8907_F36C02855F76_.wvu.FilterData" localSheetId="6" hidden="1">#REF!</definedName>
    <definedName name="Z_6D789842_F56B_40C4_8907_F36C02855F76_.wvu.FilterData" hidden="1">#REF!</definedName>
    <definedName name="Z_6E345713_0818_471C_B54B_D890B987A0BC_.wvu.FilterData" localSheetId="4" hidden="1">#REF!</definedName>
    <definedName name="Z_6E345713_0818_471C_B54B_D890B987A0BC_.wvu.FilterData" localSheetId="7" hidden="1">#REF!</definedName>
    <definedName name="Z_6E345713_0818_471C_B54B_D890B987A0BC_.wvu.FilterData" localSheetId="5" hidden="1">#REF!</definedName>
    <definedName name="Z_6E345713_0818_471C_B54B_D890B987A0BC_.wvu.FilterData" localSheetId="2" hidden="1">#REF!</definedName>
    <definedName name="Z_6E345713_0818_471C_B54B_D890B987A0BC_.wvu.FilterData" localSheetId="6" hidden="1">#REF!</definedName>
    <definedName name="Z_6E345713_0818_471C_B54B_D890B987A0BC_.wvu.FilterData" hidden="1">#REF!</definedName>
    <definedName name="Z_701DEAE4_9CF1_491A_A54B_A6AE3235639D_.wvu.FilterData" localSheetId="4" hidden="1">#REF!</definedName>
    <definedName name="Z_701DEAE4_9CF1_491A_A54B_A6AE3235639D_.wvu.FilterData" localSheetId="7" hidden="1">#REF!</definedName>
    <definedName name="Z_701DEAE4_9CF1_491A_A54B_A6AE3235639D_.wvu.FilterData" localSheetId="5" hidden="1">#REF!</definedName>
    <definedName name="Z_701DEAE4_9CF1_491A_A54B_A6AE3235639D_.wvu.FilterData" localSheetId="2" hidden="1">#REF!</definedName>
    <definedName name="Z_701DEAE4_9CF1_491A_A54B_A6AE3235639D_.wvu.FilterData" localSheetId="6" hidden="1">#REF!</definedName>
    <definedName name="Z_701DEAE4_9CF1_491A_A54B_A6AE3235639D_.wvu.FilterData" hidden="1">#REF!</definedName>
    <definedName name="Z_7319B1DA_C8AE_4D1D_AB4C_B14141921483_.wvu.FilterData" localSheetId="4" hidden="1">#REF!</definedName>
    <definedName name="Z_7319B1DA_C8AE_4D1D_AB4C_B14141921483_.wvu.FilterData" localSheetId="7" hidden="1">#REF!</definedName>
    <definedName name="Z_7319B1DA_C8AE_4D1D_AB4C_B14141921483_.wvu.FilterData" localSheetId="5" hidden="1">#REF!</definedName>
    <definedName name="Z_7319B1DA_C8AE_4D1D_AB4C_B14141921483_.wvu.FilterData" localSheetId="2" hidden="1">#REF!</definedName>
    <definedName name="Z_7319B1DA_C8AE_4D1D_AB4C_B14141921483_.wvu.FilterData" localSheetId="6" hidden="1">#REF!</definedName>
    <definedName name="Z_7319B1DA_C8AE_4D1D_AB4C_B14141921483_.wvu.FilterData" hidden="1">#REF!</definedName>
    <definedName name="Z_75A1B66F_9EE1_4406_8264_C9BF12113183_.wvu.FilterData" localSheetId="4" hidden="1">#REF!</definedName>
    <definedName name="Z_75A1B66F_9EE1_4406_8264_C9BF12113183_.wvu.FilterData" localSheetId="7" hidden="1">#REF!</definedName>
    <definedName name="Z_75A1B66F_9EE1_4406_8264_C9BF12113183_.wvu.FilterData" localSheetId="5" hidden="1">#REF!</definedName>
    <definedName name="Z_75A1B66F_9EE1_4406_8264_C9BF12113183_.wvu.FilterData" localSheetId="2" hidden="1">#REF!</definedName>
    <definedName name="Z_75A1B66F_9EE1_4406_8264_C9BF12113183_.wvu.FilterData" localSheetId="6" hidden="1">#REF!</definedName>
    <definedName name="Z_75A1B66F_9EE1_4406_8264_C9BF12113183_.wvu.FilterData" hidden="1">#REF!</definedName>
    <definedName name="Z_7651BD63_D75B_41A5_B133_06AE6A84AE8F_.wvu.FilterData" localSheetId="4" hidden="1">#REF!</definedName>
    <definedName name="Z_7651BD63_D75B_41A5_B133_06AE6A84AE8F_.wvu.FilterData" localSheetId="7" hidden="1">#REF!</definedName>
    <definedName name="Z_7651BD63_D75B_41A5_B133_06AE6A84AE8F_.wvu.FilterData" localSheetId="5" hidden="1">#REF!</definedName>
    <definedName name="Z_7651BD63_D75B_41A5_B133_06AE6A84AE8F_.wvu.FilterData" localSheetId="2" hidden="1">#REF!</definedName>
    <definedName name="Z_7651BD63_D75B_41A5_B133_06AE6A84AE8F_.wvu.FilterData" localSheetId="6" hidden="1">#REF!</definedName>
    <definedName name="Z_7651BD63_D75B_41A5_B133_06AE6A84AE8F_.wvu.FilterData" hidden="1">#REF!</definedName>
    <definedName name="Z_767B7DB4_B657_4E6E_831B_84CA933FFCBE_.wvu.FilterData" localSheetId="4" hidden="1">#REF!</definedName>
    <definedName name="Z_767B7DB4_B657_4E6E_831B_84CA933FFCBE_.wvu.FilterData" localSheetId="7" hidden="1">#REF!</definedName>
    <definedName name="Z_767B7DB4_B657_4E6E_831B_84CA933FFCBE_.wvu.FilterData" localSheetId="5" hidden="1">#REF!</definedName>
    <definedName name="Z_767B7DB4_B657_4E6E_831B_84CA933FFCBE_.wvu.FilterData" localSheetId="2" hidden="1">#REF!</definedName>
    <definedName name="Z_767B7DB4_B657_4E6E_831B_84CA933FFCBE_.wvu.FilterData" localSheetId="6" hidden="1">#REF!</definedName>
    <definedName name="Z_767B7DB4_B657_4E6E_831B_84CA933FFCBE_.wvu.FilterData" hidden="1">#REF!</definedName>
    <definedName name="Z_76FA93EF_40A9_4929_9B4A_2213742C1620_.wvu.FilterData" localSheetId="4" hidden="1">#REF!</definedName>
    <definedName name="Z_76FA93EF_40A9_4929_9B4A_2213742C1620_.wvu.FilterData" localSheetId="7" hidden="1">#REF!</definedName>
    <definedName name="Z_76FA93EF_40A9_4929_9B4A_2213742C1620_.wvu.FilterData" localSheetId="5" hidden="1">#REF!</definedName>
    <definedName name="Z_76FA93EF_40A9_4929_9B4A_2213742C1620_.wvu.FilterData" localSheetId="2" hidden="1">#REF!</definedName>
    <definedName name="Z_76FA93EF_40A9_4929_9B4A_2213742C1620_.wvu.FilterData" localSheetId="6" hidden="1">#REF!</definedName>
    <definedName name="Z_76FA93EF_40A9_4929_9B4A_2213742C1620_.wvu.FilterData" hidden="1">#REF!</definedName>
    <definedName name="Z_78A33412_D032_45F7_9C2D_D4A31DB937D9_.wvu.FilterData" localSheetId="4" hidden="1">#REF!</definedName>
    <definedName name="Z_78A33412_D032_45F7_9C2D_D4A31DB937D9_.wvu.FilterData" localSheetId="7" hidden="1">#REF!</definedName>
    <definedName name="Z_78A33412_D032_45F7_9C2D_D4A31DB937D9_.wvu.FilterData" localSheetId="5" hidden="1">#REF!</definedName>
    <definedName name="Z_78A33412_D032_45F7_9C2D_D4A31DB937D9_.wvu.FilterData" localSheetId="2" hidden="1">#REF!</definedName>
    <definedName name="Z_78A33412_D032_45F7_9C2D_D4A31DB937D9_.wvu.FilterData" localSheetId="6" hidden="1">#REF!</definedName>
    <definedName name="Z_78A33412_D032_45F7_9C2D_D4A31DB937D9_.wvu.FilterData" hidden="1">#REF!</definedName>
    <definedName name="Z_796E4E5E_16C3_474D_B1D5_F6D39CD34051_.wvu.FilterData" localSheetId="4" hidden="1">#REF!</definedName>
    <definedName name="Z_796E4E5E_16C3_474D_B1D5_F6D39CD34051_.wvu.FilterData" localSheetId="7" hidden="1">#REF!</definedName>
    <definedName name="Z_796E4E5E_16C3_474D_B1D5_F6D39CD34051_.wvu.FilterData" localSheetId="5" hidden="1">#REF!</definedName>
    <definedName name="Z_796E4E5E_16C3_474D_B1D5_F6D39CD34051_.wvu.FilterData" localSheetId="2" hidden="1">#REF!</definedName>
    <definedName name="Z_796E4E5E_16C3_474D_B1D5_F6D39CD34051_.wvu.FilterData" localSheetId="6" hidden="1">#REF!</definedName>
    <definedName name="Z_796E4E5E_16C3_474D_B1D5_F6D39CD34051_.wvu.FilterData" hidden="1">#REF!</definedName>
    <definedName name="Z_7BFA9C41_C881_48A8_90C2_F93F8E16E599_.wvu.FilterData" localSheetId="4" hidden="1">#REF!</definedName>
    <definedName name="Z_7BFA9C41_C881_48A8_90C2_F93F8E16E599_.wvu.FilterData" localSheetId="7" hidden="1">#REF!</definedName>
    <definedName name="Z_7BFA9C41_C881_48A8_90C2_F93F8E16E599_.wvu.FilterData" localSheetId="5" hidden="1">#REF!</definedName>
    <definedName name="Z_7BFA9C41_C881_48A8_90C2_F93F8E16E599_.wvu.FilterData" localSheetId="2" hidden="1">#REF!</definedName>
    <definedName name="Z_7BFA9C41_C881_48A8_90C2_F93F8E16E599_.wvu.FilterData" localSheetId="6" hidden="1">#REF!</definedName>
    <definedName name="Z_7BFA9C41_C881_48A8_90C2_F93F8E16E599_.wvu.FilterData" hidden="1">#REF!</definedName>
    <definedName name="Z_7BFBCE1E_B6C5_4BAC_AD95_2B50D2ED28AB_.wvu.FilterData" localSheetId="4" hidden="1">#REF!</definedName>
    <definedName name="Z_7BFBCE1E_B6C5_4BAC_AD95_2B50D2ED28AB_.wvu.FilterData" localSheetId="7" hidden="1">#REF!</definedName>
    <definedName name="Z_7BFBCE1E_B6C5_4BAC_AD95_2B50D2ED28AB_.wvu.FilterData" localSheetId="5" hidden="1">#REF!</definedName>
    <definedName name="Z_7BFBCE1E_B6C5_4BAC_AD95_2B50D2ED28AB_.wvu.FilterData" localSheetId="2" hidden="1">#REF!</definedName>
    <definedName name="Z_7BFBCE1E_B6C5_4BAC_AD95_2B50D2ED28AB_.wvu.FilterData" localSheetId="6" hidden="1">#REF!</definedName>
    <definedName name="Z_7BFBCE1E_B6C5_4BAC_AD95_2B50D2ED28AB_.wvu.FilterData" hidden="1">#REF!</definedName>
    <definedName name="Z_7C6FEBF3_4382_4282_BBB0_E0269BEE42DE_.wvu.FilterData" localSheetId="4" hidden="1">#REF!</definedName>
    <definedName name="Z_7C6FEBF3_4382_4282_BBB0_E0269BEE42DE_.wvu.FilterData" localSheetId="7" hidden="1">#REF!</definedName>
    <definedName name="Z_7C6FEBF3_4382_4282_BBB0_E0269BEE42DE_.wvu.FilterData" localSheetId="5" hidden="1">#REF!</definedName>
    <definedName name="Z_7C6FEBF3_4382_4282_BBB0_E0269BEE42DE_.wvu.FilterData" localSheetId="2" hidden="1">#REF!</definedName>
    <definedName name="Z_7C6FEBF3_4382_4282_BBB0_E0269BEE42DE_.wvu.FilterData" localSheetId="6" hidden="1">#REF!</definedName>
    <definedName name="Z_7C6FEBF3_4382_4282_BBB0_E0269BEE42DE_.wvu.FilterData" hidden="1">#REF!</definedName>
    <definedName name="Z_7D057642_92FA_4DD6_84C5_B10B17893E1F_.wvu.FilterData" localSheetId="4" hidden="1">#REF!</definedName>
    <definedName name="Z_7D057642_92FA_4DD6_84C5_B10B17893E1F_.wvu.FilterData" localSheetId="7" hidden="1">#REF!</definedName>
    <definedName name="Z_7D057642_92FA_4DD6_84C5_B10B17893E1F_.wvu.FilterData" localSheetId="5" hidden="1">#REF!</definedName>
    <definedName name="Z_7D057642_92FA_4DD6_84C5_B10B17893E1F_.wvu.FilterData" localSheetId="2" hidden="1">#REF!</definedName>
    <definedName name="Z_7D057642_92FA_4DD6_84C5_B10B17893E1F_.wvu.FilterData" localSheetId="6" hidden="1">#REF!</definedName>
    <definedName name="Z_7D057642_92FA_4DD6_84C5_B10B17893E1F_.wvu.FilterData" hidden="1">#REF!</definedName>
    <definedName name="Z_7ED5F3D1_B838_492E_9467_7E7CE6B348ED_.wvu.FilterData" localSheetId="4" hidden="1">#REF!</definedName>
    <definedName name="Z_7ED5F3D1_B838_492E_9467_7E7CE6B348ED_.wvu.FilterData" localSheetId="7" hidden="1">#REF!</definedName>
    <definedName name="Z_7ED5F3D1_B838_492E_9467_7E7CE6B348ED_.wvu.FilterData" localSheetId="5" hidden="1">#REF!</definedName>
    <definedName name="Z_7ED5F3D1_B838_492E_9467_7E7CE6B348ED_.wvu.FilterData" localSheetId="2" hidden="1">#REF!</definedName>
    <definedName name="Z_7ED5F3D1_B838_492E_9467_7E7CE6B348ED_.wvu.FilterData" localSheetId="6" hidden="1">#REF!</definedName>
    <definedName name="Z_7ED5F3D1_B838_492E_9467_7E7CE6B348ED_.wvu.FilterData" hidden="1">#REF!</definedName>
    <definedName name="Z_8090FD3B_94DF_4ACF_9708_D5B9ADEFD29C_.wvu.FilterData" localSheetId="4" hidden="1">#REF!</definedName>
    <definedName name="Z_8090FD3B_94DF_4ACF_9708_D5B9ADEFD29C_.wvu.FilterData" localSheetId="7" hidden="1">#REF!</definedName>
    <definedName name="Z_8090FD3B_94DF_4ACF_9708_D5B9ADEFD29C_.wvu.FilterData" localSheetId="5" hidden="1">#REF!</definedName>
    <definedName name="Z_8090FD3B_94DF_4ACF_9708_D5B9ADEFD29C_.wvu.FilterData" localSheetId="2" hidden="1">#REF!</definedName>
    <definedName name="Z_8090FD3B_94DF_4ACF_9708_D5B9ADEFD29C_.wvu.FilterData" localSheetId="6" hidden="1">#REF!</definedName>
    <definedName name="Z_8090FD3B_94DF_4ACF_9708_D5B9ADEFD29C_.wvu.FilterData" hidden="1">#REF!</definedName>
    <definedName name="Z_8149A5A7_8307_4FA6_B457_A66B8A6DFABD_.wvu.FilterData" localSheetId="4" hidden="1">#REF!</definedName>
    <definedName name="Z_8149A5A7_8307_4FA6_B457_A66B8A6DFABD_.wvu.FilterData" localSheetId="7" hidden="1">#REF!</definedName>
    <definedName name="Z_8149A5A7_8307_4FA6_B457_A66B8A6DFABD_.wvu.FilterData" localSheetId="5" hidden="1">#REF!</definedName>
    <definedName name="Z_8149A5A7_8307_4FA6_B457_A66B8A6DFABD_.wvu.FilterData" localSheetId="2" hidden="1">#REF!</definedName>
    <definedName name="Z_8149A5A7_8307_4FA6_B457_A66B8A6DFABD_.wvu.FilterData" localSheetId="6" hidden="1">#REF!</definedName>
    <definedName name="Z_8149A5A7_8307_4FA6_B457_A66B8A6DFABD_.wvu.FilterData" hidden="1">#REF!</definedName>
    <definedName name="Z_819A0FD3_B678_47E8_9DFB_641B3990B590_.wvu.FilterData" localSheetId="4" hidden="1">#REF!</definedName>
    <definedName name="Z_819A0FD3_B678_47E8_9DFB_641B3990B590_.wvu.FilterData" localSheetId="7" hidden="1">#REF!</definedName>
    <definedName name="Z_819A0FD3_B678_47E8_9DFB_641B3990B590_.wvu.FilterData" localSheetId="5" hidden="1">#REF!</definedName>
    <definedName name="Z_819A0FD3_B678_47E8_9DFB_641B3990B590_.wvu.FilterData" localSheetId="2" hidden="1">#REF!</definedName>
    <definedName name="Z_819A0FD3_B678_47E8_9DFB_641B3990B590_.wvu.FilterData" localSheetId="6" hidden="1">#REF!</definedName>
    <definedName name="Z_819A0FD3_B678_47E8_9DFB_641B3990B590_.wvu.FilterData" hidden="1">#REF!</definedName>
    <definedName name="Z_82999604_BD48_4054_BDCB_CB8B074A34A3_.wvu.FilterData" localSheetId="4" hidden="1">#REF!</definedName>
    <definedName name="Z_82999604_BD48_4054_BDCB_CB8B074A34A3_.wvu.FilterData" localSheetId="7" hidden="1">#REF!</definedName>
    <definedName name="Z_82999604_BD48_4054_BDCB_CB8B074A34A3_.wvu.FilterData" localSheetId="5" hidden="1">#REF!</definedName>
    <definedName name="Z_82999604_BD48_4054_BDCB_CB8B074A34A3_.wvu.FilterData" localSheetId="2" hidden="1">#REF!</definedName>
    <definedName name="Z_82999604_BD48_4054_BDCB_CB8B074A34A3_.wvu.FilterData" localSheetId="6" hidden="1">#REF!</definedName>
    <definedName name="Z_82999604_BD48_4054_BDCB_CB8B074A34A3_.wvu.FilterData" hidden="1">#REF!</definedName>
    <definedName name="Z_8473B3F0_0740_4E9F_9BAE_9113E5077DE8_.wvu.FilterData" localSheetId="4" hidden="1">#REF!</definedName>
    <definedName name="Z_8473B3F0_0740_4E9F_9BAE_9113E5077DE8_.wvu.FilterData" localSheetId="7" hidden="1">#REF!</definedName>
    <definedName name="Z_8473B3F0_0740_4E9F_9BAE_9113E5077DE8_.wvu.FilterData" localSheetId="5" hidden="1">#REF!</definedName>
    <definedName name="Z_8473B3F0_0740_4E9F_9BAE_9113E5077DE8_.wvu.FilterData" localSheetId="2" hidden="1">#REF!</definedName>
    <definedName name="Z_8473B3F0_0740_4E9F_9BAE_9113E5077DE8_.wvu.FilterData" localSheetId="6" hidden="1">#REF!</definedName>
    <definedName name="Z_8473B3F0_0740_4E9F_9BAE_9113E5077DE8_.wvu.FilterData" hidden="1">#REF!</definedName>
    <definedName name="Z_85A83A94_71B4_44C8_8B5A_68CAA2461241_.wvu.FilterData" localSheetId="4" hidden="1">#REF!</definedName>
    <definedName name="Z_85A83A94_71B4_44C8_8B5A_68CAA2461241_.wvu.FilterData" localSheetId="7" hidden="1">#REF!</definedName>
    <definedName name="Z_85A83A94_71B4_44C8_8B5A_68CAA2461241_.wvu.FilterData" localSheetId="5" hidden="1">#REF!</definedName>
    <definedName name="Z_85A83A94_71B4_44C8_8B5A_68CAA2461241_.wvu.FilterData" localSheetId="2" hidden="1">#REF!</definedName>
    <definedName name="Z_85A83A94_71B4_44C8_8B5A_68CAA2461241_.wvu.FilterData" localSheetId="6" hidden="1">#REF!</definedName>
    <definedName name="Z_85A83A94_71B4_44C8_8B5A_68CAA2461241_.wvu.FilterData" hidden="1">#REF!</definedName>
    <definedName name="Z_86E0C273_91AF_11D7_9C1E_0004231B06E7_.wvu.FilterData" localSheetId="4" hidden="1">#REF!</definedName>
    <definedName name="Z_86E0C273_91AF_11D7_9C1E_0004231B06E7_.wvu.FilterData" localSheetId="7" hidden="1">#REF!</definedName>
    <definedName name="Z_86E0C273_91AF_11D7_9C1E_0004231B06E7_.wvu.FilterData" localSheetId="5" hidden="1">#REF!</definedName>
    <definedName name="Z_86E0C273_91AF_11D7_9C1E_0004231B06E7_.wvu.FilterData" localSheetId="2" hidden="1">#REF!</definedName>
    <definedName name="Z_86E0C273_91AF_11D7_9C1E_0004231B06E7_.wvu.FilterData" localSheetId="6" hidden="1">#REF!</definedName>
    <definedName name="Z_86E0C273_91AF_11D7_9C1E_0004231B06E7_.wvu.FilterData" hidden="1">#REF!</definedName>
    <definedName name="Z_87F04A72_68BF_497D_8569_47D1A3B89590_.wvu.FilterData" localSheetId="4" hidden="1">#REF!</definedName>
    <definedName name="Z_87F04A72_68BF_497D_8569_47D1A3B89590_.wvu.FilterData" localSheetId="7" hidden="1">#REF!</definedName>
    <definedName name="Z_87F04A72_68BF_497D_8569_47D1A3B89590_.wvu.FilterData" localSheetId="5" hidden="1">#REF!</definedName>
    <definedName name="Z_87F04A72_68BF_497D_8569_47D1A3B89590_.wvu.FilterData" localSheetId="2" hidden="1">#REF!</definedName>
    <definedName name="Z_87F04A72_68BF_497D_8569_47D1A3B89590_.wvu.FilterData" localSheetId="6" hidden="1">#REF!</definedName>
    <definedName name="Z_87F04A72_68BF_497D_8569_47D1A3B89590_.wvu.FilterData" hidden="1">#REF!</definedName>
    <definedName name="Z_893CBEFD_F317_41F0_BA87_CC1860E1F73B_.wvu.FilterData" localSheetId="4" hidden="1">#REF!</definedName>
    <definedName name="Z_893CBEFD_F317_41F0_BA87_CC1860E1F73B_.wvu.FilterData" localSheetId="7" hidden="1">#REF!</definedName>
    <definedName name="Z_893CBEFD_F317_41F0_BA87_CC1860E1F73B_.wvu.FilterData" localSheetId="5" hidden="1">#REF!</definedName>
    <definedName name="Z_893CBEFD_F317_41F0_BA87_CC1860E1F73B_.wvu.FilterData" localSheetId="2" hidden="1">#REF!</definedName>
    <definedName name="Z_893CBEFD_F317_41F0_BA87_CC1860E1F73B_.wvu.FilterData" localSheetId="6" hidden="1">#REF!</definedName>
    <definedName name="Z_893CBEFD_F317_41F0_BA87_CC1860E1F73B_.wvu.FilterData" hidden="1">#REF!</definedName>
    <definedName name="Z_89D83FA2_2F4F_4275_9074_3A6247C2CDA6_.wvu.FilterData" localSheetId="4" hidden="1">#REF!</definedName>
    <definedName name="Z_89D83FA2_2F4F_4275_9074_3A6247C2CDA6_.wvu.FilterData" localSheetId="7" hidden="1">#REF!</definedName>
    <definedName name="Z_89D83FA2_2F4F_4275_9074_3A6247C2CDA6_.wvu.FilterData" localSheetId="5" hidden="1">#REF!</definedName>
    <definedName name="Z_89D83FA2_2F4F_4275_9074_3A6247C2CDA6_.wvu.FilterData" localSheetId="2" hidden="1">#REF!</definedName>
    <definedName name="Z_89D83FA2_2F4F_4275_9074_3A6247C2CDA6_.wvu.FilterData" localSheetId="6" hidden="1">#REF!</definedName>
    <definedName name="Z_89D83FA2_2F4F_4275_9074_3A6247C2CDA6_.wvu.FilterData" hidden="1">#REF!</definedName>
    <definedName name="Z_8B2E8E84_1A68_4B75_A867_04E8EAC8E685_.wvu.FilterData" localSheetId="4" hidden="1">#REF!</definedName>
    <definedName name="Z_8B2E8E84_1A68_4B75_A867_04E8EAC8E685_.wvu.FilterData" localSheetId="7" hidden="1">#REF!</definedName>
    <definedName name="Z_8B2E8E84_1A68_4B75_A867_04E8EAC8E685_.wvu.FilterData" localSheetId="5" hidden="1">#REF!</definedName>
    <definedName name="Z_8B2E8E84_1A68_4B75_A867_04E8EAC8E685_.wvu.FilterData" localSheetId="2" hidden="1">#REF!</definedName>
    <definedName name="Z_8B2E8E84_1A68_4B75_A867_04E8EAC8E685_.wvu.FilterData" localSheetId="6" hidden="1">#REF!</definedName>
    <definedName name="Z_8B2E8E84_1A68_4B75_A867_04E8EAC8E685_.wvu.FilterData" hidden="1">#REF!</definedName>
    <definedName name="Z_8B5FADF8_BAFC_44E0_9D1D_DE21657D83CA_.wvu.FilterData" localSheetId="4" hidden="1">#REF!</definedName>
    <definedName name="Z_8B5FADF8_BAFC_44E0_9D1D_DE21657D83CA_.wvu.FilterData" localSheetId="7" hidden="1">#REF!</definedName>
    <definedName name="Z_8B5FADF8_BAFC_44E0_9D1D_DE21657D83CA_.wvu.FilterData" localSheetId="5" hidden="1">#REF!</definedName>
    <definedName name="Z_8B5FADF8_BAFC_44E0_9D1D_DE21657D83CA_.wvu.FilterData" localSheetId="2" hidden="1">#REF!</definedName>
    <definedName name="Z_8B5FADF8_BAFC_44E0_9D1D_DE21657D83CA_.wvu.FilterData" localSheetId="6" hidden="1">#REF!</definedName>
    <definedName name="Z_8B5FADF8_BAFC_44E0_9D1D_DE21657D83CA_.wvu.FilterData" hidden="1">#REF!</definedName>
    <definedName name="Z_8CBA7976_3F45_4926_8F5C_251343B1DCDB_.wvu.FilterData" localSheetId="4" hidden="1">#REF!</definedName>
    <definedName name="Z_8CBA7976_3F45_4926_8F5C_251343B1DCDB_.wvu.FilterData" localSheetId="7" hidden="1">#REF!</definedName>
    <definedName name="Z_8CBA7976_3F45_4926_8F5C_251343B1DCDB_.wvu.FilterData" localSheetId="5" hidden="1">#REF!</definedName>
    <definedName name="Z_8CBA7976_3F45_4926_8F5C_251343B1DCDB_.wvu.FilterData" localSheetId="2" hidden="1">#REF!</definedName>
    <definedName name="Z_8CBA7976_3F45_4926_8F5C_251343B1DCDB_.wvu.FilterData" localSheetId="6" hidden="1">#REF!</definedName>
    <definedName name="Z_8CBA7976_3F45_4926_8F5C_251343B1DCDB_.wvu.FilterData" hidden="1">#REF!</definedName>
    <definedName name="Z_8D213052_8AFD_4E06_B410_DCB431062572_.wvu.FilterData" localSheetId="4" hidden="1">#REF!</definedName>
    <definedName name="Z_8D213052_8AFD_4E06_B410_DCB431062572_.wvu.FilterData" localSheetId="7" hidden="1">#REF!</definedName>
    <definedName name="Z_8D213052_8AFD_4E06_B410_DCB431062572_.wvu.FilterData" localSheetId="5" hidden="1">#REF!</definedName>
    <definedName name="Z_8D213052_8AFD_4E06_B410_DCB431062572_.wvu.FilterData" localSheetId="2" hidden="1">#REF!</definedName>
    <definedName name="Z_8D213052_8AFD_4E06_B410_DCB431062572_.wvu.FilterData" localSheetId="6" hidden="1">#REF!</definedName>
    <definedName name="Z_8D213052_8AFD_4E06_B410_DCB431062572_.wvu.FilterData" hidden="1">#REF!</definedName>
    <definedName name="Z_8EA755F4_0515_4AA0_970C_55F473C7FD9B_.wvu.FilterData" localSheetId="4" hidden="1">#REF!</definedName>
    <definedName name="Z_8EA755F4_0515_4AA0_970C_55F473C7FD9B_.wvu.FilterData" localSheetId="7" hidden="1">#REF!</definedName>
    <definedName name="Z_8EA755F4_0515_4AA0_970C_55F473C7FD9B_.wvu.FilterData" localSheetId="5" hidden="1">#REF!</definedName>
    <definedName name="Z_8EA755F4_0515_4AA0_970C_55F473C7FD9B_.wvu.FilterData" localSheetId="2" hidden="1">#REF!</definedName>
    <definedName name="Z_8EA755F4_0515_4AA0_970C_55F473C7FD9B_.wvu.FilterData" localSheetId="6" hidden="1">#REF!</definedName>
    <definedName name="Z_8EA755F4_0515_4AA0_970C_55F473C7FD9B_.wvu.FilterData" hidden="1">#REF!</definedName>
    <definedName name="Z_8F33F4E3_A14E_4DD4_ADD4_B19023A45B10_.wvu.FilterData" localSheetId="4" hidden="1">#REF!</definedName>
    <definedName name="Z_8F33F4E3_A14E_4DD4_ADD4_B19023A45B10_.wvu.FilterData" localSheetId="7" hidden="1">#REF!</definedName>
    <definedName name="Z_8F33F4E3_A14E_4DD4_ADD4_B19023A45B10_.wvu.FilterData" localSheetId="5" hidden="1">#REF!</definedName>
    <definedName name="Z_8F33F4E3_A14E_4DD4_ADD4_B19023A45B10_.wvu.FilterData" localSheetId="2" hidden="1">#REF!</definedName>
    <definedName name="Z_8F33F4E3_A14E_4DD4_ADD4_B19023A45B10_.wvu.FilterData" localSheetId="6" hidden="1">#REF!</definedName>
    <definedName name="Z_8F33F4E3_A14E_4DD4_ADD4_B19023A45B10_.wvu.FilterData" hidden="1">#REF!</definedName>
    <definedName name="Z_901BF8EA_CA8A_411C_8FD3_BCB793FCF48A_.wvu.FilterData" localSheetId="4" hidden="1">#REF!</definedName>
    <definedName name="Z_901BF8EA_CA8A_411C_8FD3_BCB793FCF48A_.wvu.FilterData" localSheetId="7" hidden="1">#REF!</definedName>
    <definedName name="Z_901BF8EA_CA8A_411C_8FD3_BCB793FCF48A_.wvu.FilterData" localSheetId="5" hidden="1">#REF!</definedName>
    <definedName name="Z_901BF8EA_CA8A_411C_8FD3_BCB793FCF48A_.wvu.FilterData" localSheetId="2" hidden="1">#REF!</definedName>
    <definedName name="Z_901BF8EA_CA8A_411C_8FD3_BCB793FCF48A_.wvu.FilterData" localSheetId="6" hidden="1">#REF!</definedName>
    <definedName name="Z_901BF8EA_CA8A_411C_8FD3_BCB793FCF48A_.wvu.FilterData" hidden="1">#REF!</definedName>
    <definedName name="Z_91488B6D_F045_4050_BA1B_41C2E3B3B10A_.wvu.FilterData" localSheetId="4" hidden="1">#REF!</definedName>
    <definedName name="Z_91488B6D_F045_4050_BA1B_41C2E3B3B10A_.wvu.FilterData" localSheetId="7" hidden="1">#REF!</definedName>
    <definedName name="Z_91488B6D_F045_4050_BA1B_41C2E3B3B10A_.wvu.FilterData" localSheetId="5" hidden="1">#REF!</definedName>
    <definedName name="Z_91488B6D_F045_4050_BA1B_41C2E3B3B10A_.wvu.FilterData" localSheetId="2" hidden="1">#REF!</definedName>
    <definedName name="Z_91488B6D_F045_4050_BA1B_41C2E3B3B10A_.wvu.FilterData" localSheetId="6" hidden="1">#REF!</definedName>
    <definedName name="Z_91488B6D_F045_4050_BA1B_41C2E3B3B10A_.wvu.FilterData" hidden="1">#REF!</definedName>
    <definedName name="Z_92919032_3A1D_4E0A_A8D8_FD23494D13A8_.wvu.FilterData" localSheetId="4" hidden="1">#REF!</definedName>
    <definedName name="Z_92919032_3A1D_4E0A_A8D8_FD23494D13A8_.wvu.FilterData" localSheetId="7" hidden="1">#REF!</definedName>
    <definedName name="Z_92919032_3A1D_4E0A_A8D8_FD23494D13A8_.wvu.FilterData" localSheetId="5" hidden="1">#REF!</definedName>
    <definedName name="Z_92919032_3A1D_4E0A_A8D8_FD23494D13A8_.wvu.FilterData" localSheetId="2" hidden="1">#REF!</definedName>
    <definedName name="Z_92919032_3A1D_4E0A_A8D8_FD23494D13A8_.wvu.FilterData" localSheetId="6" hidden="1">#REF!</definedName>
    <definedName name="Z_92919032_3A1D_4E0A_A8D8_FD23494D13A8_.wvu.FilterData" hidden="1">#REF!</definedName>
    <definedName name="Z_9587B38A_B060_410B_8598_4B23623A371C_.wvu.FilterData" localSheetId="4" hidden="1">#REF!</definedName>
    <definedName name="Z_9587B38A_B060_410B_8598_4B23623A371C_.wvu.FilterData" localSheetId="7" hidden="1">#REF!</definedName>
    <definedName name="Z_9587B38A_B060_410B_8598_4B23623A371C_.wvu.FilterData" localSheetId="5" hidden="1">#REF!</definedName>
    <definedName name="Z_9587B38A_B060_410B_8598_4B23623A371C_.wvu.FilterData" localSheetId="2" hidden="1">#REF!</definedName>
    <definedName name="Z_9587B38A_B060_410B_8598_4B23623A371C_.wvu.FilterData" localSheetId="6" hidden="1">#REF!</definedName>
    <definedName name="Z_9587B38A_B060_410B_8598_4B23623A371C_.wvu.FilterData" hidden="1">#REF!</definedName>
    <definedName name="Z_96EB0306_BB94_45E8_9D0D_4C07A6623010_.wvu.FilterData" localSheetId="4" hidden="1">#REF!</definedName>
    <definedName name="Z_96EB0306_BB94_45E8_9D0D_4C07A6623010_.wvu.FilterData" localSheetId="7" hidden="1">#REF!</definedName>
    <definedName name="Z_96EB0306_BB94_45E8_9D0D_4C07A6623010_.wvu.FilterData" localSheetId="5" hidden="1">#REF!</definedName>
    <definedName name="Z_96EB0306_BB94_45E8_9D0D_4C07A6623010_.wvu.FilterData" localSheetId="2" hidden="1">#REF!</definedName>
    <definedName name="Z_96EB0306_BB94_45E8_9D0D_4C07A6623010_.wvu.FilterData" localSheetId="6" hidden="1">#REF!</definedName>
    <definedName name="Z_96EB0306_BB94_45E8_9D0D_4C07A6623010_.wvu.FilterData" hidden="1">#REF!</definedName>
    <definedName name="Z_97666733_8666_4F9D_9588_AF9B6CF9224C_.wvu.FilterData" localSheetId="4" hidden="1">#REF!</definedName>
    <definedName name="Z_97666733_8666_4F9D_9588_AF9B6CF9224C_.wvu.FilterData" localSheetId="7" hidden="1">#REF!</definedName>
    <definedName name="Z_97666733_8666_4F9D_9588_AF9B6CF9224C_.wvu.FilterData" localSheetId="5" hidden="1">#REF!</definedName>
    <definedName name="Z_97666733_8666_4F9D_9588_AF9B6CF9224C_.wvu.FilterData" localSheetId="2" hidden="1">#REF!</definedName>
    <definedName name="Z_97666733_8666_4F9D_9588_AF9B6CF9224C_.wvu.FilterData" localSheetId="6" hidden="1">#REF!</definedName>
    <definedName name="Z_97666733_8666_4F9D_9588_AF9B6CF9224C_.wvu.FilterData" hidden="1">#REF!</definedName>
    <definedName name="Z_98599B4F_1D05_4040_9183_E1D7A1DDEB9C_.wvu.FilterData" localSheetId="4" hidden="1">#REF!</definedName>
    <definedName name="Z_98599B4F_1D05_4040_9183_E1D7A1DDEB9C_.wvu.FilterData" localSheetId="7" hidden="1">#REF!</definedName>
    <definedName name="Z_98599B4F_1D05_4040_9183_E1D7A1DDEB9C_.wvu.FilterData" localSheetId="5" hidden="1">#REF!</definedName>
    <definedName name="Z_98599B4F_1D05_4040_9183_E1D7A1DDEB9C_.wvu.FilterData" localSheetId="2" hidden="1">#REF!</definedName>
    <definedName name="Z_98599B4F_1D05_4040_9183_E1D7A1DDEB9C_.wvu.FilterData" localSheetId="6" hidden="1">#REF!</definedName>
    <definedName name="Z_98599B4F_1D05_4040_9183_E1D7A1DDEB9C_.wvu.FilterData" hidden="1">#REF!</definedName>
    <definedName name="Z_98C8BF36_C172_45C3_8EFB_521E6ACCA0D3_.wvu.FilterData" localSheetId="4" hidden="1">#REF!</definedName>
    <definedName name="Z_98C8BF36_C172_45C3_8EFB_521E6ACCA0D3_.wvu.FilterData" localSheetId="7" hidden="1">#REF!</definedName>
    <definedName name="Z_98C8BF36_C172_45C3_8EFB_521E6ACCA0D3_.wvu.FilterData" localSheetId="5" hidden="1">#REF!</definedName>
    <definedName name="Z_98C8BF36_C172_45C3_8EFB_521E6ACCA0D3_.wvu.FilterData" localSheetId="2" hidden="1">#REF!</definedName>
    <definedName name="Z_98C8BF36_C172_45C3_8EFB_521E6ACCA0D3_.wvu.FilterData" localSheetId="6" hidden="1">#REF!</definedName>
    <definedName name="Z_98C8BF36_C172_45C3_8EFB_521E6ACCA0D3_.wvu.FilterData" hidden="1">#REF!</definedName>
    <definedName name="Z_9A372634_7C2D_4502_BF44_0C63FD1FB6D2_.wvu.FilterData" localSheetId="4" hidden="1">#REF!</definedName>
    <definedName name="Z_9A372634_7C2D_4502_BF44_0C63FD1FB6D2_.wvu.FilterData" localSheetId="7" hidden="1">#REF!</definedName>
    <definedName name="Z_9A372634_7C2D_4502_BF44_0C63FD1FB6D2_.wvu.FilterData" localSheetId="5" hidden="1">#REF!</definedName>
    <definedName name="Z_9A372634_7C2D_4502_BF44_0C63FD1FB6D2_.wvu.FilterData" localSheetId="2" hidden="1">#REF!</definedName>
    <definedName name="Z_9A372634_7C2D_4502_BF44_0C63FD1FB6D2_.wvu.FilterData" localSheetId="6" hidden="1">#REF!</definedName>
    <definedName name="Z_9A372634_7C2D_4502_BF44_0C63FD1FB6D2_.wvu.FilterData" hidden="1">#REF!</definedName>
    <definedName name="Z_9A5CC0D4_28E7_4461_BE2E_802002496535_.wvu.FilterData" localSheetId="4" hidden="1">#REF!</definedName>
    <definedName name="Z_9A5CC0D4_28E7_4461_BE2E_802002496535_.wvu.FilterData" localSheetId="7" hidden="1">#REF!</definedName>
    <definedName name="Z_9A5CC0D4_28E7_4461_BE2E_802002496535_.wvu.FilterData" localSheetId="5" hidden="1">#REF!</definedName>
    <definedName name="Z_9A5CC0D4_28E7_4461_BE2E_802002496535_.wvu.FilterData" localSheetId="2" hidden="1">#REF!</definedName>
    <definedName name="Z_9A5CC0D4_28E7_4461_BE2E_802002496535_.wvu.FilterData" localSheetId="6" hidden="1">#REF!</definedName>
    <definedName name="Z_9A5CC0D4_28E7_4461_BE2E_802002496535_.wvu.FilterData" hidden="1">#REF!</definedName>
    <definedName name="Z_9C86BF25_210A_4B5C_9F2A_856CA801294A_.wvu.FilterData" localSheetId="4" hidden="1">#REF!</definedName>
    <definedName name="Z_9C86BF25_210A_4B5C_9F2A_856CA801294A_.wvu.FilterData" localSheetId="7" hidden="1">#REF!</definedName>
    <definedName name="Z_9C86BF25_210A_4B5C_9F2A_856CA801294A_.wvu.FilterData" localSheetId="5" hidden="1">#REF!</definedName>
    <definedName name="Z_9C86BF25_210A_4B5C_9F2A_856CA801294A_.wvu.FilterData" localSheetId="2" hidden="1">#REF!</definedName>
    <definedName name="Z_9C86BF25_210A_4B5C_9F2A_856CA801294A_.wvu.FilterData" localSheetId="6" hidden="1">#REF!</definedName>
    <definedName name="Z_9C86BF25_210A_4B5C_9F2A_856CA801294A_.wvu.FilterData" hidden="1">#REF!</definedName>
    <definedName name="Z_9C8AF864_7E20_415C_848E_C2849E8CBF0C_.wvu.FilterData" localSheetId="4" hidden="1">#REF!</definedName>
    <definedName name="Z_9C8AF864_7E20_415C_848E_C2849E8CBF0C_.wvu.FilterData" localSheetId="7" hidden="1">#REF!</definedName>
    <definedName name="Z_9C8AF864_7E20_415C_848E_C2849E8CBF0C_.wvu.FilterData" localSheetId="5" hidden="1">#REF!</definedName>
    <definedName name="Z_9C8AF864_7E20_415C_848E_C2849E8CBF0C_.wvu.FilterData" localSheetId="2" hidden="1">#REF!</definedName>
    <definedName name="Z_9C8AF864_7E20_415C_848E_C2849E8CBF0C_.wvu.FilterData" localSheetId="6" hidden="1">#REF!</definedName>
    <definedName name="Z_9C8AF864_7E20_415C_848E_C2849E8CBF0C_.wvu.FilterData" hidden="1">#REF!</definedName>
    <definedName name="Z_9E7B61E2_2701_4257_A261_86548A6D7D7C_.wvu.FilterData" localSheetId="4" hidden="1">#REF!</definedName>
    <definedName name="Z_9E7B61E2_2701_4257_A261_86548A6D7D7C_.wvu.FilterData" localSheetId="7" hidden="1">#REF!</definedName>
    <definedName name="Z_9E7B61E2_2701_4257_A261_86548A6D7D7C_.wvu.FilterData" localSheetId="5" hidden="1">#REF!</definedName>
    <definedName name="Z_9E7B61E2_2701_4257_A261_86548A6D7D7C_.wvu.FilterData" localSheetId="2" hidden="1">#REF!</definedName>
    <definedName name="Z_9E7B61E2_2701_4257_A261_86548A6D7D7C_.wvu.FilterData" localSheetId="6" hidden="1">#REF!</definedName>
    <definedName name="Z_9E7B61E2_2701_4257_A261_86548A6D7D7C_.wvu.FilterData" hidden="1">#REF!</definedName>
    <definedName name="Z_A0276843_5A14_4A7A_AD1C_583475FE9ED2_.wvu.FilterData" localSheetId="4" hidden="1">#REF!</definedName>
    <definedName name="Z_A0276843_5A14_4A7A_AD1C_583475FE9ED2_.wvu.FilterData" localSheetId="7" hidden="1">#REF!</definedName>
    <definedName name="Z_A0276843_5A14_4A7A_AD1C_583475FE9ED2_.wvu.FilterData" localSheetId="5" hidden="1">#REF!</definedName>
    <definedName name="Z_A0276843_5A14_4A7A_AD1C_583475FE9ED2_.wvu.FilterData" localSheetId="2" hidden="1">#REF!</definedName>
    <definedName name="Z_A0276843_5A14_4A7A_AD1C_583475FE9ED2_.wvu.FilterData" localSheetId="6" hidden="1">#REF!</definedName>
    <definedName name="Z_A0276843_5A14_4A7A_AD1C_583475FE9ED2_.wvu.FilterData" hidden="1">#REF!</definedName>
    <definedName name="Z_A2CB926C_E33A_4E38_9626_682814771DB1_.wvu.FilterData" localSheetId="4" hidden="1">#REF!</definedName>
    <definedName name="Z_A2CB926C_E33A_4E38_9626_682814771DB1_.wvu.FilterData" localSheetId="7" hidden="1">#REF!</definedName>
    <definedName name="Z_A2CB926C_E33A_4E38_9626_682814771DB1_.wvu.FilterData" localSheetId="5" hidden="1">#REF!</definedName>
    <definedName name="Z_A2CB926C_E33A_4E38_9626_682814771DB1_.wvu.FilterData" localSheetId="2" hidden="1">#REF!</definedName>
    <definedName name="Z_A2CB926C_E33A_4E38_9626_682814771DB1_.wvu.FilterData" localSheetId="6" hidden="1">#REF!</definedName>
    <definedName name="Z_A2CB926C_E33A_4E38_9626_682814771DB1_.wvu.FilterData" hidden="1">#REF!</definedName>
    <definedName name="Z_A320C8A7_8D87_4204_85D4_AE25493D1363_.wvu.FilterData" localSheetId="4" hidden="1">#REF!</definedName>
    <definedName name="Z_A320C8A7_8D87_4204_85D4_AE25493D1363_.wvu.FilterData" localSheetId="7" hidden="1">#REF!</definedName>
    <definedName name="Z_A320C8A7_8D87_4204_85D4_AE25493D1363_.wvu.FilterData" localSheetId="5" hidden="1">#REF!</definedName>
    <definedName name="Z_A320C8A7_8D87_4204_85D4_AE25493D1363_.wvu.FilterData" localSheetId="2" hidden="1">#REF!</definedName>
    <definedName name="Z_A320C8A7_8D87_4204_85D4_AE25493D1363_.wvu.FilterData" localSheetId="6" hidden="1">#REF!</definedName>
    <definedName name="Z_A320C8A7_8D87_4204_85D4_AE25493D1363_.wvu.FilterData" hidden="1">#REF!</definedName>
    <definedName name="Z_A5F4C2AC_640B_40D9_88C9_69B3215DBE96_.wvu.FilterData" localSheetId="4" hidden="1">#REF!</definedName>
    <definedName name="Z_A5F4C2AC_640B_40D9_88C9_69B3215DBE96_.wvu.FilterData" localSheetId="7" hidden="1">#REF!</definedName>
    <definedName name="Z_A5F4C2AC_640B_40D9_88C9_69B3215DBE96_.wvu.FilterData" localSheetId="5" hidden="1">#REF!</definedName>
    <definedName name="Z_A5F4C2AC_640B_40D9_88C9_69B3215DBE96_.wvu.FilterData" localSheetId="2" hidden="1">#REF!</definedName>
    <definedName name="Z_A5F4C2AC_640B_40D9_88C9_69B3215DBE96_.wvu.FilterData" localSheetId="6" hidden="1">#REF!</definedName>
    <definedName name="Z_A5F4C2AC_640B_40D9_88C9_69B3215DBE96_.wvu.FilterData" hidden="1">#REF!</definedName>
    <definedName name="Z_A686C168_1672_48B1_ADFD_481A1276CC81_.wvu.FilterData" localSheetId="4" hidden="1">#REF!</definedName>
    <definedName name="Z_A686C168_1672_48B1_ADFD_481A1276CC81_.wvu.FilterData" localSheetId="7" hidden="1">#REF!</definedName>
    <definedName name="Z_A686C168_1672_48B1_ADFD_481A1276CC81_.wvu.FilterData" localSheetId="5" hidden="1">#REF!</definedName>
    <definedName name="Z_A686C168_1672_48B1_ADFD_481A1276CC81_.wvu.FilterData" localSheetId="2" hidden="1">#REF!</definedName>
    <definedName name="Z_A686C168_1672_48B1_ADFD_481A1276CC81_.wvu.FilterData" localSheetId="6" hidden="1">#REF!</definedName>
    <definedName name="Z_A686C168_1672_48B1_ADFD_481A1276CC81_.wvu.FilterData" hidden="1">#REF!</definedName>
    <definedName name="Z_A933351F_4BD3_4901_98D5_53D192BD61DC_.wvu.FilterData" localSheetId="4" hidden="1">#REF!</definedName>
    <definedName name="Z_A933351F_4BD3_4901_98D5_53D192BD61DC_.wvu.FilterData" localSheetId="7" hidden="1">#REF!</definedName>
    <definedName name="Z_A933351F_4BD3_4901_98D5_53D192BD61DC_.wvu.FilterData" localSheetId="5" hidden="1">#REF!</definedName>
    <definedName name="Z_A933351F_4BD3_4901_98D5_53D192BD61DC_.wvu.FilterData" localSheetId="2" hidden="1">#REF!</definedName>
    <definedName name="Z_A933351F_4BD3_4901_98D5_53D192BD61DC_.wvu.FilterData" localSheetId="6" hidden="1">#REF!</definedName>
    <definedName name="Z_A933351F_4BD3_4901_98D5_53D192BD61DC_.wvu.FilterData" hidden="1">#REF!</definedName>
    <definedName name="Z_AA0BD2F5_1513_40DB_B224_CC27CA57E181_.wvu.FilterData" localSheetId="4" hidden="1">#REF!</definedName>
    <definedName name="Z_AA0BD2F5_1513_40DB_B224_CC27CA57E181_.wvu.FilterData" localSheetId="7" hidden="1">#REF!</definedName>
    <definedName name="Z_AA0BD2F5_1513_40DB_B224_CC27CA57E181_.wvu.FilterData" localSheetId="5" hidden="1">#REF!</definedName>
    <definedName name="Z_AA0BD2F5_1513_40DB_B224_CC27CA57E181_.wvu.FilterData" localSheetId="2" hidden="1">#REF!</definedName>
    <definedName name="Z_AA0BD2F5_1513_40DB_B224_CC27CA57E181_.wvu.FilterData" localSheetId="6" hidden="1">#REF!</definedName>
    <definedName name="Z_AA0BD2F5_1513_40DB_B224_CC27CA57E181_.wvu.FilterData" hidden="1">#REF!</definedName>
    <definedName name="Z_AA329A38_94E6_4014_8D54_EFB48C7FA433_.wvu.FilterData" localSheetId="4" hidden="1">#REF!</definedName>
    <definedName name="Z_AA329A38_94E6_4014_8D54_EFB48C7FA433_.wvu.FilterData" localSheetId="7" hidden="1">#REF!</definedName>
    <definedName name="Z_AA329A38_94E6_4014_8D54_EFB48C7FA433_.wvu.FilterData" localSheetId="5" hidden="1">#REF!</definedName>
    <definedName name="Z_AA329A38_94E6_4014_8D54_EFB48C7FA433_.wvu.FilterData" localSheetId="2" hidden="1">#REF!</definedName>
    <definedName name="Z_AA329A38_94E6_4014_8D54_EFB48C7FA433_.wvu.FilterData" localSheetId="6" hidden="1">#REF!</definedName>
    <definedName name="Z_AA329A38_94E6_4014_8D54_EFB48C7FA433_.wvu.FilterData" hidden="1">#REF!</definedName>
    <definedName name="Z_AC5679A6_5A24_441C_BBA3_F0C9D8E8E441_.wvu.FilterData" localSheetId="4" hidden="1">#REF!</definedName>
    <definedName name="Z_AC5679A6_5A24_441C_BBA3_F0C9D8E8E441_.wvu.FilterData" localSheetId="7" hidden="1">#REF!</definedName>
    <definedName name="Z_AC5679A6_5A24_441C_BBA3_F0C9D8E8E441_.wvu.FilterData" localSheetId="5" hidden="1">#REF!</definedName>
    <definedName name="Z_AC5679A6_5A24_441C_BBA3_F0C9D8E8E441_.wvu.FilterData" localSheetId="2" hidden="1">#REF!</definedName>
    <definedName name="Z_AC5679A6_5A24_441C_BBA3_F0C9D8E8E441_.wvu.FilterData" localSheetId="6" hidden="1">#REF!</definedName>
    <definedName name="Z_AC5679A6_5A24_441C_BBA3_F0C9D8E8E441_.wvu.FilterData" hidden="1">#REF!</definedName>
    <definedName name="Z_ACE528A7_3516_429C_8E77_FA07F86ED2D8_.wvu.Cols" localSheetId="4" hidden="1">#REF!</definedName>
    <definedName name="Z_ACE528A7_3516_429C_8E77_FA07F86ED2D8_.wvu.Cols" localSheetId="7" hidden="1">#REF!</definedName>
    <definedName name="Z_ACE528A7_3516_429C_8E77_FA07F86ED2D8_.wvu.Cols" localSheetId="5" hidden="1">#REF!</definedName>
    <definedName name="Z_ACE528A7_3516_429C_8E77_FA07F86ED2D8_.wvu.Cols" localSheetId="2" hidden="1">#REF!</definedName>
    <definedName name="Z_ACE528A7_3516_429C_8E77_FA07F86ED2D8_.wvu.Cols" localSheetId="6" hidden="1">#REF!</definedName>
    <definedName name="Z_ACE528A7_3516_429C_8E77_FA07F86ED2D8_.wvu.Cols" hidden="1">#REF!</definedName>
    <definedName name="Z_AE302359_F16A_4874_8921_3865B0ECD878_.wvu.FilterData" localSheetId="4" hidden="1">#REF!</definedName>
    <definedName name="Z_AE302359_F16A_4874_8921_3865B0ECD878_.wvu.FilterData" localSheetId="7" hidden="1">#REF!</definedName>
    <definedName name="Z_AE302359_F16A_4874_8921_3865B0ECD878_.wvu.FilterData" localSheetId="5" hidden="1">#REF!</definedName>
    <definedName name="Z_AE302359_F16A_4874_8921_3865B0ECD878_.wvu.FilterData" localSheetId="2" hidden="1">#REF!</definedName>
    <definedName name="Z_AE302359_F16A_4874_8921_3865B0ECD878_.wvu.FilterData" localSheetId="6" hidden="1">#REF!</definedName>
    <definedName name="Z_AE302359_F16A_4874_8921_3865B0ECD878_.wvu.FilterData" hidden="1">#REF!</definedName>
    <definedName name="Z_AF0BF736_181F_4A59_8FB9_D3BCA8E591F7_.wvu.FilterData" localSheetId="4" hidden="1">#REF!</definedName>
    <definedName name="Z_AF0BF736_181F_4A59_8FB9_D3BCA8E591F7_.wvu.FilterData" localSheetId="7" hidden="1">#REF!</definedName>
    <definedName name="Z_AF0BF736_181F_4A59_8FB9_D3BCA8E591F7_.wvu.FilterData" localSheetId="5" hidden="1">#REF!</definedName>
    <definedName name="Z_AF0BF736_181F_4A59_8FB9_D3BCA8E591F7_.wvu.FilterData" localSheetId="2" hidden="1">#REF!</definedName>
    <definedName name="Z_AF0BF736_181F_4A59_8FB9_D3BCA8E591F7_.wvu.FilterData" localSheetId="6" hidden="1">#REF!</definedName>
    <definedName name="Z_AF0BF736_181F_4A59_8FB9_D3BCA8E591F7_.wvu.FilterData" hidden="1">#REF!</definedName>
    <definedName name="Z_AF12B415_1D2E_4088_9C86_BB0173951217_.wvu.FilterData" localSheetId="4" hidden="1">#REF!</definedName>
    <definedName name="Z_AF12B415_1D2E_4088_9C86_BB0173951217_.wvu.FilterData" localSheetId="7" hidden="1">#REF!</definedName>
    <definedName name="Z_AF12B415_1D2E_4088_9C86_BB0173951217_.wvu.FilterData" localSheetId="5" hidden="1">#REF!</definedName>
    <definedName name="Z_AF12B415_1D2E_4088_9C86_BB0173951217_.wvu.FilterData" localSheetId="2" hidden="1">#REF!</definedName>
    <definedName name="Z_AF12B415_1D2E_4088_9C86_BB0173951217_.wvu.FilterData" localSheetId="6" hidden="1">#REF!</definedName>
    <definedName name="Z_AF12B415_1D2E_4088_9C86_BB0173951217_.wvu.FilterData" hidden="1">#REF!</definedName>
    <definedName name="Z_AF537E87_E5DE_4792_8C82_FFA1FC35463A_.wvu.FilterData" localSheetId="4" hidden="1">#REF!</definedName>
    <definedName name="Z_AF537E87_E5DE_4792_8C82_FFA1FC35463A_.wvu.FilterData" localSheetId="7" hidden="1">#REF!</definedName>
    <definedName name="Z_AF537E87_E5DE_4792_8C82_FFA1FC35463A_.wvu.FilterData" localSheetId="5" hidden="1">#REF!</definedName>
    <definedName name="Z_AF537E87_E5DE_4792_8C82_FFA1FC35463A_.wvu.FilterData" localSheetId="2" hidden="1">#REF!</definedName>
    <definedName name="Z_AF537E87_E5DE_4792_8C82_FFA1FC35463A_.wvu.FilterData" localSheetId="6" hidden="1">#REF!</definedName>
    <definedName name="Z_AF537E87_E5DE_4792_8C82_FFA1FC35463A_.wvu.FilterData" hidden="1">#REF!</definedName>
    <definedName name="Z_B1269BAB_A618_45E5_8379_9ECE98405A14_.wvu.FilterData" localSheetId="4" hidden="1">#REF!</definedName>
    <definedName name="Z_B1269BAB_A618_45E5_8379_9ECE98405A14_.wvu.FilterData" localSheetId="7" hidden="1">#REF!</definedName>
    <definedName name="Z_B1269BAB_A618_45E5_8379_9ECE98405A14_.wvu.FilterData" localSheetId="5" hidden="1">#REF!</definedName>
    <definedName name="Z_B1269BAB_A618_45E5_8379_9ECE98405A14_.wvu.FilterData" localSheetId="2" hidden="1">#REF!</definedName>
    <definedName name="Z_B1269BAB_A618_45E5_8379_9ECE98405A14_.wvu.FilterData" localSheetId="6" hidden="1">#REF!</definedName>
    <definedName name="Z_B1269BAB_A618_45E5_8379_9ECE98405A14_.wvu.FilterData" hidden="1">#REF!</definedName>
    <definedName name="Z_B20EEB3D_E9E6_496E_8678_B417DDC74718_.wvu.FilterData" localSheetId="4" hidden="1">#REF!</definedName>
    <definedName name="Z_B20EEB3D_E9E6_496E_8678_B417DDC74718_.wvu.FilterData" localSheetId="7" hidden="1">#REF!</definedName>
    <definedName name="Z_B20EEB3D_E9E6_496E_8678_B417DDC74718_.wvu.FilterData" localSheetId="5" hidden="1">#REF!</definedName>
    <definedName name="Z_B20EEB3D_E9E6_496E_8678_B417DDC74718_.wvu.FilterData" localSheetId="2" hidden="1">#REF!</definedName>
    <definedName name="Z_B20EEB3D_E9E6_496E_8678_B417DDC74718_.wvu.FilterData" localSheetId="6" hidden="1">#REF!</definedName>
    <definedName name="Z_B20EEB3D_E9E6_496E_8678_B417DDC74718_.wvu.FilterData" hidden="1">#REF!</definedName>
    <definedName name="Z_B4864B96_AD18_4114_8AFA_A8BAA8915737_.wvu.FilterData" localSheetId="4" hidden="1">#REF!</definedName>
    <definedName name="Z_B4864B96_AD18_4114_8AFA_A8BAA8915737_.wvu.FilterData" localSheetId="7" hidden="1">#REF!</definedName>
    <definedName name="Z_B4864B96_AD18_4114_8AFA_A8BAA8915737_.wvu.FilterData" localSheetId="5" hidden="1">#REF!</definedName>
    <definedName name="Z_B4864B96_AD18_4114_8AFA_A8BAA8915737_.wvu.FilterData" localSheetId="2" hidden="1">#REF!</definedName>
    <definedName name="Z_B4864B96_AD18_4114_8AFA_A8BAA8915737_.wvu.FilterData" localSheetId="6" hidden="1">#REF!</definedName>
    <definedName name="Z_B4864B96_AD18_4114_8AFA_A8BAA8915737_.wvu.FilterData" hidden="1">#REF!</definedName>
    <definedName name="Z_B645C4A8_1830_42C7_9DBF_0F519499A6CE_.wvu.FilterData" localSheetId="4" hidden="1">#REF!</definedName>
    <definedName name="Z_B645C4A8_1830_42C7_9DBF_0F519499A6CE_.wvu.FilterData" localSheetId="7" hidden="1">#REF!</definedName>
    <definedName name="Z_B645C4A8_1830_42C7_9DBF_0F519499A6CE_.wvu.FilterData" localSheetId="5" hidden="1">#REF!</definedName>
    <definedName name="Z_B645C4A8_1830_42C7_9DBF_0F519499A6CE_.wvu.FilterData" localSheetId="2" hidden="1">#REF!</definedName>
    <definedName name="Z_B645C4A8_1830_42C7_9DBF_0F519499A6CE_.wvu.FilterData" localSheetId="6" hidden="1">#REF!</definedName>
    <definedName name="Z_B645C4A8_1830_42C7_9DBF_0F519499A6CE_.wvu.FilterData" hidden="1">#REF!</definedName>
    <definedName name="Z_B7475313_60A1_440E_A07B_6B97978B34F2_.wvu.FilterData" localSheetId="4" hidden="1">#REF!</definedName>
    <definedName name="Z_B7475313_60A1_440E_A07B_6B97978B34F2_.wvu.FilterData" localSheetId="7" hidden="1">#REF!</definedName>
    <definedName name="Z_B7475313_60A1_440E_A07B_6B97978B34F2_.wvu.FilterData" localSheetId="5" hidden="1">#REF!</definedName>
    <definedName name="Z_B7475313_60A1_440E_A07B_6B97978B34F2_.wvu.FilterData" localSheetId="2" hidden="1">#REF!</definedName>
    <definedName name="Z_B7475313_60A1_440E_A07B_6B97978B34F2_.wvu.FilterData" localSheetId="6" hidden="1">#REF!</definedName>
    <definedName name="Z_B7475313_60A1_440E_A07B_6B97978B34F2_.wvu.FilterData" hidden="1">#REF!</definedName>
    <definedName name="Z_B891B51F_1CA2_435F_A819_8A494B08D3EE_.wvu.FilterData" localSheetId="4" hidden="1">#REF!</definedName>
    <definedName name="Z_B891B51F_1CA2_435F_A819_8A494B08D3EE_.wvu.FilterData" localSheetId="7" hidden="1">#REF!</definedName>
    <definedName name="Z_B891B51F_1CA2_435F_A819_8A494B08D3EE_.wvu.FilterData" localSheetId="5" hidden="1">#REF!</definedName>
    <definedName name="Z_B891B51F_1CA2_435F_A819_8A494B08D3EE_.wvu.FilterData" localSheetId="2" hidden="1">#REF!</definedName>
    <definedName name="Z_B891B51F_1CA2_435F_A819_8A494B08D3EE_.wvu.FilterData" localSheetId="6" hidden="1">#REF!</definedName>
    <definedName name="Z_B891B51F_1CA2_435F_A819_8A494B08D3EE_.wvu.FilterData" hidden="1">#REF!</definedName>
    <definedName name="Z_B8CE2FA5_D3F2_48A0_8603_A3FBA2808CB4_.wvu.FilterData" localSheetId="4" hidden="1">#REF!</definedName>
    <definedName name="Z_B8CE2FA5_D3F2_48A0_8603_A3FBA2808CB4_.wvu.FilterData" localSheetId="7" hidden="1">#REF!</definedName>
    <definedName name="Z_B8CE2FA5_D3F2_48A0_8603_A3FBA2808CB4_.wvu.FilterData" localSheetId="5" hidden="1">#REF!</definedName>
    <definedName name="Z_B8CE2FA5_D3F2_48A0_8603_A3FBA2808CB4_.wvu.FilterData" localSheetId="2" hidden="1">#REF!</definedName>
    <definedName name="Z_B8CE2FA5_D3F2_48A0_8603_A3FBA2808CB4_.wvu.FilterData" localSheetId="6" hidden="1">#REF!</definedName>
    <definedName name="Z_B8CE2FA5_D3F2_48A0_8603_A3FBA2808CB4_.wvu.FilterData" hidden="1">#REF!</definedName>
    <definedName name="Z_B9837360_94DA_11D7_9C1E_0004231B06E7_.wvu.FilterData" localSheetId="4" hidden="1">#REF!</definedName>
    <definedName name="Z_B9837360_94DA_11D7_9C1E_0004231B06E7_.wvu.FilterData" localSheetId="7" hidden="1">#REF!</definedName>
    <definedName name="Z_B9837360_94DA_11D7_9C1E_0004231B06E7_.wvu.FilterData" localSheetId="5" hidden="1">#REF!</definedName>
    <definedName name="Z_B9837360_94DA_11D7_9C1E_0004231B06E7_.wvu.FilterData" localSheetId="2" hidden="1">#REF!</definedName>
    <definedName name="Z_B9837360_94DA_11D7_9C1E_0004231B06E7_.wvu.FilterData" localSheetId="6" hidden="1">#REF!</definedName>
    <definedName name="Z_B9837360_94DA_11D7_9C1E_0004231B06E7_.wvu.FilterData" hidden="1">#REF!</definedName>
    <definedName name="Z_BBE1AFA0_C6F6_4019_9D53_075DA4654337_.wvu.FilterData" localSheetId="4" hidden="1">#REF!</definedName>
    <definedName name="Z_BBE1AFA0_C6F6_4019_9D53_075DA4654337_.wvu.FilterData" localSheetId="7" hidden="1">#REF!</definedName>
    <definedName name="Z_BBE1AFA0_C6F6_4019_9D53_075DA4654337_.wvu.FilterData" localSheetId="5" hidden="1">#REF!</definedName>
    <definedName name="Z_BBE1AFA0_C6F6_4019_9D53_075DA4654337_.wvu.FilterData" localSheetId="2" hidden="1">#REF!</definedName>
    <definedName name="Z_BBE1AFA0_C6F6_4019_9D53_075DA4654337_.wvu.FilterData" localSheetId="6" hidden="1">#REF!</definedName>
    <definedName name="Z_BBE1AFA0_C6F6_4019_9D53_075DA4654337_.wvu.FilterData" hidden="1">#REF!</definedName>
    <definedName name="Z_BC0EED6A_3F15_49FF_A48F_B40AC74B528A_.wvu.FilterData" localSheetId="4" hidden="1">#REF!</definedName>
    <definedName name="Z_BC0EED6A_3F15_49FF_A48F_B40AC74B528A_.wvu.FilterData" localSheetId="7" hidden="1">#REF!</definedName>
    <definedName name="Z_BC0EED6A_3F15_49FF_A48F_B40AC74B528A_.wvu.FilterData" localSheetId="5" hidden="1">#REF!</definedName>
    <definedName name="Z_BC0EED6A_3F15_49FF_A48F_B40AC74B528A_.wvu.FilterData" localSheetId="2" hidden="1">#REF!</definedName>
    <definedName name="Z_BC0EED6A_3F15_49FF_A48F_B40AC74B528A_.wvu.FilterData" localSheetId="6" hidden="1">#REF!</definedName>
    <definedName name="Z_BC0EED6A_3F15_49FF_A48F_B40AC74B528A_.wvu.FilterData" hidden="1">#REF!</definedName>
    <definedName name="Z_BC4212E8_2D54_48E9_A2B4_66875F86EBEF_.wvu.FilterData" localSheetId="4" hidden="1">#REF!</definedName>
    <definedName name="Z_BC4212E8_2D54_48E9_A2B4_66875F86EBEF_.wvu.FilterData" localSheetId="7" hidden="1">#REF!</definedName>
    <definedName name="Z_BC4212E8_2D54_48E9_A2B4_66875F86EBEF_.wvu.FilterData" localSheetId="5" hidden="1">#REF!</definedName>
    <definedName name="Z_BC4212E8_2D54_48E9_A2B4_66875F86EBEF_.wvu.FilterData" localSheetId="2" hidden="1">#REF!</definedName>
    <definedName name="Z_BC4212E8_2D54_48E9_A2B4_66875F86EBEF_.wvu.FilterData" localSheetId="6" hidden="1">#REF!</definedName>
    <definedName name="Z_BC4212E8_2D54_48E9_A2B4_66875F86EBEF_.wvu.FilterData" hidden="1">#REF!</definedName>
    <definedName name="Z_BE48B5BF_102F_4FB8_8807_DA126440E01B_.wvu.FilterData" localSheetId="4" hidden="1">#REF!</definedName>
    <definedName name="Z_BE48B5BF_102F_4FB8_8807_DA126440E01B_.wvu.FilterData" localSheetId="7" hidden="1">#REF!</definedName>
    <definedName name="Z_BE48B5BF_102F_4FB8_8807_DA126440E01B_.wvu.FilterData" localSheetId="5" hidden="1">#REF!</definedName>
    <definedName name="Z_BE48B5BF_102F_4FB8_8807_DA126440E01B_.wvu.FilterData" localSheetId="2" hidden="1">#REF!</definedName>
    <definedName name="Z_BE48B5BF_102F_4FB8_8807_DA126440E01B_.wvu.FilterData" localSheetId="6" hidden="1">#REF!</definedName>
    <definedName name="Z_BE48B5BF_102F_4FB8_8807_DA126440E01B_.wvu.FilterData" hidden="1">#REF!</definedName>
    <definedName name="Z_BE949522_4A35_4352_9A91_0CE0E28D3461_.wvu.FilterData" localSheetId="4" hidden="1">#REF!</definedName>
    <definedName name="Z_BE949522_4A35_4352_9A91_0CE0E28D3461_.wvu.FilterData" localSheetId="7" hidden="1">#REF!</definedName>
    <definedName name="Z_BE949522_4A35_4352_9A91_0CE0E28D3461_.wvu.FilterData" localSheetId="5" hidden="1">#REF!</definedName>
    <definedName name="Z_BE949522_4A35_4352_9A91_0CE0E28D3461_.wvu.FilterData" localSheetId="2" hidden="1">#REF!</definedName>
    <definedName name="Z_BE949522_4A35_4352_9A91_0CE0E28D3461_.wvu.FilterData" localSheetId="6" hidden="1">#REF!</definedName>
    <definedName name="Z_BE949522_4A35_4352_9A91_0CE0E28D3461_.wvu.FilterData" hidden="1">#REF!</definedName>
    <definedName name="Z_C1310828_8567_4952_A9D3_7183F1221321_.wvu.FilterData" localSheetId="4" hidden="1">#REF!</definedName>
    <definedName name="Z_C1310828_8567_4952_A9D3_7183F1221321_.wvu.FilterData" localSheetId="7" hidden="1">#REF!</definedName>
    <definedName name="Z_C1310828_8567_4952_A9D3_7183F1221321_.wvu.FilterData" localSheetId="5" hidden="1">#REF!</definedName>
    <definedName name="Z_C1310828_8567_4952_A9D3_7183F1221321_.wvu.FilterData" localSheetId="2" hidden="1">#REF!</definedName>
    <definedName name="Z_C1310828_8567_4952_A9D3_7183F1221321_.wvu.FilterData" localSheetId="6" hidden="1">#REF!</definedName>
    <definedName name="Z_C1310828_8567_4952_A9D3_7183F1221321_.wvu.FilterData" hidden="1">#REF!</definedName>
    <definedName name="Z_C581774C_2FCD_4906_B930_CCB3F9F9A50B_.wvu.FilterData" localSheetId="4" hidden="1">#REF!</definedName>
    <definedName name="Z_C581774C_2FCD_4906_B930_CCB3F9F9A50B_.wvu.FilterData" localSheetId="7" hidden="1">#REF!</definedName>
    <definedName name="Z_C581774C_2FCD_4906_B930_CCB3F9F9A50B_.wvu.FilterData" localSheetId="5" hidden="1">#REF!</definedName>
    <definedName name="Z_C581774C_2FCD_4906_B930_CCB3F9F9A50B_.wvu.FilterData" localSheetId="2" hidden="1">#REF!</definedName>
    <definedName name="Z_C581774C_2FCD_4906_B930_CCB3F9F9A50B_.wvu.FilterData" localSheetId="6" hidden="1">#REF!</definedName>
    <definedName name="Z_C581774C_2FCD_4906_B930_CCB3F9F9A50B_.wvu.FilterData" hidden="1">#REF!</definedName>
    <definedName name="Z_C67C9A44_7556_4756_AC39_E00F137116ED_.wvu.FilterData" localSheetId="4" hidden="1">#REF!</definedName>
    <definedName name="Z_C67C9A44_7556_4756_AC39_E00F137116ED_.wvu.FilterData" localSheetId="7" hidden="1">#REF!</definedName>
    <definedName name="Z_C67C9A44_7556_4756_AC39_E00F137116ED_.wvu.FilterData" localSheetId="5" hidden="1">#REF!</definedName>
    <definedName name="Z_C67C9A44_7556_4756_AC39_E00F137116ED_.wvu.FilterData" localSheetId="2" hidden="1">#REF!</definedName>
    <definedName name="Z_C67C9A44_7556_4756_AC39_E00F137116ED_.wvu.FilterData" localSheetId="6" hidden="1">#REF!</definedName>
    <definedName name="Z_C67C9A44_7556_4756_AC39_E00F137116ED_.wvu.FilterData" hidden="1">#REF!</definedName>
    <definedName name="Z_C908089F_9A5A_11D7_9C1E_0004231B06E7_.wvu.FilterData" localSheetId="4" hidden="1">#REF!</definedName>
    <definedName name="Z_C908089F_9A5A_11D7_9C1E_0004231B06E7_.wvu.FilterData" localSheetId="7" hidden="1">#REF!</definedName>
    <definedName name="Z_C908089F_9A5A_11D7_9C1E_0004231B06E7_.wvu.FilterData" localSheetId="5" hidden="1">#REF!</definedName>
    <definedName name="Z_C908089F_9A5A_11D7_9C1E_0004231B06E7_.wvu.FilterData" localSheetId="2" hidden="1">#REF!</definedName>
    <definedName name="Z_C908089F_9A5A_11D7_9C1E_0004231B06E7_.wvu.FilterData" localSheetId="6" hidden="1">#REF!</definedName>
    <definedName name="Z_C908089F_9A5A_11D7_9C1E_0004231B06E7_.wvu.FilterData" hidden="1">#REF!</definedName>
    <definedName name="Z_C942EE3A_8DBF_41D7_ADAF_F43C01F31E23_.wvu.FilterData" localSheetId="4" hidden="1">#REF!</definedName>
    <definedName name="Z_C942EE3A_8DBF_41D7_ADAF_F43C01F31E23_.wvu.FilterData" localSheetId="7" hidden="1">#REF!</definedName>
    <definedName name="Z_C942EE3A_8DBF_41D7_ADAF_F43C01F31E23_.wvu.FilterData" localSheetId="5" hidden="1">#REF!</definedName>
    <definedName name="Z_C942EE3A_8DBF_41D7_ADAF_F43C01F31E23_.wvu.FilterData" localSheetId="2" hidden="1">#REF!</definedName>
    <definedName name="Z_C942EE3A_8DBF_41D7_ADAF_F43C01F31E23_.wvu.FilterData" localSheetId="6" hidden="1">#REF!</definedName>
    <definedName name="Z_C942EE3A_8DBF_41D7_ADAF_F43C01F31E23_.wvu.FilterData" hidden="1">#REF!</definedName>
    <definedName name="Z_CB8FB7EE_B771_11D7_9C1E_0004231B06E7_.wvu.FilterData" localSheetId="4" hidden="1">#REF!</definedName>
    <definedName name="Z_CB8FB7EE_B771_11D7_9C1E_0004231B06E7_.wvu.FilterData" localSheetId="7" hidden="1">#REF!</definedName>
    <definedName name="Z_CB8FB7EE_B771_11D7_9C1E_0004231B06E7_.wvu.FilterData" localSheetId="5" hidden="1">#REF!</definedName>
    <definedName name="Z_CB8FB7EE_B771_11D7_9C1E_0004231B06E7_.wvu.FilterData" localSheetId="2" hidden="1">#REF!</definedName>
    <definedName name="Z_CB8FB7EE_B771_11D7_9C1E_0004231B06E7_.wvu.FilterData" localSheetId="6" hidden="1">#REF!</definedName>
    <definedName name="Z_CB8FB7EE_B771_11D7_9C1E_0004231B06E7_.wvu.FilterData" hidden="1">#REF!</definedName>
    <definedName name="Z_CB8FB7F1_B771_11D7_9C1E_0004231B06E7_.wvu.FilterData" localSheetId="4" hidden="1">#REF!</definedName>
    <definedName name="Z_CB8FB7F1_B771_11D7_9C1E_0004231B06E7_.wvu.FilterData" localSheetId="7" hidden="1">#REF!</definedName>
    <definedName name="Z_CB8FB7F1_B771_11D7_9C1E_0004231B06E7_.wvu.FilterData" localSheetId="5" hidden="1">#REF!</definedName>
    <definedName name="Z_CB8FB7F1_B771_11D7_9C1E_0004231B06E7_.wvu.FilterData" localSheetId="2" hidden="1">#REF!</definedName>
    <definedName name="Z_CB8FB7F1_B771_11D7_9C1E_0004231B06E7_.wvu.FilterData" localSheetId="6" hidden="1">#REF!</definedName>
    <definedName name="Z_CB8FB7F1_B771_11D7_9C1E_0004231B06E7_.wvu.FilterData" hidden="1">#REF!</definedName>
    <definedName name="Z_CD48E0DF_E307_492A_9CFD_ADF6DE6ECCFB_.wvu.FilterData" localSheetId="4" hidden="1">#REF!</definedName>
    <definedName name="Z_CD48E0DF_E307_492A_9CFD_ADF6DE6ECCFB_.wvu.FilterData" localSheetId="7" hidden="1">#REF!</definedName>
    <definedName name="Z_CD48E0DF_E307_492A_9CFD_ADF6DE6ECCFB_.wvu.FilterData" localSheetId="5" hidden="1">#REF!</definedName>
    <definedName name="Z_CD48E0DF_E307_492A_9CFD_ADF6DE6ECCFB_.wvu.FilterData" localSheetId="2" hidden="1">#REF!</definedName>
    <definedName name="Z_CD48E0DF_E307_492A_9CFD_ADF6DE6ECCFB_.wvu.FilterData" localSheetId="6" hidden="1">#REF!</definedName>
    <definedName name="Z_CD48E0DF_E307_492A_9CFD_ADF6DE6ECCFB_.wvu.FilterData" hidden="1">#REF!</definedName>
    <definedName name="Z_CDAD3BC7_95B1_4949_91B3_EAB234D2A550_.wvu.FilterData" localSheetId="4" hidden="1">#REF!</definedName>
    <definedName name="Z_CDAD3BC7_95B1_4949_91B3_EAB234D2A550_.wvu.FilterData" localSheetId="7" hidden="1">#REF!</definedName>
    <definedName name="Z_CDAD3BC7_95B1_4949_91B3_EAB234D2A550_.wvu.FilterData" localSheetId="5" hidden="1">#REF!</definedName>
    <definedName name="Z_CDAD3BC7_95B1_4949_91B3_EAB234D2A550_.wvu.FilterData" localSheetId="2" hidden="1">#REF!</definedName>
    <definedName name="Z_CDAD3BC7_95B1_4949_91B3_EAB234D2A550_.wvu.FilterData" localSheetId="6" hidden="1">#REF!</definedName>
    <definedName name="Z_CDAD3BC7_95B1_4949_91B3_EAB234D2A550_.wvu.FilterData" hidden="1">#REF!</definedName>
    <definedName name="Z_CE1A6073_4007_44EE_88D3_3C79CF746C78_.wvu.FilterData" localSheetId="4" hidden="1">#REF!</definedName>
    <definedName name="Z_CE1A6073_4007_44EE_88D3_3C79CF746C78_.wvu.FilterData" localSheetId="7" hidden="1">#REF!</definedName>
    <definedName name="Z_CE1A6073_4007_44EE_88D3_3C79CF746C78_.wvu.FilterData" localSheetId="5" hidden="1">#REF!</definedName>
    <definedName name="Z_CE1A6073_4007_44EE_88D3_3C79CF746C78_.wvu.FilterData" localSheetId="2" hidden="1">#REF!</definedName>
    <definedName name="Z_CE1A6073_4007_44EE_88D3_3C79CF746C78_.wvu.FilterData" localSheetId="6" hidden="1">#REF!</definedName>
    <definedName name="Z_CE1A6073_4007_44EE_88D3_3C79CF746C78_.wvu.FilterData" hidden="1">#REF!</definedName>
    <definedName name="Z_D0500033_B90B_46E5_BD62_60D0DA033A55_.wvu.FilterData" localSheetId="4" hidden="1">#REF!</definedName>
    <definedName name="Z_D0500033_B90B_46E5_BD62_60D0DA033A55_.wvu.FilterData" localSheetId="7" hidden="1">#REF!</definedName>
    <definedName name="Z_D0500033_B90B_46E5_BD62_60D0DA033A55_.wvu.FilterData" localSheetId="5" hidden="1">#REF!</definedName>
    <definedName name="Z_D0500033_B90B_46E5_BD62_60D0DA033A55_.wvu.FilterData" localSheetId="2" hidden="1">#REF!</definedName>
    <definedName name="Z_D0500033_B90B_46E5_BD62_60D0DA033A55_.wvu.FilterData" localSheetId="6" hidden="1">#REF!</definedName>
    <definedName name="Z_D0500033_B90B_46E5_BD62_60D0DA033A55_.wvu.FilterData" hidden="1">#REF!</definedName>
    <definedName name="Z_D11C04A2_606C_4EF4_9AD3_4865E5EFAE70_.wvu.FilterData" localSheetId="4" hidden="1">#REF!</definedName>
    <definedName name="Z_D11C04A2_606C_4EF4_9AD3_4865E5EFAE70_.wvu.FilterData" localSheetId="7" hidden="1">#REF!</definedName>
    <definedName name="Z_D11C04A2_606C_4EF4_9AD3_4865E5EFAE70_.wvu.FilterData" localSheetId="5" hidden="1">#REF!</definedName>
    <definedName name="Z_D11C04A2_606C_4EF4_9AD3_4865E5EFAE70_.wvu.FilterData" localSheetId="2" hidden="1">#REF!</definedName>
    <definedName name="Z_D11C04A2_606C_4EF4_9AD3_4865E5EFAE70_.wvu.FilterData" localSheetId="6" hidden="1">#REF!</definedName>
    <definedName name="Z_D11C04A2_606C_4EF4_9AD3_4865E5EFAE70_.wvu.FilterData" hidden="1">#REF!</definedName>
    <definedName name="Z_D1371C66_ADFD_11D7_9C1E_0004231B06E7_.wvu.FilterData" localSheetId="4" hidden="1">#REF!</definedName>
    <definedName name="Z_D1371C66_ADFD_11D7_9C1E_0004231B06E7_.wvu.FilterData" localSheetId="7" hidden="1">#REF!</definedName>
    <definedName name="Z_D1371C66_ADFD_11D7_9C1E_0004231B06E7_.wvu.FilterData" localSheetId="5" hidden="1">#REF!</definedName>
    <definedName name="Z_D1371C66_ADFD_11D7_9C1E_0004231B06E7_.wvu.FilterData" localSheetId="2" hidden="1">#REF!</definedName>
    <definedName name="Z_D1371C66_ADFD_11D7_9C1E_0004231B06E7_.wvu.FilterData" localSheetId="6" hidden="1">#REF!</definedName>
    <definedName name="Z_D1371C66_ADFD_11D7_9C1E_0004231B06E7_.wvu.FilterData" hidden="1">#REF!</definedName>
    <definedName name="Z_D1371C82_ADFD_11D7_9C1E_0004231B06E7_.wvu.FilterData" localSheetId="4" hidden="1">#REF!</definedName>
    <definedName name="Z_D1371C82_ADFD_11D7_9C1E_0004231B06E7_.wvu.FilterData" localSheetId="7" hidden="1">#REF!</definedName>
    <definedName name="Z_D1371C82_ADFD_11D7_9C1E_0004231B06E7_.wvu.FilterData" localSheetId="5" hidden="1">#REF!</definedName>
    <definedName name="Z_D1371C82_ADFD_11D7_9C1E_0004231B06E7_.wvu.FilterData" localSheetId="2" hidden="1">#REF!</definedName>
    <definedName name="Z_D1371C82_ADFD_11D7_9C1E_0004231B06E7_.wvu.FilterData" localSheetId="6" hidden="1">#REF!</definedName>
    <definedName name="Z_D1371C82_ADFD_11D7_9C1E_0004231B06E7_.wvu.FilterData" hidden="1">#REF!</definedName>
    <definedName name="Z_D1371C98_ADFD_11D7_9C1E_0004231B06E7_.wvu.FilterData" localSheetId="4" hidden="1">#REF!</definedName>
    <definedName name="Z_D1371C98_ADFD_11D7_9C1E_0004231B06E7_.wvu.FilterData" localSheetId="7" hidden="1">#REF!</definedName>
    <definedName name="Z_D1371C98_ADFD_11D7_9C1E_0004231B06E7_.wvu.FilterData" localSheetId="5" hidden="1">#REF!</definedName>
    <definedName name="Z_D1371C98_ADFD_11D7_9C1E_0004231B06E7_.wvu.FilterData" localSheetId="2" hidden="1">#REF!</definedName>
    <definedName name="Z_D1371C98_ADFD_11D7_9C1E_0004231B06E7_.wvu.FilterData" localSheetId="6" hidden="1">#REF!</definedName>
    <definedName name="Z_D1371C98_ADFD_11D7_9C1E_0004231B06E7_.wvu.FilterData" hidden="1">#REF!</definedName>
    <definedName name="Z_D15727E9_9BC2_420E_AC98_E8E9B60BD754_.wvu.FilterData" localSheetId="4" hidden="1">#REF!</definedName>
    <definedName name="Z_D15727E9_9BC2_420E_AC98_E8E9B60BD754_.wvu.FilterData" localSheetId="7" hidden="1">#REF!</definedName>
    <definedName name="Z_D15727E9_9BC2_420E_AC98_E8E9B60BD754_.wvu.FilterData" localSheetId="5" hidden="1">#REF!</definedName>
    <definedName name="Z_D15727E9_9BC2_420E_AC98_E8E9B60BD754_.wvu.FilterData" localSheetId="2" hidden="1">#REF!</definedName>
    <definedName name="Z_D15727E9_9BC2_420E_AC98_E8E9B60BD754_.wvu.FilterData" localSheetId="6" hidden="1">#REF!</definedName>
    <definedName name="Z_D15727E9_9BC2_420E_AC98_E8E9B60BD754_.wvu.FilterData" hidden="1">#REF!</definedName>
    <definedName name="Z_D371D622_5497_46A4_826D_01F2F492E39D_.wvu.FilterData" localSheetId="4" hidden="1">#REF!</definedName>
    <definedName name="Z_D371D622_5497_46A4_826D_01F2F492E39D_.wvu.FilterData" localSheetId="7" hidden="1">#REF!</definedName>
    <definedName name="Z_D371D622_5497_46A4_826D_01F2F492E39D_.wvu.FilterData" localSheetId="5" hidden="1">#REF!</definedName>
    <definedName name="Z_D371D622_5497_46A4_826D_01F2F492E39D_.wvu.FilterData" localSheetId="2" hidden="1">#REF!</definedName>
    <definedName name="Z_D371D622_5497_46A4_826D_01F2F492E39D_.wvu.FilterData" localSheetId="6" hidden="1">#REF!</definedName>
    <definedName name="Z_D371D622_5497_46A4_826D_01F2F492E39D_.wvu.FilterData" hidden="1">#REF!</definedName>
    <definedName name="Z_D3FF2053_BD11_4CA8_9648_A06F387C0C79_.wvu.FilterData" localSheetId="4" hidden="1">#REF!</definedName>
    <definedName name="Z_D3FF2053_BD11_4CA8_9648_A06F387C0C79_.wvu.FilterData" localSheetId="7" hidden="1">#REF!</definedName>
    <definedName name="Z_D3FF2053_BD11_4CA8_9648_A06F387C0C79_.wvu.FilterData" localSheetId="5" hidden="1">#REF!</definedName>
    <definedName name="Z_D3FF2053_BD11_4CA8_9648_A06F387C0C79_.wvu.FilterData" localSheetId="2" hidden="1">#REF!</definedName>
    <definedName name="Z_D3FF2053_BD11_4CA8_9648_A06F387C0C79_.wvu.FilterData" localSheetId="6" hidden="1">#REF!</definedName>
    <definedName name="Z_D3FF2053_BD11_4CA8_9648_A06F387C0C79_.wvu.FilterData" hidden="1">#REF!</definedName>
    <definedName name="Z_D4D6DC3A_302F_4BF4_8221_EFB7EA05B30F_.wvu.FilterData" localSheetId="4" hidden="1">#REF!</definedName>
    <definedName name="Z_D4D6DC3A_302F_4BF4_8221_EFB7EA05B30F_.wvu.FilterData" localSheetId="7" hidden="1">#REF!</definedName>
    <definedName name="Z_D4D6DC3A_302F_4BF4_8221_EFB7EA05B30F_.wvu.FilterData" localSheetId="5" hidden="1">#REF!</definedName>
    <definedName name="Z_D4D6DC3A_302F_4BF4_8221_EFB7EA05B30F_.wvu.FilterData" localSheetId="2" hidden="1">#REF!</definedName>
    <definedName name="Z_D4D6DC3A_302F_4BF4_8221_EFB7EA05B30F_.wvu.FilterData" localSheetId="6" hidden="1">#REF!</definedName>
    <definedName name="Z_D4D6DC3A_302F_4BF4_8221_EFB7EA05B30F_.wvu.FilterData" hidden="1">#REF!</definedName>
    <definedName name="Z_D4FF4BA0_F9BE_4CEE_B334_FBD19DA86BF4_.wvu.FilterData" localSheetId="4" hidden="1">#REF!</definedName>
    <definedName name="Z_D4FF4BA0_F9BE_4CEE_B334_FBD19DA86BF4_.wvu.FilterData" localSheetId="7" hidden="1">#REF!</definedName>
    <definedName name="Z_D4FF4BA0_F9BE_4CEE_B334_FBD19DA86BF4_.wvu.FilterData" localSheetId="5" hidden="1">#REF!</definedName>
    <definedName name="Z_D4FF4BA0_F9BE_4CEE_B334_FBD19DA86BF4_.wvu.FilterData" localSheetId="2" hidden="1">#REF!</definedName>
    <definedName name="Z_D4FF4BA0_F9BE_4CEE_B334_FBD19DA86BF4_.wvu.FilterData" localSheetId="6" hidden="1">#REF!</definedName>
    <definedName name="Z_D4FF4BA0_F9BE_4CEE_B334_FBD19DA86BF4_.wvu.FilterData" hidden="1">#REF!</definedName>
    <definedName name="Z_D5810466_54E3_455B_B341_3E7B86FB72D3_.wvu.FilterData" localSheetId="4" hidden="1">#REF!</definedName>
    <definedName name="Z_D5810466_54E3_455B_B341_3E7B86FB72D3_.wvu.FilterData" localSheetId="7" hidden="1">#REF!</definedName>
    <definedName name="Z_D5810466_54E3_455B_B341_3E7B86FB72D3_.wvu.FilterData" localSheetId="5" hidden="1">#REF!</definedName>
    <definedName name="Z_D5810466_54E3_455B_B341_3E7B86FB72D3_.wvu.FilterData" localSheetId="2" hidden="1">#REF!</definedName>
    <definedName name="Z_D5810466_54E3_455B_B341_3E7B86FB72D3_.wvu.FilterData" localSheetId="6" hidden="1">#REF!</definedName>
    <definedName name="Z_D5810466_54E3_455B_B341_3E7B86FB72D3_.wvu.FilterData" hidden="1">#REF!</definedName>
    <definedName name="Z_D60B1DF7_D653_4F01_B5AD_6A66E578C24F_.wvu.FilterData" localSheetId="4" hidden="1">#REF!</definedName>
    <definedName name="Z_D60B1DF7_D653_4F01_B5AD_6A66E578C24F_.wvu.FilterData" localSheetId="7" hidden="1">#REF!</definedName>
    <definedName name="Z_D60B1DF7_D653_4F01_B5AD_6A66E578C24F_.wvu.FilterData" localSheetId="5" hidden="1">#REF!</definedName>
    <definedName name="Z_D60B1DF7_D653_4F01_B5AD_6A66E578C24F_.wvu.FilterData" localSheetId="2" hidden="1">#REF!</definedName>
    <definedName name="Z_D60B1DF7_D653_4F01_B5AD_6A66E578C24F_.wvu.FilterData" localSheetId="6" hidden="1">#REF!</definedName>
    <definedName name="Z_D60B1DF7_D653_4F01_B5AD_6A66E578C24F_.wvu.FilterData" hidden="1">#REF!</definedName>
    <definedName name="Z_D684BA0E_B94B_4BF7_8F27_4E3A1924425C_.wvu.FilterData" localSheetId="4" hidden="1">#REF!</definedName>
    <definedName name="Z_D684BA0E_B94B_4BF7_8F27_4E3A1924425C_.wvu.FilterData" localSheetId="7" hidden="1">#REF!</definedName>
    <definedName name="Z_D684BA0E_B94B_4BF7_8F27_4E3A1924425C_.wvu.FilterData" localSheetId="5" hidden="1">#REF!</definedName>
    <definedName name="Z_D684BA0E_B94B_4BF7_8F27_4E3A1924425C_.wvu.FilterData" localSheetId="2" hidden="1">#REF!</definedName>
    <definedName name="Z_D684BA0E_B94B_4BF7_8F27_4E3A1924425C_.wvu.FilterData" localSheetId="6" hidden="1">#REF!</definedName>
    <definedName name="Z_D684BA0E_B94B_4BF7_8F27_4E3A1924425C_.wvu.FilterData" hidden="1">#REF!</definedName>
    <definedName name="Z_D9443332_B48E_4E65_8F23_AC96FB75A5A9_.wvu.FilterData" localSheetId="4" hidden="1">#REF!</definedName>
    <definedName name="Z_D9443332_B48E_4E65_8F23_AC96FB75A5A9_.wvu.FilterData" localSheetId="7" hidden="1">#REF!</definedName>
    <definedName name="Z_D9443332_B48E_4E65_8F23_AC96FB75A5A9_.wvu.FilterData" localSheetId="5" hidden="1">#REF!</definedName>
    <definedName name="Z_D9443332_B48E_4E65_8F23_AC96FB75A5A9_.wvu.FilterData" localSheetId="2" hidden="1">#REF!</definedName>
    <definedName name="Z_D9443332_B48E_4E65_8F23_AC96FB75A5A9_.wvu.FilterData" localSheetId="6" hidden="1">#REF!</definedName>
    <definedName name="Z_D9443332_B48E_4E65_8F23_AC96FB75A5A9_.wvu.FilterData" hidden="1">#REF!</definedName>
    <definedName name="Z_DAA35AF8_874B_4671_A195_994D9700CFB0_.wvu.FilterData" localSheetId="4" hidden="1">#REF!</definedName>
    <definedName name="Z_DAA35AF8_874B_4671_A195_994D9700CFB0_.wvu.FilterData" localSheetId="7" hidden="1">#REF!</definedName>
    <definedName name="Z_DAA35AF8_874B_4671_A195_994D9700CFB0_.wvu.FilterData" localSheetId="5" hidden="1">#REF!</definedName>
    <definedName name="Z_DAA35AF8_874B_4671_A195_994D9700CFB0_.wvu.FilterData" localSheetId="2" hidden="1">#REF!</definedName>
    <definedName name="Z_DAA35AF8_874B_4671_A195_994D9700CFB0_.wvu.FilterData" localSheetId="6" hidden="1">#REF!</definedName>
    <definedName name="Z_DAA35AF8_874B_4671_A195_994D9700CFB0_.wvu.FilterData" hidden="1">#REF!</definedName>
    <definedName name="Z_DB31579F_8662_40C5_BB19_660F0F7B70E5_.wvu.FilterData" localSheetId="4" hidden="1">#REF!</definedName>
    <definedName name="Z_DB31579F_8662_40C5_BB19_660F0F7B70E5_.wvu.FilterData" localSheetId="7" hidden="1">#REF!</definedName>
    <definedName name="Z_DB31579F_8662_40C5_BB19_660F0F7B70E5_.wvu.FilterData" localSheetId="5" hidden="1">#REF!</definedName>
    <definedName name="Z_DB31579F_8662_40C5_BB19_660F0F7B70E5_.wvu.FilterData" localSheetId="2" hidden="1">#REF!</definedName>
    <definedName name="Z_DB31579F_8662_40C5_BB19_660F0F7B70E5_.wvu.FilterData" localSheetId="6" hidden="1">#REF!</definedName>
    <definedName name="Z_DB31579F_8662_40C5_BB19_660F0F7B70E5_.wvu.FilterData" hidden="1">#REF!</definedName>
    <definedName name="Z_DB349C77_BBCF_4BF0_8906_770DC9CEB279_.wvu.FilterData" localSheetId="4" hidden="1">#REF!</definedName>
    <definedName name="Z_DB349C77_BBCF_4BF0_8906_770DC9CEB279_.wvu.FilterData" localSheetId="7" hidden="1">#REF!</definedName>
    <definedName name="Z_DB349C77_BBCF_4BF0_8906_770DC9CEB279_.wvu.FilterData" localSheetId="5" hidden="1">#REF!</definedName>
    <definedName name="Z_DB349C77_BBCF_4BF0_8906_770DC9CEB279_.wvu.FilterData" localSheetId="2" hidden="1">#REF!</definedName>
    <definedName name="Z_DB349C77_BBCF_4BF0_8906_770DC9CEB279_.wvu.FilterData" localSheetId="6" hidden="1">#REF!</definedName>
    <definedName name="Z_DB349C77_BBCF_4BF0_8906_770DC9CEB279_.wvu.FilterData" hidden="1">#REF!</definedName>
    <definedName name="Z_DBA9A16F_C863_43D6_BEF6_4907AD7FF11A_.wvu.FilterData" localSheetId="4" hidden="1">#REF!</definedName>
    <definedName name="Z_DBA9A16F_C863_43D6_BEF6_4907AD7FF11A_.wvu.FilterData" localSheetId="7" hidden="1">#REF!</definedName>
    <definedName name="Z_DBA9A16F_C863_43D6_BEF6_4907AD7FF11A_.wvu.FilterData" localSheetId="5" hidden="1">#REF!</definedName>
    <definedName name="Z_DBA9A16F_C863_43D6_BEF6_4907AD7FF11A_.wvu.FilterData" localSheetId="2" hidden="1">#REF!</definedName>
    <definedName name="Z_DBA9A16F_C863_43D6_BEF6_4907AD7FF11A_.wvu.FilterData" localSheetId="6" hidden="1">#REF!</definedName>
    <definedName name="Z_DBA9A16F_C863_43D6_BEF6_4907AD7FF11A_.wvu.FilterData" hidden="1">#REF!</definedName>
    <definedName name="Z_DC39DC03_5BF1_41DE_A26D_8DA774859990_.wvu.FilterData" localSheetId="4" hidden="1">#REF!</definedName>
    <definedName name="Z_DC39DC03_5BF1_41DE_A26D_8DA774859990_.wvu.FilterData" localSheetId="7" hidden="1">#REF!</definedName>
    <definedName name="Z_DC39DC03_5BF1_41DE_A26D_8DA774859990_.wvu.FilterData" localSheetId="5" hidden="1">#REF!</definedName>
    <definedName name="Z_DC39DC03_5BF1_41DE_A26D_8DA774859990_.wvu.FilterData" localSheetId="2" hidden="1">#REF!</definedName>
    <definedName name="Z_DC39DC03_5BF1_41DE_A26D_8DA774859990_.wvu.FilterData" localSheetId="6" hidden="1">#REF!</definedName>
    <definedName name="Z_DC39DC03_5BF1_41DE_A26D_8DA774859990_.wvu.FilterData" hidden="1">#REF!</definedName>
    <definedName name="Z_DC4BE57B_E9B6_4823_AAB5_0B4AD0A1C9F8_.wvu.FilterData" localSheetId="4" hidden="1">#REF!</definedName>
    <definedName name="Z_DC4BE57B_E9B6_4823_AAB5_0B4AD0A1C9F8_.wvu.FilterData" localSheetId="7" hidden="1">#REF!</definedName>
    <definedName name="Z_DC4BE57B_E9B6_4823_AAB5_0B4AD0A1C9F8_.wvu.FilterData" localSheetId="5" hidden="1">#REF!</definedName>
    <definedName name="Z_DC4BE57B_E9B6_4823_AAB5_0B4AD0A1C9F8_.wvu.FilterData" localSheetId="2" hidden="1">#REF!</definedName>
    <definedName name="Z_DC4BE57B_E9B6_4823_AAB5_0B4AD0A1C9F8_.wvu.FilterData" localSheetId="6" hidden="1">#REF!</definedName>
    <definedName name="Z_DC4BE57B_E9B6_4823_AAB5_0B4AD0A1C9F8_.wvu.FilterData" hidden="1">#REF!</definedName>
    <definedName name="Z_DD40B456_B833_4D7B_A3C9_47AA2D6A0830_.wvu.FilterData" localSheetId="4" hidden="1">#REF!</definedName>
    <definedName name="Z_DD40B456_B833_4D7B_A3C9_47AA2D6A0830_.wvu.FilterData" localSheetId="7" hidden="1">#REF!</definedName>
    <definedName name="Z_DD40B456_B833_4D7B_A3C9_47AA2D6A0830_.wvu.FilterData" localSheetId="5" hidden="1">#REF!</definedName>
    <definedName name="Z_DD40B456_B833_4D7B_A3C9_47AA2D6A0830_.wvu.FilterData" localSheetId="2" hidden="1">#REF!</definedName>
    <definedName name="Z_DD40B456_B833_4D7B_A3C9_47AA2D6A0830_.wvu.FilterData" localSheetId="6" hidden="1">#REF!</definedName>
    <definedName name="Z_DD40B456_B833_4D7B_A3C9_47AA2D6A0830_.wvu.FilterData" hidden="1">#REF!</definedName>
    <definedName name="Z_DDC9046D_2716_4CA3_9471_7091058B3C12_.wvu.FilterData" localSheetId="4" hidden="1">#REF!</definedName>
    <definedName name="Z_DDC9046D_2716_4CA3_9471_7091058B3C12_.wvu.FilterData" localSheetId="7" hidden="1">#REF!</definedName>
    <definedName name="Z_DDC9046D_2716_4CA3_9471_7091058B3C12_.wvu.FilterData" localSheetId="5" hidden="1">#REF!</definedName>
    <definedName name="Z_DDC9046D_2716_4CA3_9471_7091058B3C12_.wvu.FilterData" localSheetId="2" hidden="1">#REF!</definedName>
    <definedName name="Z_DDC9046D_2716_4CA3_9471_7091058B3C12_.wvu.FilterData" localSheetId="6" hidden="1">#REF!</definedName>
    <definedName name="Z_DDC9046D_2716_4CA3_9471_7091058B3C12_.wvu.FilterData" hidden="1">#REF!</definedName>
    <definedName name="Z_DF3B204A_F509_4DA0_BCB7_F89536B5FEBF_.wvu.FilterData" localSheetId="4" hidden="1">#REF!</definedName>
    <definedName name="Z_DF3B204A_F509_4DA0_BCB7_F89536B5FEBF_.wvu.FilterData" localSheetId="7" hidden="1">#REF!</definedName>
    <definedName name="Z_DF3B204A_F509_4DA0_BCB7_F89536B5FEBF_.wvu.FilterData" localSheetId="5" hidden="1">#REF!</definedName>
    <definedName name="Z_DF3B204A_F509_4DA0_BCB7_F89536B5FEBF_.wvu.FilterData" localSheetId="2" hidden="1">#REF!</definedName>
    <definedName name="Z_DF3B204A_F509_4DA0_BCB7_F89536B5FEBF_.wvu.FilterData" localSheetId="6" hidden="1">#REF!</definedName>
    <definedName name="Z_DF3B204A_F509_4DA0_BCB7_F89536B5FEBF_.wvu.FilterData" hidden="1">#REF!</definedName>
    <definedName name="Z_E3FFE9E0_6C4F_4FB4_A56E_FBE96871B5C8_.wvu.Cols" localSheetId="4" hidden="1">#REF!,#REF!</definedName>
    <definedName name="Z_E3FFE9E0_6C4F_4FB4_A56E_FBE96871B5C8_.wvu.Cols" localSheetId="7" hidden="1">#REF!,#REF!</definedName>
    <definedName name="Z_E3FFE9E0_6C4F_4FB4_A56E_FBE96871B5C8_.wvu.Cols" localSheetId="1" hidden="1">#REF!,#REF!</definedName>
    <definedName name="Z_E3FFE9E0_6C4F_4FB4_A56E_FBE96871B5C8_.wvu.Cols" localSheetId="5" hidden="1">#REF!,#REF!</definedName>
    <definedName name="Z_E3FFE9E0_6C4F_4FB4_A56E_FBE96871B5C8_.wvu.Cols" localSheetId="2" hidden="1">#REF!,#REF!</definedName>
    <definedName name="Z_E3FFE9E0_6C4F_4FB4_A56E_FBE96871B5C8_.wvu.Cols" localSheetId="6" hidden="1">#REF!,#REF!</definedName>
    <definedName name="Z_E3FFE9E0_6C4F_4FB4_A56E_FBE96871B5C8_.wvu.Cols" hidden="1">#REF!,#REF!</definedName>
    <definedName name="Z_E3FFE9E0_6C4F_4FB4_A56E_FBE96871B5C8_.wvu.FilterData" localSheetId="4" hidden="1">#REF!</definedName>
    <definedName name="Z_E3FFE9E0_6C4F_4FB4_A56E_FBE96871B5C8_.wvu.FilterData" localSheetId="7" hidden="1">#REF!</definedName>
    <definedName name="Z_E3FFE9E0_6C4F_4FB4_A56E_FBE96871B5C8_.wvu.FilterData" localSheetId="5" hidden="1">#REF!</definedName>
    <definedName name="Z_E3FFE9E0_6C4F_4FB4_A56E_FBE96871B5C8_.wvu.FilterData" localSheetId="2" hidden="1">#REF!</definedName>
    <definedName name="Z_E3FFE9E0_6C4F_4FB4_A56E_FBE96871B5C8_.wvu.FilterData" localSheetId="6" hidden="1">#REF!</definedName>
    <definedName name="Z_E3FFE9E0_6C4F_4FB4_A56E_FBE96871B5C8_.wvu.FilterData" hidden="1">#REF!</definedName>
    <definedName name="Z_E42D429F_E4E8_41D2_9176_83C726BAF8E3_.wvu.FilterData" localSheetId="4" hidden="1">#REF!</definedName>
    <definedName name="Z_E42D429F_E4E8_41D2_9176_83C726BAF8E3_.wvu.FilterData" localSheetId="7" hidden="1">#REF!</definedName>
    <definedName name="Z_E42D429F_E4E8_41D2_9176_83C726BAF8E3_.wvu.FilterData" localSheetId="5" hidden="1">#REF!</definedName>
    <definedName name="Z_E42D429F_E4E8_41D2_9176_83C726BAF8E3_.wvu.FilterData" localSheetId="2" hidden="1">#REF!</definedName>
    <definedName name="Z_E42D429F_E4E8_41D2_9176_83C726BAF8E3_.wvu.FilterData" localSheetId="6" hidden="1">#REF!</definedName>
    <definedName name="Z_E42D429F_E4E8_41D2_9176_83C726BAF8E3_.wvu.FilterData" hidden="1">#REF!</definedName>
    <definedName name="Z_E491B72F_902A_11D7_9C1E_0004231B06E7_.wvu.FilterData" localSheetId="4" hidden="1">#REF!</definedName>
    <definedName name="Z_E491B72F_902A_11D7_9C1E_0004231B06E7_.wvu.FilterData" localSheetId="7" hidden="1">#REF!</definedName>
    <definedName name="Z_E491B72F_902A_11D7_9C1E_0004231B06E7_.wvu.FilterData" localSheetId="5" hidden="1">#REF!</definedName>
    <definedName name="Z_E491B72F_902A_11D7_9C1E_0004231B06E7_.wvu.FilterData" localSheetId="2" hidden="1">#REF!</definedName>
    <definedName name="Z_E491B72F_902A_11D7_9C1E_0004231B06E7_.wvu.FilterData" localSheetId="6" hidden="1">#REF!</definedName>
    <definedName name="Z_E491B72F_902A_11D7_9C1E_0004231B06E7_.wvu.FilterData" hidden="1">#REF!</definedName>
    <definedName name="Z_E491B77E_902A_11D7_9C1E_0004231B06E7_.wvu.FilterData" localSheetId="4" hidden="1">#REF!</definedName>
    <definedName name="Z_E491B77E_902A_11D7_9C1E_0004231B06E7_.wvu.FilterData" localSheetId="7" hidden="1">#REF!</definedName>
    <definedName name="Z_E491B77E_902A_11D7_9C1E_0004231B06E7_.wvu.FilterData" localSheetId="5" hidden="1">#REF!</definedName>
    <definedName name="Z_E491B77E_902A_11D7_9C1E_0004231B06E7_.wvu.FilterData" localSheetId="2" hidden="1">#REF!</definedName>
    <definedName name="Z_E491B77E_902A_11D7_9C1E_0004231B06E7_.wvu.FilterData" localSheetId="6" hidden="1">#REF!</definedName>
    <definedName name="Z_E491B77E_902A_11D7_9C1E_0004231B06E7_.wvu.FilterData" hidden="1">#REF!</definedName>
    <definedName name="Z_E4A534A8_CD89_4423_9F3F_8134353F3CAC_.wvu.FilterData" localSheetId="4" hidden="1">#REF!</definedName>
    <definedName name="Z_E4A534A8_CD89_4423_9F3F_8134353F3CAC_.wvu.FilterData" localSheetId="7" hidden="1">#REF!</definedName>
    <definedName name="Z_E4A534A8_CD89_4423_9F3F_8134353F3CAC_.wvu.FilterData" localSheetId="5" hidden="1">#REF!</definedName>
    <definedName name="Z_E4A534A8_CD89_4423_9F3F_8134353F3CAC_.wvu.FilterData" localSheetId="2" hidden="1">#REF!</definedName>
    <definedName name="Z_E4A534A8_CD89_4423_9F3F_8134353F3CAC_.wvu.FilterData" localSheetId="6" hidden="1">#REF!</definedName>
    <definedName name="Z_E4A534A8_CD89_4423_9F3F_8134353F3CAC_.wvu.FilterData" hidden="1">#REF!</definedName>
    <definedName name="Z_E4E1532E_DC25_47E7_8CAC_8E70342889F1_.wvu.FilterData" localSheetId="4" hidden="1">#REF!</definedName>
    <definedName name="Z_E4E1532E_DC25_47E7_8CAC_8E70342889F1_.wvu.FilterData" localSheetId="7" hidden="1">#REF!</definedName>
    <definedName name="Z_E4E1532E_DC25_47E7_8CAC_8E70342889F1_.wvu.FilterData" localSheetId="5" hidden="1">#REF!</definedName>
    <definedName name="Z_E4E1532E_DC25_47E7_8CAC_8E70342889F1_.wvu.FilterData" localSheetId="2" hidden="1">#REF!</definedName>
    <definedName name="Z_E4E1532E_DC25_47E7_8CAC_8E70342889F1_.wvu.FilterData" localSheetId="6" hidden="1">#REF!</definedName>
    <definedName name="Z_E4E1532E_DC25_47E7_8CAC_8E70342889F1_.wvu.FilterData" hidden="1">#REF!</definedName>
    <definedName name="Z_E74731A0_5CEF_4B97_AFDD_B1DCA3953478_.wvu.FilterData" localSheetId="4" hidden="1">#REF!</definedName>
    <definedName name="Z_E74731A0_5CEF_4B97_AFDD_B1DCA3953478_.wvu.FilterData" localSheetId="7" hidden="1">#REF!</definedName>
    <definedName name="Z_E74731A0_5CEF_4B97_AFDD_B1DCA3953478_.wvu.FilterData" localSheetId="5" hidden="1">#REF!</definedName>
    <definedName name="Z_E74731A0_5CEF_4B97_AFDD_B1DCA3953478_.wvu.FilterData" localSheetId="2" hidden="1">#REF!</definedName>
    <definedName name="Z_E74731A0_5CEF_4B97_AFDD_B1DCA3953478_.wvu.FilterData" localSheetId="6" hidden="1">#REF!</definedName>
    <definedName name="Z_E74731A0_5CEF_4B97_AFDD_B1DCA3953478_.wvu.FilterData" hidden="1">#REF!</definedName>
    <definedName name="Z_E7582842_0D7F_4174_A223_2AB1DD8C9047_.wvu.FilterData" localSheetId="4" hidden="1">#REF!</definedName>
    <definedName name="Z_E7582842_0D7F_4174_A223_2AB1DD8C9047_.wvu.FilterData" localSheetId="7" hidden="1">#REF!</definedName>
    <definedName name="Z_E7582842_0D7F_4174_A223_2AB1DD8C9047_.wvu.FilterData" localSheetId="5" hidden="1">#REF!</definedName>
    <definedName name="Z_E7582842_0D7F_4174_A223_2AB1DD8C9047_.wvu.FilterData" localSheetId="2" hidden="1">#REF!</definedName>
    <definedName name="Z_E7582842_0D7F_4174_A223_2AB1DD8C9047_.wvu.FilterData" localSheetId="6" hidden="1">#REF!</definedName>
    <definedName name="Z_E7582842_0D7F_4174_A223_2AB1DD8C9047_.wvu.FilterData" hidden="1">#REF!</definedName>
    <definedName name="Z_E7E3B215_0D2B_424B_B9A9_091ABF42A9B2_.wvu.FilterData" localSheetId="4" hidden="1">#REF!</definedName>
    <definedName name="Z_E7E3B215_0D2B_424B_B9A9_091ABF42A9B2_.wvu.FilterData" localSheetId="7" hidden="1">#REF!</definedName>
    <definedName name="Z_E7E3B215_0D2B_424B_B9A9_091ABF42A9B2_.wvu.FilterData" localSheetId="5" hidden="1">#REF!</definedName>
    <definedName name="Z_E7E3B215_0D2B_424B_B9A9_091ABF42A9B2_.wvu.FilterData" localSheetId="2" hidden="1">#REF!</definedName>
    <definedName name="Z_E7E3B215_0D2B_424B_B9A9_091ABF42A9B2_.wvu.FilterData" localSheetId="6" hidden="1">#REF!</definedName>
    <definedName name="Z_E7E3B215_0D2B_424B_B9A9_091ABF42A9B2_.wvu.FilterData" hidden="1">#REF!</definedName>
    <definedName name="Z_E833D806_B408_4951_8EA0_84873DD98CC6_.wvu.FilterData" localSheetId="4" hidden="1">#REF!</definedName>
    <definedName name="Z_E833D806_B408_4951_8EA0_84873DD98CC6_.wvu.FilterData" localSheetId="7" hidden="1">#REF!</definedName>
    <definedName name="Z_E833D806_B408_4951_8EA0_84873DD98CC6_.wvu.FilterData" localSheetId="5" hidden="1">#REF!</definedName>
    <definedName name="Z_E833D806_B408_4951_8EA0_84873DD98CC6_.wvu.FilterData" localSheetId="2" hidden="1">#REF!</definedName>
    <definedName name="Z_E833D806_B408_4951_8EA0_84873DD98CC6_.wvu.FilterData" localSheetId="6" hidden="1">#REF!</definedName>
    <definedName name="Z_E833D806_B408_4951_8EA0_84873DD98CC6_.wvu.FilterData" hidden="1">#REF!</definedName>
    <definedName name="Z_E84FA520_D8B7_472A_9913_1B62E15D532D_.wvu.FilterData" localSheetId="4" hidden="1">#REF!</definedName>
    <definedName name="Z_E84FA520_D8B7_472A_9913_1B62E15D532D_.wvu.FilterData" localSheetId="7" hidden="1">#REF!</definedName>
    <definedName name="Z_E84FA520_D8B7_472A_9913_1B62E15D532D_.wvu.FilterData" localSheetId="5" hidden="1">#REF!</definedName>
    <definedName name="Z_E84FA520_D8B7_472A_9913_1B62E15D532D_.wvu.FilterData" localSheetId="2" hidden="1">#REF!</definedName>
    <definedName name="Z_E84FA520_D8B7_472A_9913_1B62E15D532D_.wvu.FilterData" localSheetId="6" hidden="1">#REF!</definedName>
    <definedName name="Z_E84FA520_D8B7_472A_9913_1B62E15D532D_.wvu.FilterData" hidden="1">#REF!</definedName>
    <definedName name="Z_E856A7FB_F0DE_4CE8_85BE_FBD78193AF0B_.wvu.FilterData" localSheetId="4" hidden="1">#REF!</definedName>
    <definedName name="Z_E856A7FB_F0DE_4CE8_85BE_FBD78193AF0B_.wvu.FilterData" localSheetId="7" hidden="1">#REF!</definedName>
    <definedName name="Z_E856A7FB_F0DE_4CE8_85BE_FBD78193AF0B_.wvu.FilterData" localSheetId="5" hidden="1">#REF!</definedName>
    <definedName name="Z_E856A7FB_F0DE_4CE8_85BE_FBD78193AF0B_.wvu.FilterData" localSheetId="2" hidden="1">#REF!</definedName>
    <definedName name="Z_E856A7FB_F0DE_4CE8_85BE_FBD78193AF0B_.wvu.FilterData" localSheetId="6" hidden="1">#REF!</definedName>
    <definedName name="Z_E856A7FB_F0DE_4CE8_85BE_FBD78193AF0B_.wvu.FilterData" hidden="1">#REF!</definedName>
    <definedName name="Z_E8B81FC8_C17A_451A_B505_641DE5886245_.wvu.FilterData" localSheetId="4" hidden="1">#REF!</definedName>
    <definedName name="Z_E8B81FC8_C17A_451A_B505_641DE5886245_.wvu.FilterData" localSheetId="7" hidden="1">#REF!</definedName>
    <definedName name="Z_E8B81FC8_C17A_451A_B505_641DE5886245_.wvu.FilterData" localSheetId="5" hidden="1">#REF!</definedName>
    <definedName name="Z_E8B81FC8_C17A_451A_B505_641DE5886245_.wvu.FilterData" localSheetId="2" hidden="1">#REF!</definedName>
    <definedName name="Z_E8B81FC8_C17A_451A_B505_641DE5886245_.wvu.FilterData" localSheetId="6" hidden="1">#REF!</definedName>
    <definedName name="Z_E8B81FC8_C17A_451A_B505_641DE5886245_.wvu.FilterData" hidden="1">#REF!</definedName>
    <definedName name="Z_EA900FC6_5EC3_4E18_9ED9_37FAC8862A4C_.wvu.FilterData" localSheetId="4" hidden="1">#REF!</definedName>
    <definedName name="Z_EA900FC6_5EC3_4E18_9ED9_37FAC8862A4C_.wvu.FilterData" localSheetId="7" hidden="1">#REF!</definedName>
    <definedName name="Z_EA900FC6_5EC3_4E18_9ED9_37FAC8862A4C_.wvu.FilterData" localSheetId="5" hidden="1">#REF!</definedName>
    <definedName name="Z_EA900FC6_5EC3_4E18_9ED9_37FAC8862A4C_.wvu.FilterData" localSheetId="2" hidden="1">#REF!</definedName>
    <definedName name="Z_EA900FC6_5EC3_4E18_9ED9_37FAC8862A4C_.wvu.FilterData" localSheetId="6" hidden="1">#REF!</definedName>
    <definedName name="Z_EA900FC6_5EC3_4E18_9ED9_37FAC8862A4C_.wvu.FilterData" hidden="1">#REF!</definedName>
    <definedName name="Z_EC12F0CE_807C_4CF2_B52D_1E5945238C05_.wvu.FilterData" localSheetId="4" hidden="1">#REF!</definedName>
    <definedName name="Z_EC12F0CE_807C_4CF2_B52D_1E5945238C05_.wvu.FilterData" localSheetId="7" hidden="1">#REF!</definedName>
    <definedName name="Z_EC12F0CE_807C_4CF2_B52D_1E5945238C05_.wvu.FilterData" localSheetId="5" hidden="1">#REF!</definedName>
    <definedName name="Z_EC12F0CE_807C_4CF2_B52D_1E5945238C05_.wvu.FilterData" localSheetId="2" hidden="1">#REF!</definedName>
    <definedName name="Z_EC12F0CE_807C_4CF2_B52D_1E5945238C05_.wvu.FilterData" localSheetId="6" hidden="1">#REF!</definedName>
    <definedName name="Z_EC12F0CE_807C_4CF2_B52D_1E5945238C05_.wvu.FilterData" hidden="1">#REF!</definedName>
    <definedName name="Z_EC74CDC8_4C91_4C55_BE9F_24DF0A9793FF_.wvu.FilterData" localSheetId="4" hidden="1">#REF!</definedName>
    <definedName name="Z_EC74CDC8_4C91_4C55_BE9F_24DF0A9793FF_.wvu.FilterData" localSheetId="7" hidden="1">#REF!</definedName>
    <definedName name="Z_EC74CDC8_4C91_4C55_BE9F_24DF0A9793FF_.wvu.FilterData" localSheetId="5" hidden="1">#REF!</definedName>
    <definedName name="Z_EC74CDC8_4C91_4C55_BE9F_24DF0A9793FF_.wvu.FilterData" localSheetId="2" hidden="1">#REF!</definedName>
    <definedName name="Z_EC74CDC8_4C91_4C55_BE9F_24DF0A9793FF_.wvu.FilterData" localSheetId="6" hidden="1">#REF!</definedName>
    <definedName name="Z_EC74CDC8_4C91_4C55_BE9F_24DF0A9793FF_.wvu.FilterData" hidden="1">#REF!</definedName>
    <definedName name="Z_ED3E33DB_FBFA_4FDE_929F_AD12074101A3_.wvu.FilterData" localSheetId="4" hidden="1">#REF!</definedName>
    <definedName name="Z_ED3E33DB_FBFA_4FDE_929F_AD12074101A3_.wvu.FilterData" localSheetId="7" hidden="1">#REF!</definedName>
    <definedName name="Z_ED3E33DB_FBFA_4FDE_929F_AD12074101A3_.wvu.FilterData" localSheetId="5" hidden="1">#REF!</definedName>
    <definedName name="Z_ED3E33DB_FBFA_4FDE_929F_AD12074101A3_.wvu.FilterData" localSheetId="2" hidden="1">#REF!</definedName>
    <definedName name="Z_ED3E33DB_FBFA_4FDE_929F_AD12074101A3_.wvu.FilterData" localSheetId="6" hidden="1">#REF!</definedName>
    <definedName name="Z_ED3E33DB_FBFA_4FDE_929F_AD12074101A3_.wvu.FilterData" hidden="1">#REF!</definedName>
    <definedName name="Z_EE21DFC7_81AA_40DA_B313_9BC83DA41DD6_.wvu.FilterData" localSheetId="4" hidden="1">#REF!</definedName>
    <definedName name="Z_EE21DFC7_81AA_40DA_B313_9BC83DA41DD6_.wvu.FilterData" localSheetId="7" hidden="1">#REF!</definedName>
    <definedName name="Z_EE21DFC7_81AA_40DA_B313_9BC83DA41DD6_.wvu.FilterData" localSheetId="5" hidden="1">#REF!</definedName>
    <definedName name="Z_EE21DFC7_81AA_40DA_B313_9BC83DA41DD6_.wvu.FilterData" localSheetId="2" hidden="1">#REF!</definedName>
    <definedName name="Z_EE21DFC7_81AA_40DA_B313_9BC83DA41DD6_.wvu.FilterData" localSheetId="6" hidden="1">#REF!</definedName>
    <definedName name="Z_EE21DFC7_81AA_40DA_B313_9BC83DA41DD6_.wvu.FilterData" hidden="1">#REF!</definedName>
    <definedName name="Z_EE5311D7_3149_40F1_82F5_7EEC6ACB6C85_.wvu.FilterData" localSheetId="4" hidden="1">#REF!</definedName>
    <definedName name="Z_EE5311D7_3149_40F1_82F5_7EEC6ACB6C85_.wvu.FilterData" localSheetId="7" hidden="1">#REF!</definedName>
    <definedName name="Z_EE5311D7_3149_40F1_82F5_7EEC6ACB6C85_.wvu.FilterData" localSheetId="5" hidden="1">#REF!</definedName>
    <definedName name="Z_EE5311D7_3149_40F1_82F5_7EEC6ACB6C85_.wvu.FilterData" localSheetId="2" hidden="1">#REF!</definedName>
    <definedName name="Z_EE5311D7_3149_40F1_82F5_7EEC6ACB6C85_.wvu.FilterData" localSheetId="6" hidden="1">#REF!</definedName>
    <definedName name="Z_EE5311D7_3149_40F1_82F5_7EEC6ACB6C85_.wvu.FilterData" hidden="1">#REF!</definedName>
    <definedName name="Z_EEE8CD21_C3A5_4786_B8BE_B9E68F0A5347_.wvu.FilterData" localSheetId="4" hidden="1">#REF!</definedName>
    <definedName name="Z_EEE8CD21_C3A5_4786_B8BE_B9E68F0A5347_.wvu.FilterData" localSheetId="7" hidden="1">#REF!</definedName>
    <definedName name="Z_EEE8CD21_C3A5_4786_B8BE_B9E68F0A5347_.wvu.FilterData" localSheetId="5" hidden="1">#REF!</definedName>
    <definedName name="Z_EEE8CD21_C3A5_4786_B8BE_B9E68F0A5347_.wvu.FilterData" localSheetId="2" hidden="1">#REF!</definedName>
    <definedName name="Z_EEE8CD21_C3A5_4786_B8BE_B9E68F0A5347_.wvu.FilterData" localSheetId="6" hidden="1">#REF!</definedName>
    <definedName name="Z_EEE8CD21_C3A5_4786_B8BE_B9E68F0A5347_.wvu.FilterData" hidden="1">#REF!</definedName>
    <definedName name="Z_F0522591_4E2E_4AD6_B99B_B69551272A68_.wvu.FilterData" localSheetId="4" hidden="1">#REF!</definedName>
    <definedName name="Z_F0522591_4E2E_4AD6_B99B_B69551272A68_.wvu.FilterData" localSheetId="7" hidden="1">#REF!</definedName>
    <definedName name="Z_F0522591_4E2E_4AD6_B99B_B69551272A68_.wvu.FilterData" localSheetId="5" hidden="1">#REF!</definedName>
    <definedName name="Z_F0522591_4E2E_4AD6_B99B_B69551272A68_.wvu.FilterData" localSheetId="2" hidden="1">#REF!</definedName>
    <definedName name="Z_F0522591_4E2E_4AD6_B99B_B69551272A68_.wvu.FilterData" localSheetId="6" hidden="1">#REF!</definedName>
    <definedName name="Z_F0522591_4E2E_4AD6_B99B_B69551272A68_.wvu.FilterData" hidden="1">#REF!</definedName>
    <definedName name="Z_F1326E0B_5376_4D6E_9BC8_214AA525DE83_.wvu.FilterData" localSheetId="4" hidden="1">#REF!</definedName>
    <definedName name="Z_F1326E0B_5376_4D6E_9BC8_214AA525DE83_.wvu.FilterData" localSheetId="7" hidden="1">#REF!</definedName>
    <definedName name="Z_F1326E0B_5376_4D6E_9BC8_214AA525DE83_.wvu.FilterData" localSheetId="5" hidden="1">#REF!</definedName>
    <definedName name="Z_F1326E0B_5376_4D6E_9BC8_214AA525DE83_.wvu.FilterData" localSheetId="2" hidden="1">#REF!</definedName>
    <definedName name="Z_F1326E0B_5376_4D6E_9BC8_214AA525DE83_.wvu.FilterData" localSheetId="6" hidden="1">#REF!</definedName>
    <definedName name="Z_F1326E0B_5376_4D6E_9BC8_214AA525DE83_.wvu.FilterData" hidden="1">#REF!</definedName>
    <definedName name="Z_F300E2D5_C458_4E4B_AB71_FF06367EF684_.wvu.FilterData" localSheetId="4" hidden="1">#REF!</definedName>
    <definedName name="Z_F300E2D5_C458_4E4B_AB71_FF06367EF684_.wvu.FilterData" localSheetId="7" hidden="1">#REF!</definedName>
    <definedName name="Z_F300E2D5_C458_4E4B_AB71_FF06367EF684_.wvu.FilterData" localSheetId="5" hidden="1">#REF!</definedName>
    <definedName name="Z_F300E2D5_C458_4E4B_AB71_FF06367EF684_.wvu.FilterData" localSheetId="2" hidden="1">#REF!</definedName>
    <definedName name="Z_F300E2D5_C458_4E4B_AB71_FF06367EF684_.wvu.FilterData" localSheetId="6" hidden="1">#REF!</definedName>
    <definedName name="Z_F300E2D5_C458_4E4B_AB71_FF06367EF684_.wvu.FilterData" hidden="1">#REF!</definedName>
    <definedName name="Z_F3F443DB_8EE1_48F9_9BF4_EAF21EDD719F_.wvu.FilterData" localSheetId="4" hidden="1">#REF!</definedName>
    <definedName name="Z_F3F443DB_8EE1_48F9_9BF4_EAF21EDD719F_.wvu.FilterData" localSheetId="7" hidden="1">#REF!</definedName>
    <definedName name="Z_F3F443DB_8EE1_48F9_9BF4_EAF21EDD719F_.wvu.FilterData" localSheetId="5" hidden="1">#REF!</definedName>
    <definedName name="Z_F3F443DB_8EE1_48F9_9BF4_EAF21EDD719F_.wvu.FilterData" localSheetId="2" hidden="1">#REF!</definedName>
    <definedName name="Z_F3F443DB_8EE1_48F9_9BF4_EAF21EDD719F_.wvu.FilterData" localSheetId="6" hidden="1">#REF!</definedName>
    <definedName name="Z_F3F443DB_8EE1_48F9_9BF4_EAF21EDD719F_.wvu.FilterData" hidden="1">#REF!</definedName>
    <definedName name="Z_F6923408_DB58_4A59_8717_D0133A922204_.wvu.FilterData" localSheetId="4" hidden="1">#REF!</definedName>
    <definedName name="Z_F6923408_DB58_4A59_8717_D0133A922204_.wvu.FilterData" localSheetId="7" hidden="1">#REF!</definedName>
    <definedName name="Z_F6923408_DB58_4A59_8717_D0133A922204_.wvu.FilterData" localSheetId="5" hidden="1">#REF!</definedName>
    <definedName name="Z_F6923408_DB58_4A59_8717_D0133A922204_.wvu.FilterData" localSheetId="2" hidden="1">#REF!</definedName>
    <definedName name="Z_F6923408_DB58_4A59_8717_D0133A922204_.wvu.FilterData" localSheetId="6" hidden="1">#REF!</definedName>
    <definedName name="Z_F6923408_DB58_4A59_8717_D0133A922204_.wvu.FilterData" hidden="1">#REF!</definedName>
    <definedName name="Z_F9CB3A99_6D24_412C_93C4_575819594890_.wvu.FilterData" localSheetId="4" hidden="1">#REF!</definedName>
    <definedName name="Z_F9CB3A99_6D24_412C_93C4_575819594890_.wvu.FilterData" localSheetId="7" hidden="1">#REF!</definedName>
    <definedName name="Z_F9CB3A99_6D24_412C_93C4_575819594890_.wvu.FilterData" localSheetId="5" hidden="1">#REF!</definedName>
    <definedName name="Z_F9CB3A99_6D24_412C_93C4_575819594890_.wvu.FilterData" localSheetId="2" hidden="1">#REF!</definedName>
    <definedName name="Z_F9CB3A99_6D24_412C_93C4_575819594890_.wvu.FilterData" localSheetId="6" hidden="1">#REF!</definedName>
    <definedName name="Z_F9CB3A99_6D24_412C_93C4_575819594890_.wvu.FilterData" hidden="1">#REF!</definedName>
    <definedName name="Z_FA40CB26_17FE_4901_96A4_2176E8FA5EEE_.wvu.FilterData" localSheetId="4" hidden="1">#REF!</definedName>
    <definedName name="Z_FA40CB26_17FE_4901_96A4_2176E8FA5EEE_.wvu.FilterData" localSheetId="7" hidden="1">#REF!</definedName>
    <definedName name="Z_FA40CB26_17FE_4901_96A4_2176E8FA5EEE_.wvu.FilterData" localSheetId="5" hidden="1">#REF!</definedName>
    <definedName name="Z_FA40CB26_17FE_4901_96A4_2176E8FA5EEE_.wvu.FilterData" localSheetId="2" hidden="1">#REF!</definedName>
    <definedName name="Z_FA40CB26_17FE_4901_96A4_2176E8FA5EEE_.wvu.FilterData" localSheetId="6" hidden="1">#REF!</definedName>
    <definedName name="Z_FA40CB26_17FE_4901_96A4_2176E8FA5EEE_.wvu.FilterData" hidden="1">#REF!</definedName>
    <definedName name="Z_FC4D1412_4B52_4393_A184_1BAD70B9C231_.wvu.FilterData" localSheetId="4" hidden="1">#REF!</definedName>
    <definedName name="Z_FC4D1412_4B52_4393_A184_1BAD70B9C231_.wvu.FilterData" localSheetId="7" hidden="1">#REF!</definedName>
    <definedName name="Z_FC4D1412_4B52_4393_A184_1BAD70B9C231_.wvu.FilterData" localSheetId="5" hidden="1">#REF!</definedName>
    <definedName name="Z_FC4D1412_4B52_4393_A184_1BAD70B9C231_.wvu.FilterData" localSheetId="2" hidden="1">#REF!</definedName>
    <definedName name="Z_FC4D1412_4B52_4393_A184_1BAD70B9C231_.wvu.FilterData" localSheetId="6" hidden="1">#REF!</definedName>
    <definedName name="Z_FC4D1412_4B52_4393_A184_1BAD70B9C231_.wvu.FilterData" hidden="1">#REF!</definedName>
    <definedName name="Z_FD259A29_AD61_4284_9BC7_5C3B20DD002B_.wvu.FilterData" localSheetId="4" hidden="1">#REF!</definedName>
    <definedName name="Z_FD259A29_AD61_4284_9BC7_5C3B20DD002B_.wvu.FilterData" localSheetId="7" hidden="1">#REF!</definedName>
    <definedName name="Z_FD259A29_AD61_4284_9BC7_5C3B20DD002B_.wvu.FilterData" localSheetId="5" hidden="1">#REF!</definedName>
    <definedName name="Z_FD259A29_AD61_4284_9BC7_5C3B20DD002B_.wvu.FilterData" localSheetId="2" hidden="1">#REF!</definedName>
    <definedName name="Z_FD259A29_AD61_4284_9BC7_5C3B20DD002B_.wvu.FilterData" localSheetId="6" hidden="1">#REF!</definedName>
    <definedName name="Z_FD259A29_AD61_4284_9BC7_5C3B20DD002B_.wvu.FilterData" hidden="1">#REF!</definedName>
    <definedName name="Z_FDFF93A6_D487_497C_8FA1_B8636451E74C_.wvu.FilterData" localSheetId="4" hidden="1">#REF!</definedName>
    <definedName name="Z_FDFF93A6_D487_497C_8FA1_B8636451E74C_.wvu.FilterData" localSheetId="7" hidden="1">#REF!</definedName>
    <definedName name="Z_FDFF93A6_D487_497C_8FA1_B8636451E74C_.wvu.FilterData" localSheetId="5" hidden="1">#REF!</definedName>
    <definedName name="Z_FDFF93A6_D487_497C_8FA1_B8636451E74C_.wvu.FilterData" localSheetId="2" hidden="1">#REF!</definedName>
    <definedName name="Z_FDFF93A6_D487_497C_8FA1_B8636451E74C_.wvu.FilterData" localSheetId="6" hidden="1">#REF!</definedName>
    <definedName name="Z_FDFF93A6_D487_497C_8FA1_B8636451E74C_.wvu.FilterData" hidden="1">#REF!</definedName>
    <definedName name="Z_FE37516D_56E4_424C_8DE6_6B2719F76EF4_.wvu.FilterData" localSheetId="4" hidden="1">#REF!</definedName>
    <definedName name="Z_FE37516D_56E4_424C_8DE6_6B2719F76EF4_.wvu.FilterData" localSheetId="7" hidden="1">#REF!</definedName>
    <definedName name="Z_FE37516D_56E4_424C_8DE6_6B2719F76EF4_.wvu.FilterData" localSheetId="5" hidden="1">#REF!</definedName>
    <definedName name="Z_FE37516D_56E4_424C_8DE6_6B2719F76EF4_.wvu.FilterData" localSheetId="2" hidden="1">#REF!</definedName>
    <definedName name="Z_FE37516D_56E4_424C_8DE6_6B2719F76EF4_.wvu.FilterData" localSheetId="6" hidden="1">#REF!</definedName>
    <definedName name="Z_FE37516D_56E4_424C_8DE6_6B2719F76EF4_.wvu.FilterData" hidden="1">#REF!</definedName>
    <definedName name="Z_FEBB3479_FB57_4CDC_BCCD_5D8B83257FC7_.wvu.FilterData" localSheetId="4" hidden="1">#REF!</definedName>
    <definedName name="Z_FEBB3479_FB57_4CDC_BCCD_5D8B83257FC7_.wvu.FilterData" localSheetId="7" hidden="1">#REF!</definedName>
    <definedName name="Z_FEBB3479_FB57_4CDC_BCCD_5D8B83257FC7_.wvu.FilterData" localSheetId="5" hidden="1">#REF!</definedName>
    <definedName name="Z_FEBB3479_FB57_4CDC_BCCD_5D8B83257FC7_.wvu.FilterData" localSheetId="2" hidden="1">#REF!</definedName>
    <definedName name="Z_FEBB3479_FB57_4CDC_BCCD_5D8B83257FC7_.wvu.FilterData" localSheetId="6" hidden="1">#REF!</definedName>
    <definedName name="Z_FEBB3479_FB57_4CDC_BCCD_5D8B83257FC7_.wvu.FilterData" hidden="1">#REF!</definedName>
    <definedName name="zzz" localSheetId="4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3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7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5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2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6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8" i="6" l="1"/>
  <c r="N148" i="6" s="1"/>
  <c r="P61" i="8"/>
  <c r="J166" i="6"/>
  <c r="K178" i="6"/>
  <c r="J18" i="5" s="1"/>
  <c r="L18" i="5" s="1"/>
  <c r="N18" i="5" s="1"/>
  <c r="L178" i="6"/>
  <c r="N170" i="6"/>
  <c r="N171" i="6"/>
  <c r="N169" i="6"/>
  <c r="M171" i="6"/>
  <c r="M170" i="6"/>
  <c r="M169" i="6"/>
  <c r="J178" i="6"/>
  <c r="M178" i="6" l="1"/>
  <c r="N178" i="6"/>
  <c r="N181" i="6" s="1"/>
  <c r="I18" i="5"/>
  <c r="O18" i="5" s="1"/>
  <c r="Q18" i="5" s="1"/>
  <c r="J16" i="5"/>
  <c r="L16" i="5" s="1"/>
  <c r="N16" i="5" s="1"/>
  <c r="K92" i="7"/>
  <c r="I92" i="7"/>
  <c r="I95" i="7" s="1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10" i="7"/>
  <c r="I11" i="7"/>
  <c r="I12" i="7"/>
  <c r="I9" i="7"/>
  <c r="O34" i="5"/>
  <c r="P34" i="5"/>
  <c r="Q32" i="5"/>
  <c r="Q34" i="5" s="1"/>
  <c r="P32" i="5"/>
  <c r="O61" i="8"/>
  <c r="P57" i="8"/>
  <c r="P56" i="8"/>
  <c r="P55" i="8"/>
  <c r="P54" i="8"/>
  <c r="P53" i="8"/>
  <c r="P52" i="8"/>
  <c r="P51" i="8"/>
  <c r="P50" i="8"/>
  <c r="P49" i="8"/>
  <c r="P48" i="8"/>
  <c r="P47" i="8"/>
  <c r="P46" i="8"/>
  <c r="P45" i="8"/>
  <c r="P44" i="8"/>
  <c r="P43" i="8"/>
  <c r="P42" i="8"/>
  <c r="P41" i="8"/>
  <c r="P40" i="8"/>
  <c r="P39" i="8"/>
  <c r="P38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31" i="5"/>
  <c r="P17" i="5"/>
  <c r="P28" i="5" s="1"/>
  <c r="Q15" i="5"/>
  <c r="P15" i="5"/>
  <c r="P16" i="5"/>
  <c r="M17" i="5"/>
  <c r="L168" i="7"/>
  <c r="L162" i="7"/>
  <c r="L161" i="7"/>
  <c r="L160" i="7"/>
  <c r="L159" i="7"/>
  <c r="L158" i="7"/>
  <c r="L157" i="7"/>
  <c r="L156" i="7"/>
  <c r="I90" i="7"/>
  <c r="I89" i="7"/>
  <c r="I88" i="7"/>
  <c r="I87" i="7"/>
  <c r="I86" i="7"/>
  <c r="I85" i="7"/>
  <c r="I84" i="7"/>
  <c r="I83" i="7"/>
  <c r="I82" i="7"/>
  <c r="N15" i="5"/>
  <c r="M15" i="5"/>
  <c r="M16" i="5"/>
  <c r="I16" i="5"/>
  <c r="M163" i="6"/>
  <c r="N163" i="6" s="1"/>
  <c r="M162" i="6"/>
  <c r="N162" i="6" s="1"/>
  <c r="M161" i="6"/>
  <c r="N161" i="6" s="1"/>
  <c r="M160" i="6"/>
  <c r="N160" i="6" s="1"/>
  <c r="M159" i="6"/>
  <c r="N159" i="6" s="1"/>
  <c r="M158" i="6"/>
  <c r="N158" i="6" s="1"/>
  <c r="M157" i="6"/>
  <c r="N157" i="6" s="1"/>
  <c r="M156" i="6"/>
  <c r="N156" i="6" s="1"/>
  <c r="M155" i="6"/>
  <c r="N155" i="6" s="1"/>
  <c r="M154" i="6"/>
  <c r="N154" i="6" s="1"/>
  <c r="M153" i="6"/>
  <c r="N153" i="6" s="1"/>
  <c r="M152" i="6"/>
  <c r="N152" i="6" s="1"/>
  <c r="M151" i="6"/>
  <c r="N151" i="6" s="1"/>
  <c r="M150" i="6"/>
  <c r="N150" i="6" s="1"/>
  <c r="M149" i="6"/>
  <c r="N149" i="6" s="1"/>
  <c r="M147" i="6"/>
  <c r="N147" i="6" s="1"/>
  <c r="M146" i="6"/>
  <c r="N146" i="6" s="1"/>
  <c r="M145" i="6"/>
  <c r="N145" i="6" s="1"/>
  <c r="M144" i="6"/>
  <c r="N144" i="6" s="1"/>
  <c r="M143" i="6"/>
  <c r="N143" i="6" s="1"/>
  <c r="M142" i="6"/>
  <c r="N142" i="6" s="1"/>
  <c r="M141" i="6"/>
  <c r="N141" i="6" s="1"/>
  <c r="M140" i="6"/>
  <c r="N140" i="6" s="1"/>
  <c r="M139" i="6"/>
  <c r="N139" i="6" s="1"/>
  <c r="M138" i="6"/>
  <c r="N138" i="6" s="1"/>
  <c r="M137" i="6"/>
  <c r="N137" i="6" s="1"/>
  <c r="M136" i="6"/>
  <c r="N136" i="6" s="1"/>
  <c r="M135" i="6"/>
  <c r="N135" i="6" s="1"/>
  <c r="M134" i="6"/>
  <c r="N134" i="6" s="1"/>
  <c r="M133" i="6"/>
  <c r="N133" i="6" s="1"/>
  <c r="M132" i="6"/>
  <c r="N132" i="6" s="1"/>
  <c r="M131" i="6"/>
  <c r="N131" i="6" s="1"/>
  <c r="M130" i="6"/>
  <c r="N130" i="6" s="1"/>
  <c r="M129" i="6"/>
  <c r="N129" i="6" s="1"/>
  <c r="M128" i="6"/>
  <c r="N128" i="6" s="1"/>
  <c r="M127" i="6"/>
  <c r="N127" i="6" s="1"/>
  <c r="M126" i="6"/>
  <c r="N126" i="6" s="1"/>
  <c r="M125" i="6"/>
  <c r="N125" i="6" s="1"/>
  <c r="M124" i="6"/>
  <c r="N124" i="6" s="1"/>
  <c r="M123" i="6"/>
  <c r="N123" i="6" s="1"/>
  <c r="M122" i="6"/>
  <c r="N122" i="6" s="1"/>
  <c r="M121" i="6"/>
  <c r="N121" i="6" s="1"/>
  <c r="M120" i="6"/>
  <c r="N120" i="6" s="1"/>
  <c r="M119" i="6"/>
  <c r="N119" i="6" s="1"/>
  <c r="M118" i="6"/>
  <c r="N118" i="6" s="1"/>
  <c r="M117" i="6"/>
  <c r="N117" i="6" s="1"/>
  <c r="M116" i="6"/>
  <c r="N116" i="6" s="1"/>
  <c r="M115" i="6"/>
  <c r="N115" i="6" s="1"/>
  <c r="M114" i="6"/>
  <c r="N114" i="6" s="1"/>
  <c r="M113" i="6"/>
  <c r="N113" i="6" s="1"/>
  <c r="M112" i="6"/>
  <c r="N112" i="6" s="1"/>
  <c r="M111" i="6"/>
  <c r="N111" i="6" s="1"/>
  <c r="M110" i="6"/>
  <c r="N110" i="6" s="1"/>
  <c r="M109" i="6"/>
  <c r="N109" i="6" s="1"/>
  <c r="M108" i="6"/>
  <c r="N108" i="6" s="1"/>
  <c r="M107" i="6"/>
  <c r="N107" i="6" s="1"/>
  <c r="M106" i="6"/>
  <c r="N106" i="6" s="1"/>
  <c r="M105" i="6"/>
  <c r="N105" i="6" s="1"/>
  <c r="M104" i="6"/>
  <c r="N104" i="6" s="1"/>
  <c r="M103" i="6"/>
  <c r="N103" i="6" s="1"/>
  <c r="M102" i="6"/>
  <c r="N102" i="6" s="1"/>
  <c r="M101" i="6"/>
  <c r="N101" i="6" s="1"/>
  <c r="M100" i="6"/>
  <c r="N100" i="6" s="1"/>
  <c r="M99" i="6"/>
  <c r="N99" i="6" s="1"/>
  <c r="M98" i="6"/>
  <c r="N98" i="6" s="1"/>
  <c r="M97" i="6"/>
  <c r="N97" i="6" s="1"/>
  <c r="M96" i="6"/>
  <c r="N96" i="6" s="1"/>
  <c r="M95" i="6"/>
  <c r="N95" i="6" s="1"/>
  <c r="M94" i="6"/>
  <c r="N94" i="6" s="1"/>
  <c r="M93" i="6"/>
  <c r="N93" i="6" s="1"/>
  <c r="M92" i="6"/>
  <c r="N92" i="6" s="1"/>
  <c r="M91" i="6"/>
  <c r="N91" i="6" s="1"/>
  <c r="M90" i="6"/>
  <c r="N90" i="6" s="1"/>
  <c r="M89" i="6"/>
  <c r="N89" i="6" s="1"/>
  <c r="M88" i="6"/>
  <c r="N88" i="6" s="1"/>
  <c r="M87" i="6"/>
  <c r="N87" i="6" s="1"/>
  <c r="M86" i="6"/>
  <c r="N86" i="6" s="1"/>
  <c r="M85" i="6"/>
  <c r="N85" i="6" s="1"/>
  <c r="M84" i="6"/>
  <c r="N84" i="6" s="1"/>
  <c r="M83" i="6"/>
  <c r="N83" i="6" s="1"/>
  <c r="M82" i="6"/>
  <c r="N82" i="6" s="1"/>
  <c r="M81" i="6"/>
  <c r="N81" i="6" s="1"/>
  <c r="M80" i="6"/>
  <c r="N80" i="6" s="1"/>
  <c r="M79" i="6"/>
  <c r="N79" i="6" s="1"/>
  <c r="M78" i="6"/>
  <c r="N78" i="6" s="1"/>
  <c r="M77" i="6"/>
  <c r="N77" i="6" s="1"/>
  <c r="M76" i="6"/>
  <c r="N76" i="6" s="1"/>
  <c r="M75" i="6"/>
  <c r="N75" i="6" s="1"/>
  <c r="M74" i="6"/>
  <c r="N74" i="6" s="1"/>
  <c r="M73" i="6"/>
  <c r="N73" i="6" s="1"/>
  <c r="M72" i="6"/>
  <c r="N72" i="6" s="1"/>
  <c r="M71" i="6"/>
  <c r="N71" i="6" s="1"/>
  <c r="M70" i="6"/>
  <c r="N70" i="6" s="1"/>
  <c r="M69" i="6"/>
  <c r="N69" i="6" s="1"/>
  <c r="M68" i="6"/>
  <c r="N68" i="6" s="1"/>
  <c r="M67" i="6"/>
  <c r="N67" i="6" s="1"/>
  <c r="M66" i="6"/>
  <c r="N66" i="6" s="1"/>
  <c r="M65" i="6"/>
  <c r="N65" i="6" s="1"/>
  <c r="M64" i="6"/>
  <c r="N64" i="6" s="1"/>
  <c r="M63" i="6"/>
  <c r="N63" i="6" s="1"/>
  <c r="M62" i="6"/>
  <c r="N62" i="6" s="1"/>
  <c r="M61" i="6"/>
  <c r="N61" i="6" s="1"/>
  <c r="M60" i="6"/>
  <c r="N60" i="6" s="1"/>
  <c r="M59" i="6"/>
  <c r="N59" i="6" s="1"/>
  <c r="M58" i="6"/>
  <c r="N58" i="6" s="1"/>
  <c r="M57" i="6"/>
  <c r="N57" i="6" s="1"/>
  <c r="M56" i="6"/>
  <c r="N56" i="6" s="1"/>
  <c r="M55" i="6"/>
  <c r="N55" i="6" s="1"/>
  <c r="M54" i="6"/>
  <c r="N54" i="6" s="1"/>
  <c r="M53" i="6"/>
  <c r="N53" i="6" s="1"/>
  <c r="M52" i="6"/>
  <c r="N52" i="6" s="1"/>
  <c r="M51" i="6"/>
  <c r="N51" i="6" s="1"/>
  <c r="M50" i="6"/>
  <c r="N50" i="6" s="1"/>
  <c r="M49" i="6"/>
  <c r="N49" i="6" s="1"/>
  <c r="M48" i="6"/>
  <c r="N48" i="6" s="1"/>
  <c r="M47" i="6"/>
  <c r="N47" i="6" s="1"/>
  <c r="M46" i="6"/>
  <c r="N46" i="6" s="1"/>
  <c r="M45" i="6"/>
  <c r="N45" i="6" s="1"/>
  <c r="M44" i="6"/>
  <c r="N44" i="6" s="1"/>
  <c r="M43" i="6"/>
  <c r="N43" i="6" s="1"/>
  <c r="M42" i="6"/>
  <c r="N42" i="6" s="1"/>
  <c r="M41" i="6"/>
  <c r="N41" i="6" s="1"/>
  <c r="M40" i="6"/>
  <c r="N40" i="6" s="1"/>
  <c r="M39" i="6"/>
  <c r="N39" i="6" s="1"/>
  <c r="M38" i="6"/>
  <c r="N38" i="6" s="1"/>
  <c r="M37" i="6"/>
  <c r="N37" i="6" s="1"/>
  <c r="M36" i="6"/>
  <c r="N36" i="6" s="1"/>
  <c r="M35" i="6"/>
  <c r="N35" i="6" s="1"/>
  <c r="M34" i="6"/>
  <c r="N34" i="6" s="1"/>
  <c r="M33" i="6"/>
  <c r="N33" i="6" s="1"/>
  <c r="M32" i="6"/>
  <c r="N32" i="6" s="1"/>
  <c r="M31" i="6"/>
  <c r="N31" i="6" s="1"/>
  <c r="M30" i="6"/>
  <c r="N30" i="6" s="1"/>
  <c r="M29" i="6"/>
  <c r="N29" i="6" s="1"/>
  <c r="M28" i="6"/>
  <c r="N28" i="6" s="1"/>
  <c r="M27" i="6"/>
  <c r="N27" i="6" s="1"/>
  <c r="M26" i="6"/>
  <c r="N26" i="6" s="1"/>
  <c r="M25" i="6"/>
  <c r="N25" i="6" s="1"/>
  <c r="M24" i="6"/>
  <c r="N24" i="6" s="1"/>
  <c r="M23" i="6"/>
  <c r="N23" i="6" s="1"/>
  <c r="M22" i="6"/>
  <c r="N22" i="6" s="1"/>
  <c r="M21" i="6"/>
  <c r="N21" i="6" s="1"/>
  <c r="M20" i="6"/>
  <c r="N20" i="6" s="1"/>
  <c r="M19" i="6"/>
  <c r="N19" i="6" s="1"/>
  <c r="M18" i="6"/>
  <c r="N18" i="6" s="1"/>
  <c r="M17" i="6"/>
  <c r="N17" i="6" s="1"/>
  <c r="M16" i="6"/>
  <c r="N16" i="6" s="1"/>
  <c r="M15" i="6"/>
  <c r="N15" i="6" s="1"/>
  <c r="M14" i="6"/>
  <c r="N14" i="6" s="1"/>
  <c r="M13" i="6"/>
  <c r="N13" i="6" s="1"/>
  <c r="M12" i="6"/>
  <c r="M11" i="6"/>
  <c r="M10" i="6"/>
  <c r="O31" i="5"/>
  <c r="Q31" i="5" s="1"/>
  <c r="Q26" i="5"/>
  <c r="N12" i="6" l="1"/>
  <c r="M166" i="6"/>
  <c r="N183" i="6" s="1"/>
  <c r="O64" i="8"/>
  <c r="O65" i="8" s="1"/>
  <c r="N11" i="6"/>
  <c r="N10" i="6"/>
  <c r="J92" i="7"/>
  <c r="J95" i="7" s="1"/>
  <c r="I17" i="5" s="1"/>
  <c r="N184" i="6" l="1"/>
  <c r="K166" i="6"/>
  <c r="K16" i="5" s="1"/>
  <c r="O16" i="5" s="1"/>
  <c r="K95" i="7"/>
  <c r="K97" i="7"/>
  <c r="J17" i="5"/>
  <c r="Q16" i="5" l="1"/>
  <c r="N166" i="6"/>
  <c r="L17" i="5"/>
  <c r="N17" i="5" s="1"/>
  <c r="O17" i="5"/>
  <c r="O28" i="5" s="1"/>
  <c r="Q17" i="5" l="1"/>
  <c r="Q28" i="5" l="1"/>
  <c r="Q36" i="5" s="1"/>
  <c r="O36" i="5"/>
  <c r="O42" i="5" l="1"/>
  <c r="O46" i="5" s="1"/>
  <c r="O28" i="1" l="1"/>
  <c r="O27" i="1"/>
  <c r="P24" i="1"/>
  <c r="O24" i="1"/>
  <c r="Q24" i="1"/>
  <c r="Q16" i="1"/>
  <c r="Q17" i="1"/>
  <c r="Q15" i="1"/>
  <c r="O17" i="1"/>
  <c r="O16" i="1"/>
  <c r="O15" i="1"/>
  <c r="N16" i="1"/>
  <c r="N17" i="1"/>
  <c r="N15" i="1"/>
  <c r="L17" i="1"/>
  <c r="L16" i="1"/>
  <c r="L15" i="1"/>
  <c r="K16" i="1"/>
  <c r="K15" i="1"/>
  <c r="I17" i="1"/>
  <c r="J17" i="1"/>
  <c r="J15" i="1"/>
  <c r="J16" i="1"/>
  <c r="I16" i="1"/>
  <c r="I15" i="1"/>
  <c r="O72" i="4"/>
  <c r="O70" i="4"/>
  <c r="L33" i="3"/>
  <c r="K33" i="3" s="1"/>
  <c r="J33" i="3"/>
  <c r="N76" i="2"/>
  <c r="N75" i="2"/>
  <c r="N74" i="2"/>
  <c r="M71" i="2"/>
  <c r="K71" i="2" l="1"/>
  <c r="N71" i="2" s="1"/>
  <c r="J71" i="2"/>
  <c r="M35" i="2"/>
  <c r="K35" i="2"/>
  <c r="N35" i="2" s="1"/>
  <c r="J35" i="2"/>
  <c r="Q27" i="1"/>
  <c r="P50" i="4"/>
  <c r="P49" i="4"/>
  <c r="P48" i="4"/>
  <c r="P47" i="4"/>
  <c r="O67" i="4" s="1"/>
  <c r="O73" i="4" s="1"/>
  <c r="P46" i="4"/>
  <c r="P45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O41" i="4" s="1"/>
  <c r="P10" i="4"/>
  <c r="P9" i="4"/>
  <c r="M109" i="3"/>
  <c r="M103" i="3"/>
  <c r="M102" i="3"/>
  <c r="M101" i="3"/>
  <c r="M100" i="3"/>
  <c r="M99" i="3"/>
  <c r="M98" i="3"/>
  <c r="M97" i="3"/>
  <c r="J36" i="3"/>
  <c r="K36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L71" i="2"/>
  <c r="N69" i="2"/>
  <c r="M69" i="2"/>
  <c r="N68" i="2"/>
  <c r="M68" i="2"/>
  <c r="N67" i="2"/>
  <c r="M67" i="2"/>
  <c r="N66" i="2"/>
  <c r="M66" i="2"/>
  <c r="N65" i="2"/>
  <c r="M65" i="2"/>
  <c r="N64" i="2"/>
  <c r="M64" i="2"/>
  <c r="N63" i="2"/>
  <c r="M63" i="2"/>
  <c r="N62" i="2"/>
  <c r="M62" i="2"/>
  <c r="N61" i="2"/>
  <c r="M61" i="2"/>
  <c r="N60" i="2"/>
  <c r="M60" i="2"/>
  <c r="N59" i="2"/>
  <c r="M59" i="2"/>
  <c r="N58" i="2"/>
  <c r="M58" i="2"/>
  <c r="N57" i="2"/>
  <c r="M57" i="2"/>
  <c r="N56" i="2"/>
  <c r="M56" i="2"/>
  <c r="N55" i="2"/>
  <c r="M55" i="2"/>
  <c r="N54" i="2"/>
  <c r="M54" i="2"/>
  <c r="N53" i="2"/>
  <c r="M53" i="2"/>
  <c r="N52" i="2"/>
  <c r="M52" i="2"/>
  <c r="N51" i="2"/>
  <c r="M51" i="2"/>
  <c r="N50" i="2"/>
  <c r="M50" i="2"/>
  <c r="N49" i="2"/>
  <c r="M49" i="2"/>
  <c r="N48" i="2"/>
  <c r="M48" i="2"/>
  <c r="N47" i="2"/>
  <c r="M47" i="2"/>
  <c r="N46" i="2"/>
  <c r="M46" i="2"/>
  <c r="N45" i="2"/>
  <c r="M45" i="2"/>
  <c r="N44" i="2"/>
  <c r="M44" i="2"/>
  <c r="N43" i="2"/>
  <c r="M43" i="2"/>
  <c r="N42" i="2"/>
  <c r="M42" i="2"/>
  <c r="N41" i="2"/>
  <c r="M41" i="2"/>
  <c r="N40" i="2"/>
  <c r="M40" i="2"/>
  <c r="N39" i="2"/>
  <c r="M39" i="2"/>
  <c r="N31" i="2"/>
  <c r="M31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N18" i="2"/>
  <c r="M18" i="2"/>
  <c r="N17" i="2"/>
  <c r="M17" i="2"/>
  <c r="N16" i="2"/>
  <c r="M16" i="2"/>
  <c r="N15" i="2"/>
  <c r="M15" i="2"/>
  <c r="N14" i="2"/>
  <c r="M14" i="2"/>
  <c r="N13" i="2"/>
  <c r="M13" i="2"/>
  <c r="N12" i="2"/>
  <c r="M12" i="2"/>
  <c r="N11" i="2"/>
  <c r="M11" i="2"/>
  <c r="N10" i="2"/>
  <c r="M10" i="2"/>
  <c r="P30" i="1"/>
  <c r="P32" i="1" s="1"/>
  <c r="Q28" i="1"/>
  <c r="O30" i="1"/>
  <c r="Q22" i="1"/>
  <c r="Q30" i="1" l="1"/>
  <c r="Q32" i="1" s="1"/>
  <c r="L36" i="3"/>
  <c r="L38" i="3" s="1"/>
  <c r="O32" i="1" l="1"/>
  <c r="O38" i="1" s="1"/>
  <c r="O4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Samantha Zangaro dos Santos</author>
  </authors>
  <commentList>
    <comment ref="A5" authorId="0" shapeId="0" xr:uid="{37279931-018F-4DF3-B0BC-D2F4BB3A1499}">
      <text>
        <r>
          <rPr>
            <b/>
            <sz val="9"/>
            <color indexed="81"/>
            <rFont val="Segoe UI"/>
            <family val="2"/>
          </rPr>
          <t>PREENCHER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Samantha Zangaro dos Santos</author>
  </authors>
  <commentList>
    <comment ref="B5" authorId="0" shapeId="0" xr:uid="{EF825928-41FC-4AE1-9C33-74502BA42439}">
      <text>
        <r>
          <rPr>
            <b/>
            <sz val="9"/>
            <color indexed="81"/>
            <rFont val="Segoe UI"/>
            <family val="2"/>
          </rPr>
          <t>PREENCHER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5" authorId="0" shapeId="0" xr:uid="{F6D0C963-F2B3-4505-B15F-8B082B8ED0B9}">
      <text>
        <r>
          <rPr>
            <b/>
            <sz val="9"/>
            <color indexed="81"/>
            <rFont val="Segoe UI"/>
            <family val="2"/>
          </rPr>
          <t>PREENCHER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5" authorId="0" shapeId="0" xr:uid="{D914BEAF-2E6A-4D27-9AA2-51FAC64D4626}">
      <text>
        <r>
          <rPr>
            <b/>
            <sz val="9"/>
            <color indexed="81"/>
            <rFont val="Segoe UI"/>
            <family val="2"/>
          </rPr>
          <t>PREENCHER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5" authorId="0" shapeId="0" xr:uid="{61E28606-6166-46E4-9448-35E3BBD5FDD4}">
      <text>
        <r>
          <rPr>
            <b/>
            <sz val="9"/>
            <color indexed="81"/>
            <rFont val="Segoe UI"/>
            <family val="2"/>
          </rPr>
          <t>PREENCHER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H5" authorId="0" shapeId="0" xr:uid="{D3EA31F0-54EE-4F93-A493-9A0D76781B5E}">
      <text>
        <r>
          <rPr>
            <b/>
            <sz val="9"/>
            <color indexed="81"/>
            <rFont val="Segoe UI"/>
            <family val="2"/>
          </rPr>
          <t>PREENCHER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Samantha Zangaro dos Santos</author>
  </authors>
  <commentList>
    <comment ref="A5" authorId="0" shapeId="0" xr:uid="{410F515A-A2A5-48DC-BF52-3C6642461039}">
      <text>
        <r>
          <rPr>
            <b/>
            <sz val="9"/>
            <color indexed="81"/>
            <rFont val="Segoe UI"/>
            <family val="2"/>
          </rPr>
          <t>PREENCHER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Samantha Zangaro dos Santos</author>
  </authors>
  <commentList>
    <comment ref="B5" authorId="0" shapeId="0" xr:uid="{CC61E1D9-5E5F-422B-9FFD-FE508D6F7893}">
      <text>
        <r>
          <rPr>
            <b/>
            <sz val="9"/>
            <color indexed="81"/>
            <rFont val="Segoe UI"/>
            <family val="2"/>
          </rPr>
          <t>PREENCHER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5" authorId="0" shapeId="0" xr:uid="{5B86BAA3-D310-46D2-8B29-7596FF19D356}">
      <text>
        <r>
          <rPr>
            <b/>
            <sz val="9"/>
            <color indexed="81"/>
            <rFont val="Segoe UI"/>
            <family val="2"/>
          </rPr>
          <t>PREENCHER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5" authorId="0" shapeId="0" xr:uid="{78651AA0-8230-4F2F-B342-2D8BAFDEB892}">
      <text>
        <r>
          <rPr>
            <b/>
            <sz val="9"/>
            <color indexed="81"/>
            <rFont val="Segoe UI"/>
            <family val="2"/>
          </rPr>
          <t>PREENCHER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5" authorId="0" shapeId="0" xr:uid="{4D4AB9BD-78C7-4A5F-9AF0-210937251CA7}">
      <text>
        <r>
          <rPr>
            <b/>
            <sz val="9"/>
            <color indexed="81"/>
            <rFont val="Segoe UI"/>
            <family val="2"/>
          </rPr>
          <t>PREENCHER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H5" authorId="0" shapeId="0" xr:uid="{222D4925-0928-48A1-99FD-F3AE723980F4}">
      <text>
        <r>
          <rPr>
            <b/>
            <sz val="9"/>
            <color indexed="81"/>
            <rFont val="Segoe UI"/>
            <family val="2"/>
          </rPr>
          <t>PREENCHER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<sst xmlns="http://schemas.openxmlformats.org/spreadsheetml/2006/main" count="2393" uniqueCount="425">
  <si>
    <t>BOLETIM DE MEDIÇÃO</t>
  </si>
  <si>
    <t>CONTRATADA:</t>
  </si>
  <si>
    <t xml:space="preserve">GAMERIM TRANSPORTES </t>
  </si>
  <si>
    <t>OBRA:</t>
  </si>
  <si>
    <t xml:space="preserve"> EV - ATA 97/2025 ; EV - 011/2026</t>
  </si>
  <si>
    <t>PAGAMENTO:</t>
  </si>
  <si>
    <t>DEPÓSITO CONTA CORRENTE</t>
  </si>
  <si>
    <t xml:space="preserve"> TIPO:</t>
  </si>
  <si>
    <t xml:space="preserve">TRANSPORTE DE CBUQ E AGREGADO </t>
  </si>
  <si>
    <t>PERÍODO:</t>
  </si>
  <si>
    <t>01/02/2026 A 28/02/2026</t>
  </si>
  <si>
    <t>CPF / CNPJ</t>
  </si>
  <si>
    <t>19.215.279/0001-30</t>
  </si>
  <si>
    <t>EMISSÃO:</t>
  </si>
  <si>
    <t>MEDIÇÃO:</t>
  </si>
  <si>
    <t>MÊS:</t>
  </si>
  <si>
    <t>VENCIMENTO:</t>
  </si>
  <si>
    <t>ITEM</t>
  </si>
  <si>
    <t>MATERIAL</t>
  </si>
  <si>
    <t>DISCRIMINAÇÃO</t>
  </si>
  <si>
    <t>UNIDADE
DE MEDIDA</t>
  </si>
  <si>
    <t>PREÇO</t>
  </si>
  <si>
    <t>QUANTIDADE</t>
  </si>
  <si>
    <t>DIST. MÉDIA</t>
  </si>
  <si>
    <t>QUANTIDADES</t>
  </si>
  <si>
    <t>VALORES (R$)</t>
  </si>
  <si>
    <t>UNITÁRIO</t>
  </si>
  <si>
    <t>CONTRATADA</t>
  </si>
  <si>
    <t xml:space="preserve">MEDIÇÃO </t>
  </si>
  <si>
    <t>ANTERIOR</t>
  </si>
  <si>
    <t>ACUMULADA</t>
  </si>
  <si>
    <t>ACUMULADO</t>
  </si>
  <si>
    <t>KM*TON</t>
  </si>
  <si>
    <t xml:space="preserve">C.B.U.Q </t>
  </si>
  <si>
    <t xml:space="preserve">TRANSPORTE DE CBUQ  EV - ATA 97/2025 </t>
  </si>
  <si>
    <t>TRANSPORTE DE CBUQ  EV - C 011/2026</t>
  </si>
  <si>
    <t>-</t>
  </si>
  <si>
    <t>PEDÁGIO EV - C 011/2026</t>
  </si>
  <si>
    <t>EIXO</t>
  </si>
  <si>
    <t>TOTAL</t>
  </si>
  <si>
    <t>DEDUÇÕES</t>
  </si>
  <si>
    <t>DEDUÇÃO DE FORNECIMENTO DE MATERIAIS</t>
  </si>
  <si>
    <t>VALORES NESTA MEDIÇÃO</t>
  </si>
  <si>
    <t>VALORES ANTERIORES</t>
  </si>
  <si>
    <t>VALORES ACUMULADOS</t>
  </si>
  <si>
    <t xml:space="preserve"> DESCONTOS - EV - C 011/2026</t>
  </si>
  <si>
    <t xml:space="preserve"> DESCONTOS  EV - ATA 97/2025</t>
  </si>
  <si>
    <t>VALORES LÍQUIDOS MEDIÇÃO DE PRESTAÇÃO DE SERVIÇO</t>
  </si>
  <si>
    <t>CRÉDITOS</t>
  </si>
  <si>
    <t>VALOR</t>
  </si>
  <si>
    <t>OBSERVAÇÕES:</t>
  </si>
  <si>
    <t>BANCO: BANCO SICREDI    748</t>
  </si>
  <si>
    <t>TOTAL LÍQUIDO</t>
  </si>
  <si>
    <t>AGÊNCIA: 0730</t>
  </si>
  <si>
    <t>Retenções</t>
  </si>
  <si>
    <t>ISSQN</t>
  </si>
  <si>
    <t>CONTA CORRENTE: 24804-8</t>
  </si>
  <si>
    <t>INSS</t>
  </si>
  <si>
    <t>CNPJ: 19.215.297/0001-30</t>
  </si>
  <si>
    <t>CONTRATUAL</t>
  </si>
  <si>
    <t>TOTAL A PAGAR &gt;&gt;&gt;</t>
  </si>
  <si>
    <t/>
  </si>
  <si>
    <t>DATA</t>
  </si>
  <si>
    <t>Nº TICKET</t>
  </si>
  <si>
    <t>OBRA</t>
  </si>
  <si>
    <t>PLACA</t>
  </si>
  <si>
    <t>FORNECEDOR</t>
  </si>
  <si>
    <t>UN.</t>
  </si>
  <si>
    <t>QUANT.</t>
  </si>
  <si>
    <t xml:space="preserve">DISTÂNCIA KM </t>
  </si>
  <si>
    <t>FRETE</t>
  </si>
  <si>
    <t>R$ UNIT.</t>
  </si>
  <si>
    <t>R$ TOTAL</t>
  </si>
  <si>
    <t>RESUMO  EV - ATA 097/2025</t>
  </si>
  <si>
    <t xml:space="preserve">Equipe EDINALDO </t>
  </si>
  <si>
    <t>TKB-040350</t>
  </si>
  <si>
    <t>EV - ATA 097/2025</t>
  </si>
  <si>
    <t>APL6A61</t>
  </si>
  <si>
    <t xml:space="preserve">M.A.D.P </t>
  </si>
  <si>
    <t>C.B.U.Q. FAIXA "F"</t>
  </si>
  <si>
    <t>TKB-040334</t>
  </si>
  <si>
    <t>ASZ2712</t>
  </si>
  <si>
    <t>TKB-040341</t>
  </si>
  <si>
    <t>MBU2710</t>
  </si>
  <si>
    <t>TKB-040340</t>
  </si>
  <si>
    <t>HQG6J32</t>
  </si>
  <si>
    <t>TKB-040349</t>
  </si>
  <si>
    <t>TKB-040335</t>
  </si>
  <si>
    <t>TKB-040338</t>
  </si>
  <si>
    <t>ARP7879</t>
  </si>
  <si>
    <t>TKB-040359</t>
  </si>
  <si>
    <t>TKB-040405</t>
  </si>
  <si>
    <t>TKB-040404</t>
  </si>
  <si>
    <t>AUT5G68</t>
  </si>
  <si>
    <t>C.B.U.Q. FAIXA "C"</t>
  </si>
  <si>
    <t>TKB-040421</t>
  </si>
  <si>
    <t>TKB-040426</t>
  </si>
  <si>
    <t>ATN3B14</t>
  </si>
  <si>
    <t>TKB-040423</t>
  </si>
  <si>
    <t>ERD6B73</t>
  </si>
  <si>
    <t>TKB-040422</t>
  </si>
  <si>
    <t>RXX6A82</t>
  </si>
  <si>
    <t>TKB-040437</t>
  </si>
  <si>
    <t>TKB-040431</t>
  </si>
  <si>
    <t>TKB-040443</t>
  </si>
  <si>
    <t>TKB-040442</t>
  </si>
  <si>
    <t>TKB-040428</t>
  </si>
  <si>
    <t>JBD2H88</t>
  </si>
  <si>
    <t>TKB-040446</t>
  </si>
  <si>
    <t>TKB-040438</t>
  </si>
  <si>
    <t>TKB-040459</t>
  </si>
  <si>
    <t>RESUMO EV - C 011/2025</t>
  </si>
  <si>
    <t>TKB-040511</t>
  </si>
  <si>
    <t>EV - C 011/2025</t>
  </si>
  <si>
    <t>TKB-040514</t>
  </si>
  <si>
    <t>TKB-040509</t>
  </si>
  <si>
    <t>TKB-040505</t>
  </si>
  <si>
    <t>AUJ2962</t>
  </si>
  <si>
    <t>TKB-040501</t>
  </si>
  <si>
    <t>TKB-040512</t>
  </si>
  <si>
    <t>AUN7D32</t>
  </si>
  <si>
    <t>TKB-040507</t>
  </si>
  <si>
    <t>AWS5D97</t>
  </si>
  <si>
    <t>TKB-040544</t>
  </si>
  <si>
    <t>AOJ5E40</t>
  </si>
  <si>
    <t>TKB-040541</t>
  </si>
  <si>
    <t>TKB-040542</t>
  </si>
  <si>
    <t>APP8D73</t>
  </si>
  <si>
    <t>TKB-040549</t>
  </si>
  <si>
    <t>TKB-040551</t>
  </si>
  <si>
    <t>TKB-040548</t>
  </si>
  <si>
    <t>ASE0E48</t>
  </si>
  <si>
    <t>TKB-040569</t>
  </si>
  <si>
    <t>BTO4E72</t>
  </si>
  <si>
    <t>TKB-040572</t>
  </si>
  <si>
    <t>TKB-040577</t>
  </si>
  <si>
    <t>MDG7G14</t>
  </si>
  <si>
    <t>TKB-040575</t>
  </si>
  <si>
    <t>BSF5I16</t>
  </si>
  <si>
    <t>TKB-040620</t>
  </si>
  <si>
    <t>TKB-040614</t>
  </si>
  <si>
    <t>TKB-040623</t>
  </si>
  <si>
    <t>TKB-040611</t>
  </si>
  <si>
    <t>TKB-040617</t>
  </si>
  <si>
    <t>TKB-040634</t>
  </si>
  <si>
    <t>TKB-040661</t>
  </si>
  <si>
    <t>MDG7D14</t>
  </si>
  <si>
    <t>TKB-040648</t>
  </si>
  <si>
    <t>TKB-040651</t>
  </si>
  <si>
    <t>TKB-040656</t>
  </si>
  <si>
    <t>TKB-040668</t>
  </si>
  <si>
    <t>TKB-040653</t>
  </si>
  <si>
    <t>TKB-040659</t>
  </si>
  <si>
    <t>TKB-040675</t>
  </si>
  <si>
    <t>TOTAL DE TRANSPORTE DE AGREGADO  EV - C 97/2025</t>
  </si>
  <si>
    <t>TOTAL DE TRANSPORTE DE CARGAS  EV - ATA 011/2026</t>
  </si>
  <si>
    <t>TOTAL DA MEDIÇÃO</t>
  </si>
  <si>
    <t>RELAÇÃO PEDÁGIOS</t>
  </si>
  <si>
    <t>PRAÇA DE PEDÁGIO</t>
  </si>
  <si>
    <t>TRAÇÃO</t>
  </si>
  <si>
    <t>IDA (QUANTIDADE DE EIXOS)</t>
  </si>
  <si>
    <t>VOLTA(QUANTIDADE DE EIXOS)</t>
  </si>
  <si>
    <t>VALOR POR EIXO</t>
  </si>
  <si>
    <t>EV - C 011/2026</t>
  </si>
  <si>
    <t>EV - C 11/2026</t>
  </si>
  <si>
    <t>AWS5D67</t>
  </si>
  <si>
    <t xml:space="preserve">CARAMBEI </t>
  </si>
  <si>
    <t>AUI2662</t>
  </si>
  <si>
    <t>AJN7D32</t>
  </si>
  <si>
    <t>DESCONTOS:  EV - C 11/2026</t>
  </si>
  <si>
    <t>PEDÁGIOS EV - 011/2026</t>
  </si>
  <si>
    <t>TOTAL DE DESCONTOS DE PEDÁGIO DESTA MEDIÇÃO =====&gt;&gt;&gt;</t>
  </si>
  <si>
    <t>DESCONTOS DE COMBUSTÍVEL</t>
  </si>
  <si>
    <t xml:space="preserve">OBRA </t>
  </si>
  <si>
    <t>Nº CUPOM FISCAL</t>
  </si>
  <si>
    <t>Nº REQ.</t>
  </si>
  <si>
    <t>EMPRESA</t>
  </si>
  <si>
    <t>DATA EMISSÃO</t>
  </si>
  <si>
    <t>NOTA FISCAL</t>
  </si>
  <si>
    <t>COMBUSTÍVEL</t>
  </si>
  <si>
    <t>VALOR UNITÁRIO</t>
  </si>
  <si>
    <t>SUBTOTAL</t>
  </si>
  <si>
    <t>RESUMO - DESCONTOS - EV - C 011/2026</t>
  </si>
  <si>
    <t>GAISSLER</t>
  </si>
  <si>
    <t>POSTO POTÊNCIA</t>
  </si>
  <si>
    <t>DIESEL S10</t>
  </si>
  <si>
    <t>L</t>
  </si>
  <si>
    <t>APP8D 73</t>
  </si>
  <si>
    <t>DIESEL S500</t>
  </si>
  <si>
    <t>AUJ-2962</t>
  </si>
  <si>
    <t>MDG7 G14</t>
  </si>
  <si>
    <t>MBU6D28</t>
  </si>
  <si>
    <t>AOJ5E 40</t>
  </si>
  <si>
    <t>AUN7 D32</t>
  </si>
  <si>
    <t>ERD6 B73</t>
  </si>
  <si>
    <t>ATN3 B14</t>
  </si>
  <si>
    <t xml:space="preserve">AMX2A28  </t>
  </si>
  <si>
    <t>MBU-2710</t>
  </si>
  <si>
    <t>EWU-6C38</t>
  </si>
  <si>
    <t>RESUMO - DESCONTOS  EV - ATA 97/2025</t>
  </si>
  <si>
    <t>EV - C ATA97/2025</t>
  </si>
  <si>
    <t>ARLA 32</t>
  </si>
  <si>
    <t>MCD8I20</t>
  </si>
  <si>
    <t>ARP-7879</t>
  </si>
  <si>
    <t xml:space="preserve">FDB0C74 </t>
  </si>
  <si>
    <t>ASD2F 97</t>
  </si>
  <si>
    <t>DTB0A63</t>
  </si>
  <si>
    <t>APL6 A61</t>
  </si>
  <si>
    <t>ASE0E 48</t>
  </si>
  <si>
    <t>DESCONTOS  EV - ATA 97/2025</t>
  </si>
  <si>
    <t>TOTAL DE DESCONTOS DES MEDIÇÃO =====&gt;&gt;&gt;</t>
  </si>
  <si>
    <t>EV - 011/2026</t>
  </si>
  <si>
    <t>RESUMO EV - C 011/2026</t>
  </si>
  <si>
    <t>TKB-040704</t>
  </si>
  <si>
    <t xml:space="preserve">TON </t>
  </si>
  <si>
    <t>TKB-040708</t>
  </si>
  <si>
    <t>TKB-040697</t>
  </si>
  <si>
    <t>TKB-040712</t>
  </si>
  <si>
    <t>TKB-040692</t>
  </si>
  <si>
    <t>TKB-040694</t>
  </si>
  <si>
    <t>TKB-040698</t>
  </si>
  <si>
    <t>TKB-040740</t>
  </si>
  <si>
    <t>TKB-040728</t>
  </si>
  <si>
    <t>TKB-040737</t>
  </si>
  <si>
    <t>TKB-040729</t>
  </si>
  <si>
    <t>TKB-040732</t>
  </si>
  <si>
    <t>TKB-040735</t>
  </si>
  <si>
    <t>TKB-040783</t>
  </si>
  <si>
    <t>TKB-040796</t>
  </si>
  <si>
    <t>TKB-040766</t>
  </si>
  <si>
    <t>TKB-040794</t>
  </si>
  <si>
    <t>TKB-040770</t>
  </si>
  <si>
    <t>TKB-040784</t>
  </si>
  <si>
    <t>TKB-040805</t>
  </si>
  <si>
    <t>TKB-040810</t>
  </si>
  <si>
    <t>TKB-040809</t>
  </si>
  <si>
    <t>TKB-040826</t>
  </si>
  <si>
    <t>TKB-040823</t>
  </si>
  <si>
    <t>TKB-040821</t>
  </si>
  <si>
    <t>BSF5E16</t>
  </si>
  <si>
    <t>TKB-040825</t>
  </si>
  <si>
    <t>TKB-040834</t>
  </si>
  <si>
    <t>TKB-040842</t>
  </si>
  <si>
    <t>TKB-040844</t>
  </si>
  <si>
    <t>TKB-040848</t>
  </si>
  <si>
    <t>TKB-040849</t>
  </si>
  <si>
    <t>TKB-040838</t>
  </si>
  <si>
    <t>TKB-040866</t>
  </si>
  <si>
    <t>ATZ0091</t>
  </si>
  <si>
    <t>TKB-040859</t>
  </si>
  <si>
    <t>AMX2A28</t>
  </si>
  <si>
    <t>TKB-040865</t>
  </si>
  <si>
    <t>TKB-040860</t>
  </si>
  <si>
    <t>TKB-040869</t>
  </si>
  <si>
    <t>ALC2F96</t>
  </si>
  <si>
    <t>TKB-040858</t>
  </si>
  <si>
    <t>TKB-040906</t>
  </si>
  <si>
    <t>TKB-040910</t>
  </si>
  <si>
    <t>TKB-040904</t>
  </si>
  <si>
    <t>ASD2F97</t>
  </si>
  <si>
    <t>TKB-040908</t>
  </si>
  <si>
    <t>TKB-040911</t>
  </si>
  <si>
    <t>MCF8A54</t>
  </si>
  <si>
    <t>TKB-040905</t>
  </si>
  <si>
    <t>FDB0C79</t>
  </si>
  <si>
    <t>TKB-040957</t>
  </si>
  <si>
    <t>TKB-040953</t>
  </si>
  <si>
    <t>TKB-040952</t>
  </si>
  <si>
    <t>TKB-040950</t>
  </si>
  <si>
    <t>TKB-040955</t>
  </si>
  <si>
    <t>TKB-040962</t>
  </si>
  <si>
    <t>TKB-040963</t>
  </si>
  <si>
    <t>TKB-040970</t>
  </si>
  <si>
    <t>TKB-040961</t>
  </si>
  <si>
    <t>TKB-040971</t>
  </si>
  <si>
    <t>TKB-040974</t>
  </si>
  <si>
    <t>TKB-040976</t>
  </si>
  <si>
    <t>TKB-040977</t>
  </si>
  <si>
    <t>TKB-040986</t>
  </si>
  <si>
    <t>BUD7C80</t>
  </si>
  <si>
    <t>TKB-040994</t>
  </si>
  <si>
    <t>TKB-040999</t>
  </si>
  <si>
    <t>TKB-040988</t>
  </si>
  <si>
    <t>TKB-041005</t>
  </si>
  <si>
    <t>TKB-041010</t>
  </si>
  <si>
    <t>TKB-040992</t>
  </si>
  <si>
    <t>TKB-040983</t>
  </si>
  <si>
    <t>TKB-041007</t>
  </si>
  <si>
    <t>TKB-041027</t>
  </si>
  <si>
    <t>TKB-041026</t>
  </si>
  <si>
    <t>TKB-041036</t>
  </si>
  <si>
    <t>TKB-041022</t>
  </si>
  <si>
    <t>TKB-041055</t>
  </si>
  <si>
    <t>TKB-041051</t>
  </si>
  <si>
    <t>TKB-041064</t>
  </si>
  <si>
    <t>TKB-041068</t>
  </si>
  <si>
    <t>TKB-041053</t>
  </si>
  <si>
    <t>TKB-041081</t>
  </si>
  <si>
    <t>TKB-041076</t>
  </si>
  <si>
    <t>TKB-041074</t>
  </si>
  <si>
    <t>TKB-041071</t>
  </si>
  <si>
    <t>TKB-041086</t>
  </si>
  <si>
    <t>TKB-041073</t>
  </si>
  <si>
    <t>TKB-041096</t>
  </si>
  <si>
    <t>TKB-041092</t>
  </si>
  <si>
    <t>TKB-041095</t>
  </si>
  <si>
    <t>TKB-041097</t>
  </si>
  <si>
    <t>TKB-041088</t>
  </si>
  <si>
    <t>TKB-041103</t>
  </si>
  <si>
    <t>TKB-041098</t>
  </si>
  <si>
    <t>TKB-041104</t>
  </si>
  <si>
    <t>TKB-041101</t>
  </si>
  <si>
    <t>TKB-041116</t>
  </si>
  <si>
    <t>TKB-041123</t>
  </si>
  <si>
    <t>TKB-041118</t>
  </si>
  <si>
    <t>TKB-041121</t>
  </si>
  <si>
    <t>TKB-041119</t>
  </si>
  <si>
    <t>TKB-041117</t>
  </si>
  <si>
    <t>TKB-041134</t>
  </si>
  <si>
    <t>TKB-041131</t>
  </si>
  <si>
    <t>TKB-041155</t>
  </si>
  <si>
    <t>TKB-041157</t>
  </si>
  <si>
    <t>TKB-041138</t>
  </si>
  <si>
    <t>TKB-041156</t>
  </si>
  <si>
    <t>TKB-041132</t>
  </si>
  <si>
    <t>TKB-041151</t>
  </si>
  <si>
    <t>TKB-041173</t>
  </si>
  <si>
    <t>TKB-041172</t>
  </si>
  <si>
    <t>TKB-041181</t>
  </si>
  <si>
    <t>TKB-041171</t>
  </si>
  <si>
    <t>TKB-041170</t>
  </si>
  <si>
    <t>TKB-041176</t>
  </si>
  <si>
    <t>BEA8D25</t>
  </si>
  <si>
    <t>TKB-041177</t>
  </si>
  <si>
    <t>TKB-041178</t>
  </si>
  <si>
    <t>TKB-041200</t>
  </si>
  <si>
    <t>TKB-041202</t>
  </si>
  <si>
    <t>MDU2710</t>
  </si>
  <si>
    <t>TKB-041192</t>
  </si>
  <si>
    <t>TKB-041187</t>
  </si>
  <si>
    <t>TKB-041190</t>
  </si>
  <si>
    <t>TKB-041204</t>
  </si>
  <si>
    <t>TKB-041197</t>
  </si>
  <si>
    <t>TKB-041229</t>
  </si>
  <si>
    <t>TKB-041224</t>
  </si>
  <si>
    <t>TKB-041217</t>
  </si>
  <si>
    <t>TKB-041221</t>
  </si>
  <si>
    <t>TKB-041218</t>
  </si>
  <si>
    <t>TKB-041227</t>
  </si>
  <si>
    <t>TKB-041234</t>
  </si>
  <si>
    <t>TKB-041247</t>
  </si>
  <si>
    <t>TKB-041245</t>
  </si>
  <si>
    <t>TKB-041246</t>
  </si>
  <si>
    <t>TKB-041276</t>
  </si>
  <si>
    <t>TKB-041257</t>
  </si>
  <si>
    <t>TKB-041269</t>
  </si>
  <si>
    <t>TKB-041258</t>
  </si>
  <si>
    <t>TKB-041281</t>
  </si>
  <si>
    <t>TKB-041260</t>
  </si>
  <si>
    <t>TKB-041252</t>
  </si>
  <si>
    <t>TKB-041265</t>
  </si>
  <si>
    <t>TKB-041273</t>
  </si>
  <si>
    <t>BEA8D05</t>
  </si>
  <si>
    <t>TKB-041287</t>
  </si>
  <si>
    <t>TKB-041291</t>
  </si>
  <si>
    <t>TKB-041286</t>
  </si>
  <si>
    <t>TKB-041289</t>
  </si>
  <si>
    <t>TKB-041284</t>
  </si>
  <si>
    <t>TKB-041295</t>
  </si>
  <si>
    <t>TKB-041322</t>
  </si>
  <si>
    <t>TKB-041306</t>
  </si>
  <si>
    <t>TKB-041324</t>
  </si>
  <si>
    <t>TKB-041307</t>
  </si>
  <si>
    <t>TKB-041301</t>
  </si>
  <si>
    <t>TKB-041303</t>
  </si>
  <si>
    <t>TKB-041326</t>
  </si>
  <si>
    <t>TKB-041323</t>
  </si>
  <si>
    <t>TKB-041299</t>
  </si>
  <si>
    <t>TKB-041314</t>
  </si>
  <si>
    <t>MDG-7G14</t>
  </si>
  <si>
    <t>AUN-7D32</t>
  </si>
  <si>
    <t>BUD-7C80</t>
  </si>
  <si>
    <t xml:space="preserve">EVENTO CONSTRUTORA DE OBRAS </t>
  </si>
  <si>
    <t>AUJ- 2962</t>
  </si>
  <si>
    <t>BSF5I 16</t>
  </si>
  <si>
    <t>ATN3 B19</t>
  </si>
  <si>
    <t>RXX6 A82</t>
  </si>
  <si>
    <t>APP- 8073</t>
  </si>
  <si>
    <t>AWS5 D97</t>
  </si>
  <si>
    <t>BTO4 E72</t>
  </si>
  <si>
    <t>RXX-6A82</t>
  </si>
  <si>
    <t>ATZ-0091</t>
  </si>
  <si>
    <t>APL-6A61</t>
  </si>
  <si>
    <t xml:space="preserve">MBU6D28 </t>
  </si>
  <si>
    <t xml:space="preserve">AUJ-2962 </t>
  </si>
  <si>
    <t xml:space="preserve">ALC2F 96 </t>
  </si>
  <si>
    <t>BDU7 C80</t>
  </si>
  <si>
    <t xml:space="preserve">AUJ- 02962      </t>
  </si>
  <si>
    <t>ALC2F 96</t>
  </si>
  <si>
    <t>RSA4E 48</t>
  </si>
  <si>
    <t>MBU- 2710</t>
  </si>
  <si>
    <t>HQG6J 32</t>
  </si>
  <si>
    <t>BEA82</t>
  </si>
  <si>
    <t>Data:___/____/_____</t>
  </si>
  <si>
    <t>ELABORADO POR:</t>
  </si>
  <si>
    <t>EDUARDO SAMPAIO</t>
  </si>
  <si>
    <t>Data: _____/____/_____</t>
  </si>
  <si>
    <t>_________________________________________</t>
  </si>
  <si>
    <t>________________________________</t>
  </si>
  <si>
    <t>PRESTADOR:</t>
  </si>
  <si>
    <t>GAMERIM TRANSPORTES</t>
  </si>
  <si>
    <t>__________________________________</t>
  </si>
  <si>
    <t>GERENTE REGIONAL:</t>
  </si>
  <si>
    <t>GERENTE RESPONSÁVEL::</t>
  </si>
  <si>
    <t>________________________________________</t>
  </si>
  <si>
    <t>DIRETORIA</t>
  </si>
  <si>
    <t>EVENTO CONSTRUTORA</t>
  </si>
  <si>
    <t>01/03/2026 A 31/03/2026</t>
  </si>
  <si>
    <t>AWSSD97</t>
  </si>
  <si>
    <t>HQG6132</t>
  </si>
  <si>
    <t xml:space="preserve">CAMINHAO NA FRESA  ( DIARIA R$ 1.250,00 ) </t>
  </si>
  <si>
    <t xml:space="preserve">FREESADO </t>
  </si>
  <si>
    <t xml:space="preserve">FRESADO </t>
  </si>
  <si>
    <t xml:space="preserve">HORA </t>
  </si>
  <si>
    <t xml:space="preserve">HORA FRESA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</si>
</sst>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dd/mm/yyyy;@"/>
    <numFmt numFmtId="166" formatCode="00"/>
    <numFmt numFmtId="167" formatCode="[$-416]mmm\-yy;@"/>
    <numFmt numFmtId="168" formatCode="dd/mm/yy;@"/>
    <numFmt numFmtId="169" formatCode="#,##0.000"/>
    <numFmt numFmtId="170" formatCode="_-&quot;R$&quot;\ * #,##0.000_-;\-&quot;R$&quot;\ * #,##0.000_-;_-&quot;R$&quot;\ * &quot;-&quot;???_-;_-@_-"/>
    <numFmt numFmtId="171" formatCode="0.0"/>
    <numFmt numFmtId="172" formatCode="_-* #,##0_-;\-* #,##0_-;_-* &quot;-&quot;??_-;_-@_-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color indexed="9"/>
      <name val="Arial"/>
      <family val="2"/>
    </font>
    <font>
      <sz val="16"/>
      <name val="Arial"/>
      <family val="2"/>
    </font>
    <font>
      <i/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0"/>
      <color rgb="FF000000"/>
      <name val="Times New Roman"/>
      <family val="1"/>
    </font>
    <font>
      <sz val="11"/>
      <color rgb="FF000000"/>
      <name val="Trebuchet MS"/>
      <family val="2"/>
    </font>
    <font>
      <sz val="11"/>
      <name val="Trebuchet MS"/>
      <family val="2"/>
    </font>
    <font>
      <b/>
      <sz val="12"/>
      <color rgb="FF000000"/>
      <name val="Trebuchet MS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indexed="8"/>
      <name val="Arial"/>
      <family val="2"/>
    </font>
    <font>
      <b/>
      <sz val="18"/>
      <color theme="1"/>
      <name val="Arial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1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9" tint="-0.499984740745262"/>
      </bottom>
      <diagonal/>
    </border>
    <border>
      <left/>
      <right/>
      <top style="medium">
        <color indexed="64"/>
      </top>
      <bottom style="medium">
        <color theme="9" tint="-0.499984740745262"/>
      </bottom>
      <diagonal/>
    </border>
    <border>
      <left/>
      <right style="medium">
        <color indexed="64"/>
      </right>
      <top style="medium">
        <color indexed="64"/>
      </top>
      <bottom style="medium">
        <color theme="9" tint="-0.499984740745262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9" tint="-0.499984740745262"/>
      </top>
      <bottom/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theme="9" tint="-0.499984740745262"/>
      </top>
      <bottom/>
      <diagonal/>
    </border>
    <border>
      <left/>
      <right style="medium">
        <color indexed="64"/>
      </right>
      <top style="thin">
        <color theme="9" tint="-0.499984740745262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164" fontId="5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5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4" fillId="0" borderId="0"/>
    <xf numFmtId="44" fontId="14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</cellStyleXfs>
  <cellXfs count="843">
    <xf numFmtId="0" fontId="0" fillId="0" borderId="0" xfId="0"/>
    <xf numFmtId="0" fontId="4" fillId="0" borderId="0" xfId="3" applyFont="1"/>
    <xf numFmtId="0" fontId="4" fillId="0" borderId="0" xfId="3" applyFont="1" applyAlignment="1">
      <alignment vertical="center"/>
    </xf>
    <xf numFmtId="0" fontId="4" fillId="0" borderId="0" xfId="3" applyFont="1" applyAlignment="1">
      <alignment horizontal="left"/>
    </xf>
    <xf numFmtId="164" fontId="4" fillId="0" borderId="0" xfId="4" applyFont="1" applyFill="1" applyAlignment="1" applyProtection="1">
      <alignment horizontal="center" vertical="center"/>
    </xf>
    <xf numFmtId="0" fontId="4" fillId="0" borderId="0" xfId="5" applyFont="1"/>
    <xf numFmtId="0" fontId="4" fillId="2" borderId="14" xfId="3" applyFont="1" applyFill="1" applyBorder="1" applyAlignment="1">
      <alignment vertical="center"/>
    </xf>
    <xf numFmtId="0" fontId="4" fillId="2" borderId="15" xfId="3" applyFont="1" applyFill="1" applyBorder="1" applyAlignment="1">
      <alignment vertical="center"/>
    </xf>
    <xf numFmtId="0" fontId="4" fillId="2" borderId="16" xfId="3" applyFont="1" applyFill="1" applyBorder="1" applyAlignment="1">
      <alignment horizontal="center" vertical="center"/>
    </xf>
    <xf numFmtId="0" fontId="4" fillId="2" borderId="16" xfId="3" applyFont="1" applyFill="1" applyBorder="1" applyAlignment="1">
      <alignment horizontal="left" vertical="center"/>
    </xf>
    <xf numFmtId="0" fontId="4" fillId="2" borderId="15" xfId="3" applyFont="1" applyFill="1" applyBorder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0" fontId="8" fillId="2" borderId="17" xfId="4" applyNumberFormat="1" applyFont="1" applyFill="1" applyBorder="1" applyAlignment="1" applyProtection="1">
      <alignment horizontal="center" vertical="center"/>
      <protection locked="0"/>
    </xf>
    <xf numFmtId="0" fontId="4" fillId="2" borderId="6" xfId="3" applyFont="1" applyFill="1" applyBorder="1" applyAlignment="1">
      <alignment horizontal="right" vertical="center"/>
    </xf>
    <xf numFmtId="0" fontId="4" fillId="2" borderId="0" xfId="3" applyFont="1" applyFill="1" applyAlignment="1">
      <alignment horizontal="right" vertical="center"/>
    </xf>
    <xf numFmtId="165" fontId="4" fillId="2" borderId="0" xfId="4" applyNumberFormat="1" applyFont="1" applyFill="1" applyBorder="1" applyAlignment="1" applyProtection="1">
      <alignment horizontal="right" vertical="center"/>
      <protection locked="0"/>
    </xf>
    <xf numFmtId="165" fontId="4" fillId="2" borderId="0" xfId="4" applyNumberFormat="1" applyFont="1" applyFill="1" applyBorder="1" applyAlignment="1" applyProtection="1">
      <alignment horizontal="center" vertical="center"/>
      <protection locked="0"/>
    </xf>
    <xf numFmtId="49" fontId="4" fillId="2" borderId="0" xfId="6" applyNumberFormat="1" applyFont="1" applyFill="1" applyAlignment="1" applyProtection="1">
      <alignment horizontal="center" vertical="center"/>
      <protection locked="0"/>
    </xf>
    <xf numFmtId="49" fontId="4" fillId="2" borderId="0" xfId="3" applyNumberFormat="1" applyFont="1" applyFill="1" applyAlignment="1" applyProtection="1">
      <alignment vertical="center"/>
      <protection locked="0"/>
    </xf>
    <xf numFmtId="0" fontId="6" fillId="2" borderId="0" xfId="3" applyFont="1" applyFill="1" applyAlignment="1">
      <alignment horizontal="center" vertical="center"/>
    </xf>
    <xf numFmtId="49" fontId="4" fillId="2" borderId="0" xfId="6" applyNumberFormat="1" applyFont="1" applyFill="1" applyAlignment="1" applyProtection="1">
      <alignment horizontal="right" vertical="center"/>
      <protection locked="0"/>
    </xf>
    <xf numFmtId="166" fontId="9" fillId="2" borderId="0" xfId="3" applyNumberFormat="1" applyFont="1" applyFill="1" applyAlignment="1">
      <alignment horizontal="center" vertical="center"/>
    </xf>
    <xf numFmtId="167" fontId="4" fillId="2" borderId="23" xfId="3" applyNumberFormat="1" applyFont="1" applyFill="1" applyBorder="1" applyAlignment="1">
      <alignment horizontal="center" vertical="center"/>
    </xf>
    <xf numFmtId="0" fontId="4" fillId="2" borderId="0" xfId="3" applyFont="1" applyFill="1" applyAlignment="1" applyProtection="1">
      <alignment horizontal="left" vertical="center"/>
      <protection locked="0"/>
    </xf>
    <xf numFmtId="0" fontId="4" fillId="2" borderId="0" xfId="3" applyFont="1" applyFill="1" applyAlignment="1" applyProtection="1">
      <alignment horizontal="center" vertical="center"/>
      <protection locked="0"/>
    </xf>
    <xf numFmtId="49" fontId="4" fillId="2" borderId="0" xfId="3" applyNumberFormat="1" applyFont="1" applyFill="1" applyAlignment="1" applyProtection="1">
      <alignment horizontal="center" vertical="center"/>
      <protection locked="0"/>
    </xf>
    <xf numFmtId="165" fontId="4" fillId="2" borderId="17" xfId="4" applyNumberFormat="1" applyFont="1" applyFill="1" applyBorder="1" applyAlignment="1" applyProtection="1">
      <alignment horizontal="center" vertical="center"/>
      <protection locked="0"/>
    </xf>
    <xf numFmtId="0" fontId="4" fillId="3" borderId="25" xfId="3" applyFont="1" applyFill="1" applyBorder="1" applyAlignment="1">
      <alignment horizontal="center" vertical="center"/>
    </xf>
    <xf numFmtId="0" fontId="4" fillId="3" borderId="27" xfId="3" applyFont="1" applyFill="1" applyBorder="1" applyAlignment="1">
      <alignment horizontal="center" vertical="center"/>
    </xf>
    <xf numFmtId="0" fontId="4" fillId="3" borderId="28" xfId="3" applyFont="1" applyFill="1" applyBorder="1" applyAlignment="1">
      <alignment horizontal="center" vertical="center"/>
    </xf>
    <xf numFmtId="0" fontId="4" fillId="3" borderId="30" xfId="3" applyFont="1" applyFill="1" applyBorder="1" applyAlignment="1">
      <alignment horizontal="center" vertical="center"/>
    </xf>
    <xf numFmtId="0" fontId="4" fillId="3" borderId="31" xfId="3" applyFont="1" applyFill="1" applyBorder="1" applyAlignment="1">
      <alignment horizontal="center" vertical="center"/>
    </xf>
    <xf numFmtId="0" fontId="4" fillId="3" borderId="33" xfId="3" applyFont="1" applyFill="1" applyBorder="1" applyAlignment="1">
      <alignment horizontal="center" vertical="center"/>
    </xf>
    <xf numFmtId="0" fontId="4" fillId="3" borderId="34" xfId="3" applyFont="1" applyFill="1" applyBorder="1" applyAlignment="1">
      <alignment horizontal="center" vertical="center"/>
    </xf>
    <xf numFmtId="0" fontId="4" fillId="2" borderId="35" xfId="7" applyFont="1" applyFill="1" applyBorder="1" applyAlignment="1">
      <alignment horizontal="center" vertical="center"/>
    </xf>
    <xf numFmtId="4" fontId="4" fillId="2" borderId="28" xfId="8" applyNumberFormat="1" applyFont="1" applyFill="1" applyBorder="1" applyAlignment="1">
      <alignment horizontal="center" vertical="center"/>
    </xf>
    <xf numFmtId="4" fontId="4" fillId="2" borderId="30" xfId="8" applyNumberFormat="1" applyFont="1" applyFill="1" applyBorder="1" applyAlignment="1">
      <alignment horizontal="center" vertical="center"/>
    </xf>
    <xf numFmtId="43" fontId="4" fillId="2" borderId="28" xfId="4" applyNumberFormat="1" applyFont="1" applyFill="1" applyBorder="1" applyAlignment="1" applyProtection="1">
      <alignment horizontal="left" vertical="center"/>
      <protection locked="0"/>
    </xf>
    <xf numFmtId="43" fontId="4" fillId="2" borderId="29" xfId="4" applyNumberFormat="1" applyFont="1" applyFill="1" applyBorder="1" applyAlignment="1" applyProtection="1">
      <alignment horizontal="left" vertical="center"/>
      <protection locked="0"/>
    </xf>
    <xf numFmtId="43" fontId="4" fillId="2" borderId="30" xfId="4" applyNumberFormat="1" applyFont="1" applyFill="1" applyBorder="1" applyAlignment="1" applyProtection="1">
      <alignment horizontal="left" vertical="center"/>
      <protection locked="0"/>
    </xf>
    <xf numFmtId="4" fontId="4" fillId="2" borderId="34" xfId="8" applyNumberFormat="1" applyFont="1" applyFill="1" applyBorder="1" applyAlignment="1">
      <alignment horizontal="center" vertical="center"/>
    </xf>
    <xf numFmtId="44" fontId="4" fillId="2" borderId="34" xfId="9" applyFont="1" applyFill="1" applyBorder="1" applyAlignment="1" applyProtection="1">
      <alignment horizontal="center" vertical="center"/>
      <protection locked="0"/>
    </xf>
    <xf numFmtId="43" fontId="4" fillId="2" borderId="34" xfId="4" applyNumberFormat="1" applyFont="1" applyFill="1" applyBorder="1" applyAlignment="1" applyProtection="1">
      <alignment horizontal="center" vertical="center"/>
      <protection locked="0"/>
    </xf>
    <xf numFmtId="4" fontId="4" fillId="2" borderId="34" xfId="9" applyNumberFormat="1" applyFont="1" applyFill="1" applyBorder="1" applyAlignment="1" applyProtection="1">
      <alignment horizontal="center" vertical="center"/>
      <protection locked="0"/>
    </xf>
    <xf numFmtId="43" fontId="4" fillId="2" borderId="34" xfId="1" applyFont="1" applyFill="1" applyBorder="1" applyAlignment="1" applyProtection="1">
      <alignment horizontal="center" vertical="center"/>
      <protection locked="0"/>
    </xf>
    <xf numFmtId="0" fontId="4" fillId="2" borderId="34" xfId="10" applyNumberFormat="1" applyFont="1" applyFill="1" applyBorder="1" applyAlignment="1" applyProtection="1">
      <alignment horizontal="center"/>
    </xf>
    <xf numFmtId="4" fontId="4" fillId="2" borderId="34" xfId="10" applyNumberFormat="1" applyFont="1" applyFill="1" applyBorder="1" applyAlignment="1" applyProtection="1">
      <alignment horizontal="center"/>
    </xf>
    <xf numFmtId="44" fontId="4" fillId="2" borderId="29" xfId="9" applyFont="1" applyFill="1" applyBorder="1" applyAlignment="1" applyProtection="1">
      <alignment horizontal="center" vertical="center"/>
    </xf>
    <xf numFmtId="44" fontId="4" fillId="2" borderId="34" xfId="9" applyFont="1" applyFill="1" applyBorder="1" applyAlignment="1" applyProtection="1">
      <alignment horizontal="center" vertical="center"/>
    </xf>
    <xf numFmtId="44" fontId="4" fillId="2" borderId="9" xfId="9" applyFont="1" applyFill="1" applyBorder="1" applyAlignment="1" applyProtection="1">
      <alignment horizontal="center" vertical="center"/>
    </xf>
    <xf numFmtId="2" fontId="4" fillId="2" borderId="34" xfId="1" applyNumberFormat="1" applyFont="1" applyFill="1" applyBorder="1" applyAlignment="1" applyProtection="1">
      <alignment horizontal="center" vertical="center"/>
      <protection locked="0"/>
    </xf>
    <xf numFmtId="44" fontId="4" fillId="0" borderId="0" xfId="5" applyNumberFormat="1" applyFont="1"/>
    <xf numFmtId="4" fontId="4" fillId="2" borderId="34" xfId="2" applyNumberFormat="1" applyFont="1" applyFill="1" applyBorder="1" applyAlignment="1" applyProtection="1">
      <alignment horizontal="center"/>
      <protection locked="0"/>
    </xf>
    <xf numFmtId="4" fontId="4" fillId="2" borderId="34" xfId="2" applyNumberFormat="1" applyFont="1" applyFill="1" applyBorder="1" applyAlignment="1" applyProtection="1">
      <alignment horizontal="center" vertical="center"/>
      <protection locked="0"/>
    </xf>
    <xf numFmtId="0" fontId="4" fillId="2" borderId="34" xfId="10" applyNumberFormat="1" applyFont="1" applyFill="1" applyBorder="1" applyAlignment="1" applyProtection="1">
      <alignment horizontal="center" vertical="center"/>
    </xf>
    <xf numFmtId="0" fontId="4" fillId="0" borderId="0" xfId="5" applyFont="1" applyAlignment="1">
      <alignment horizontal="center" vertical="center"/>
    </xf>
    <xf numFmtId="4" fontId="4" fillId="0" borderId="34" xfId="8" applyNumberFormat="1" applyFont="1" applyBorder="1" applyAlignment="1">
      <alignment horizontal="center" vertical="center" wrapText="1"/>
    </xf>
    <xf numFmtId="44" fontId="4" fillId="0" borderId="34" xfId="9" applyFont="1" applyFill="1" applyBorder="1" applyAlignment="1" applyProtection="1">
      <alignment horizontal="center" vertical="center"/>
      <protection locked="0"/>
    </xf>
    <xf numFmtId="4" fontId="4" fillId="0" borderId="34" xfId="9" applyNumberFormat="1" applyFont="1" applyFill="1" applyBorder="1" applyAlignment="1" applyProtection="1">
      <alignment horizontal="center" vertical="center"/>
      <protection locked="0"/>
    </xf>
    <xf numFmtId="4" fontId="4" fillId="0" borderId="34" xfId="2" applyNumberFormat="1" applyFont="1" applyFill="1" applyBorder="1" applyAlignment="1" applyProtection="1">
      <alignment horizontal="center" vertical="center"/>
      <protection locked="0"/>
    </xf>
    <xf numFmtId="0" fontId="4" fillId="0" borderId="34" xfId="10" applyNumberFormat="1" applyFont="1" applyFill="1" applyBorder="1" applyAlignment="1" applyProtection="1">
      <alignment horizontal="center" vertical="center"/>
    </xf>
    <xf numFmtId="44" fontId="4" fillId="0" borderId="34" xfId="9" applyFont="1" applyFill="1" applyBorder="1" applyAlignment="1" applyProtection="1">
      <alignment horizontal="center" vertical="center"/>
    </xf>
    <xf numFmtId="0" fontId="4" fillId="0" borderId="35" xfId="3" applyFont="1" applyBorder="1" applyAlignment="1" applyProtection="1">
      <alignment horizontal="center" vertical="center"/>
      <protection locked="0"/>
    </xf>
    <xf numFmtId="0" fontId="4" fillId="0" borderId="29" xfId="3" applyFont="1" applyBorder="1" applyAlignment="1" applyProtection="1">
      <alignment horizontal="center" vertical="center"/>
      <protection locked="0"/>
    </xf>
    <xf numFmtId="0" fontId="4" fillId="0" borderId="29" xfId="3" applyFont="1" applyBorder="1" applyAlignment="1" applyProtection="1">
      <alignment vertical="center"/>
      <protection locked="0"/>
    </xf>
    <xf numFmtId="40" fontId="4" fillId="0" borderId="29" xfId="4" applyNumberFormat="1" applyFont="1" applyFill="1" applyBorder="1" applyAlignment="1" applyProtection="1">
      <alignment horizontal="center" vertical="center"/>
      <protection locked="0"/>
    </xf>
    <xf numFmtId="0" fontId="4" fillId="0" borderId="29" xfId="4" applyNumberFormat="1" applyFont="1" applyFill="1" applyBorder="1" applyAlignment="1" applyProtection="1">
      <alignment horizontal="center" vertical="center"/>
      <protection locked="0"/>
    </xf>
    <xf numFmtId="43" fontId="4" fillId="0" borderId="29" xfId="10" applyFont="1" applyFill="1" applyBorder="1" applyAlignment="1" applyProtection="1">
      <alignment horizontal="center" vertical="center"/>
      <protection locked="0"/>
    </xf>
    <xf numFmtId="164" fontId="4" fillId="0" borderId="31" xfId="4" applyFont="1" applyFill="1" applyBorder="1" applyAlignment="1" applyProtection="1">
      <alignment horizontal="center" vertical="center"/>
    </xf>
    <xf numFmtId="43" fontId="4" fillId="0" borderId="36" xfId="10" applyFont="1" applyFill="1" applyBorder="1" applyAlignment="1" applyProtection="1">
      <alignment horizontal="center" vertical="center"/>
      <protection locked="0"/>
    </xf>
    <xf numFmtId="164" fontId="4" fillId="0" borderId="37" xfId="4" applyFont="1" applyFill="1" applyBorder="1" applyAlignment="1" applyProtection="1">
      <alignment horizontal="center" vertical="center"/>
    </xf>
    <xf numFmtId="44" fontId="10" fillId="0" borderId="33" xfId="9" applyFont="1" applyFill="1" applyBorder="1" applyAlignment="1">
      <alignment horizontal="center" vertical="center"/>
    </xf>
    <xf numFmtId="44" fontId="10" fillId="0" borderId="38" xfId="9" applyFont="1" applyFill="1" applyBorder="1" applyAlignment="1">
      <alignment horizontal="center" vertical="center"/>
    </xf>
    <xf numFmtId="44" fontId="4" fillId="0" borderId="0" xfId="11" applyFont="1" applyAlignment="1"/>
    <xf numFmtId="0" fontId="4" fillId="0" borderId="35" xfId="3" applyFont="1" applyBorder="1" applyAlignment="1">
      <alignment horizontal="center" vertical="center"/>
    </xf>
    <xf numFmtId="0" fontId="4" fillId="0" borderId="29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 wrapText="1"/>
    </xf>
    <xf numFmtId="0" fontId="4" fillId="0" borderId="27" xfId="3" applyFont="1" applyBorder="1" applyAlignment="1">
      <alignment horizontal="center" vertical="center" wrapText="1"/>
    </xf>
    <xf numFmtId="0" fontId="4" fillId="0" borderId="41" xfId="3" applyFont="1" applyBorder="1" applyAlignment="1">
      <alignment horizontal="center" vertical="center" wrapText="1"/>
    </xf>
    <xf numFmtId="0" fontId="4" fillId="0" borderId="0" xfId="5" applyFont="1" applyAlignment="1">
      <alignment wrapText="1"/>
    </xf>
    <xf numFmtId="0" fontId="4" fillId="0" borderId="42" xfId="3" applyFont="1" applyBorder="1" applyAlignment="1">
      <alignment horizontal="center" vertical="center"/>
    </xf>
    <xf numFmtId="0" fontId="4" fillId="0" borderId="43" xfId="3" applyFont="1" applyBorder="1" applyAlignment="1">
      <alignment horizontal="left" vertical="center"/>
    </xf>
    <xf numFmtId="0" fontId="4" fillId="0" borderId="20" xfId="3" applyFont="1" applyBorder="1" applyAlignment="1">
      <alignment horizontal="center" vertical="center"/>
    </xf>
    <xf numFmtId="0" fontId="4" fillId="0" borderId="44" xfId="3" applyFont="1" applyBorder="1" applyAlignment="1">
      <alignment horizontal="center" vertical="center"/>
    </xf>
    <xf numFmtId="44" fontId="4" fillId="0" borderId="45" xfId="12" applyFont="1" applyFill="1" applyBorder="1" applyAlignment="1" applyProtection="1">
      <alignment vertical="center"/>
      <protection locked="0"/>
    </xf>
    <xf numFmtId="44" fontId="4" fillId="0" borderId="46" xfId="12" applyFont="1" applyFill="1" applyBorder="1" applyAlignment="1" applyProtection="1">
      <alignment vertical="center"/>
      <protection locked="0"/>
    </xf>
    <xf numFmtId="0" fontId="4" fillId="0" borderId="29" xfId="3" applyFont="1" applyBorder="1" applyAlignment="1">
      <alignment horizontal="right" vertical="center"/>
    </xf>
    <xf numFmtId="44" fontId="4" fillId="0" borderId="28" xfId="12" applyFont="1" applyFill="1" applyBorder="1" applyAlignment="1" applyProtection="1">
      <alignment vertical="center"/>
    </xf>
    <xf numFmtId="44" fontId="4" fillId="0" borderId="9" xfId="12" applyFont="1" applyFill="1" applyBorder="1" applyAlignment="1" applyProtection="1">
      <alignment vertical="center"/>
    </xf>
    <xf numFmtId="0" fontId="4" fillId="0" borderId="29" xfId="3" applyFont="1" applyBorder="1" applyAlignment="1">
      <alignment horizontal="left" vertical="center"/>
    </xf>
    <xf numFmtId="44" fontId="4" fillId="0" borderId="34" xfId="3" applyNumberFormat="1" applyFont="1" applyBorder="1" applyAlignment="1">
      <alignment horizontal="center" vertical="center"/>
    </xf>
    <xf numFmtId="44" fontId="4" fillId="0" borderId="9" xfId="3" applyNumberFormat="1" applyFont="1" applyBorder="1" applyAlignment="1">
      <alignment horizontal="center" vertical="center"/>
    </xf>
    <xf numFmtId="0" fontId="4" fillId="2" borderId="47" xfId="3" applyFont="1" applyFill="1" applyBorder="1" applyAlignment="1">
      <alignment horizontal="center" vertical="center"/>
    </xf>
    <xf numFmtId="0" fontId="4" fillId="2" borderId="42" xfId="3" applyFont="1" applyFill="1" applyBorder="1" applyAlignment="1" applyProtection="1">
      <alignment horizontal="center" vertical="center"/>
      <protection locked="0"/>
    </xf>
    <xf numFmtId="0" fontId="11" fillId="2" borderId="14" xfId="3" applyFont="1" applyFill="1" applyBorder="1" applyAlignment="1">
      <alignment vertical="center"/>
    </xf>
    <xf numFmtId="0" fontId="4" fillId="2" borderId="26" xfId="3" applyFont="1" applyFill="1" applyBorder="1" applyAlignment="1">
      <alignment vertical="center"/>
    </xf>
    <xf numFmtId="49" fontId="11" fillId="2" borderId="6" xfId="3" applyNumberFormat="1" applyFont="1" applyFill="1" applyBorder="1" applyAlignment="1" applyProtection="1">
      <alignment vertical="center"/>
      <protection locked="0"/>
    </xf>
    <xf numFmtId="49" fontId="11" fillId="2" borderId="0" xfId="3" applyNumberFormat="1" applyFont="1" applyFill="1" applyAlignment="1" applyProtection="1">
      <alignment vertical="center"/>
      <protection locked="0"/>
    </xf>
    <xf numFmtId="49" fontId="11" fillId="2" borderId="7" xfId="3" applyNumberFormat="1" applyFont="1" applyFill="1" applyBorder="1" applyAlignment="1" applyProtection="1">
      <alignment vertical="center"/>
      <protection locked="0"/>
    </xf>
    <xf numFmtId="0" fontId="4" fillId="2" borderId="29" xfId="3" applyFont="1" applyFill="1" applyBorder="1" applyAlignment="1">
      <alignment horizontal="center" vertical="center"/>
    </xf>
    <xf numFmtId="0" fontId="4" fillId="2" borderId="30" xfId="3" applyFont="1" applyFill="1" applyBorder="1" applyAlignment="1">
      <alignment horizontal="center" vertical="center"/>
    </xf>
    <xf numFmtId="0" fontId="11" fillId="0" borderId="6" xfId="6" applyFont="1" applyBorder="1"/>
    <xf numFmtId="0" fontId="11" fillId="0" borderId="53" xfId="6" applyFont="1" applyBorder="1"/>
    <xf numFmtId="49" fontId="11" fillId="2" borderId="54" xfId="3" applyNumberFormat="1" applyFont="1" applyFill="1" applyBorder="1" applyAlignment="1" applyProtection="1">
      <alignment vertical="center"/>
      <protection locked="0"/>
    </xf>
    <xf numFmtId="49" fontId="11" fillId="2" borderId="55" xfId="3" applyNumberFormat="1" applyFont="1" applyFill="1" applyBorder="1" applyAlignment="1" applyProtection="1">
      <alignment vertical="center"/>
      <protection locked="0"/>
    </xf>
    <xf numFmtId="0" fontId="4" fillId="0" borderId="6" xfId="5" applyFont="1" applyBorder="1"/>
    <xf numFmtId="0" fontId="4" fillId="0" borderId="0" xfId="6" applyFont="1"/>
    <xf numFmtId="164" fontId="4" fillId="0" borderId="0" xfId="4" applyFont="1" applyAlignment="1" applyProtection="1">
      <alignment horizontal="center" vertical="center"/>
    </xf>
    <xf numFmtId="0" fontId="4" fillId="0" borderId="17" xfId="6" applyFont="1" applyBorder="1"/>
    <xf numFmtId="0" fontId="4" fillId="0" borderId="6" xfId="6" applyFont="1" applyBorder="1"/>
    <xf numFmtId="0" fontId="4" fillId="0" borderId="0" xfId="6" applyFont="1" applyAlignment="1">
      <alignment horizontal="left" vertical="center"/>
    </xf>
    <xf numFmtId="0" fontId="4" fillId="0" borderId="6" xfId="3" applyFont="1" applyBorder="1"/>
    <xf numFmtId="164" fontId="4" fillId="0" borderId="0" xfId="4" applyFont="1" applyBorder="1" applyAlignment="1" applyProtection="1">
      <alignment horizontal="center" vertical="center"/>
    </xf>
    <xf numFmtId="0" fontId="4" fillId="0" borderId="0" xfId="3" applyFont="1" applyAlignment="1">
      <alignment horizontal="left" vertical="center"/>
    </xf>
    <xf numFmtId="164" fontId="4" fillId="0" borderId="17" xfId="4" applyFont="1" applyBorder="1" applyAlignment="1" applyProtection="1">
      <alignment horizontal="center" vertical="center"/>
    </xf>
    <xf numFmtId="0" fontId="4" fillId="0" borderId="53" xfId="3" applyFont="1" applyBorder="1"/>
    <xf numFmtId="0" fontId="4" fillId="0" borderId="54" xfId="3" applyFont="1" applyBorder="1" applyAlignment="1">
      <alignment vertical="center"/>
    </xf>
    <xf numFmtId="0" fontId="4" fillId="0" borderId="54" xfId="3" applyFont="1" applyBorder="1" applyAlignment="1">
      <alignment horizontal="left"/>
    </xf>
    <xf numFmtId="0" fontId="4" fillId="0" borderId="54" xfId="3" applyFont="1" applyBorder="1"/>
    <xf numFmtId="164" fontId="4" fillId="0" borderId="54" xfId="4" applyFont="1" applyBorder="1" applyAlignment="1" applyProtection="1">
      <alignment horizontal="center" vertical="center"/>
    </xf>
    <xf numFmtId="0" fontId="4" fillId="0" borderId="54" xfId="6" applyFont="1" applyBorder="1"/>
    <xf numFmtId="0" fontId="4" fillId="0" borderId="60" xfId="6" applyFont="1" applyBorder="1"/>
    <xf numFmtId="4" fontId="14" fillId="2" borderId="0" xfId="13" applyNumberFormat="1" applyFill="1" applyAlignment="1">
      <alignment horizontal="center" vertical="center"/>
    </xf>
    <xf numFmtId="4" fontId="14" fillId="2" borderId="1" xfId="13" applyNumberFormat="1" applyFill="1" applyBorder="1" applyAlignment="1">
      <alignment horizontal="center" vertical="center"/>
    </xf>
    <xf numFmtId="3" fontId="16" fillId="0" borderId="61" xfId="13" applyNumberFormat="1" applyFont="1" applyBorder="1" applyAlignment="1">
      <alignment horizontal="centerContinuous" vertical="center"/>
    </xf>
    <xf numFmtId="4" fontId="14" fillId="0" borderId="0" xfId="13" applyNumberFormat="1" applyAlignment="1">
      <alignment vertical="center"/>
    </xf>
    <xf numFmtId="4" fontId="14" fillId="0" borderId="0" xfId="13" applyNumberFormat="1" applyAlignment="1">
      <alignment horizontal="center" vertical="center"/>
    </xf>
    <xf numFmtId="4" fontId="14" fillId="2" borderId="6" xfId="13" applyNumberFormat="1" applyFill="1" applyBorder="1" applyAlignment="1">
      <alignment horizontal="center" vertical="center"/>
    </xf>
    <xf numFmtId="4" fontId="15" fillId="2" borderId="0" xfId="13" applyNumberFormat="1" applyFont="1" applyFill="1" applyAlignment="1">
      <alignment horizontal="center" vertical="center"/>
    </xf>
    <xf numFmtId="4" fontId="17" fillId="0" borderId="17" xfId="13" applyNumberFormat="1" applyFont="1" applyBorder="1" applyAlignment="1">
      <alignment horizontal="centerContinuous" vertical="center"/>
    </xf>
    <xf numFmtId="3" fontId="18" fillId="0" borderId="17" xfId="13" applyNumberFormat="1" applyFont="1" applyBorder="1" applyAlignment="1">
      <alignment horizontal="left" vertical="center"/>
    </xf>
    <xf numFmtId="4" fontId="3" fillId="0" borderId="17" xfId="13" applyNumberFormat="1" applyFont="1" applyBorder="1" applyAlignment="1">
      <alignment vertical="center"/>
    </xf>
    <xf numFmtId="4" fontId="19" fillId="2" borderId="0" xfId="13" applyNumberFormat="1" applyFont="1" applyFill="1" applyAlignment="1">
      <alignment horizontal="center" vertical="center"/>
    </xf>
    <xf numFmtId="4" fontId="19" fillId="2" borderId="6" xfId="13" applyNumberFormat="1" applyFont="1" applyFill="1" applyBorder="1" applyAlignment="1">
      <alignment horizontal="center" vertical="center"/>
    </xf>
    <xf numFmtId="4" fontId="18" fillId="2" borderId="64" xfId="13" applyNumberFormat="1" applyFont="1" applyFill="1" applyBorder="1" applyAlignment="1">
      <alignment horizontal="center" vertical="center"/>
    </xf>
    <xf numFmtId="4" fontId="16" fillId="0" borderId="17" xfId="13" applyNumberFormat="1" applyFont="1" applyBorder="1" applyAlignment="1">
      <alignment horizontal="center" vertical="center"/>
    </xf>
    <xf numFmtId="4" fontId="19" fillId="0" borderId="0" xfId="13" applyNumberFormat="1" applyFont="1" applyAlignment="1">
      <alignment vertical="center"/>
    </xf>
    <xf numFmtId="4" fontId="19" fillId="0" borderId="0" xfId="13" applyNumberFormat="1" applyFont="1" applyAlignment="1">
      <alignment horizontal="center" vertical="center"/>
    </xf>
    <xf numFmtId="4" fontId="18" fillId="2" borderId="66" xfId="13" applyNumberFormat="1" applyFont="1" applyFill="1" applyBorder="1" applyAlignment="1">
      <alignment horizontal="center" vertical="center"/>
    </xf>
    <xf numFmtId="4" fontId="18" fillId="2" borderId="67" xfId="13" applyNumberFormat="1" applyFont="1" applyFill="1" applyBorder="1" applyAlignment="1">
      <alignment horizontal="center" vertical="center"/>
    </xf>
    <xf numFmtId="4" fontId="18" fillId="2" borderId="59" xfId="13" applyNumberFormat="1" applyFont="1" applyFill="1" applyBorder="1" applyAlignment="1">
      <alignment horizontal="center" vertical="center"/>
    </xf>
    <xf numFmtId="168" fontId="14" fillId="0" borderId="0" xfId="13" applyNumberFormat="1" applyAlignment="1">
      <alignment horizontal="center" vertical="center"/>
    </xf>
    <xf numFmtId="3" fontId="14" fillId="0" borderId="0" xfId="13" applyNumberFormat="1" applyAlignment="1">
      <alignment horizontal="center" vertical="center"/>
    </xf>
    <xf numFmtId="0" fontId="4" fillId="0" borderId="0" xfId="3" applyFont="1" applyAlignment="1">
      <alignment horizontal="center" vertical="center"/>
    </xf>
    <xf numFmtId="4" fontId="14" fillId="0" borderId="0" xfId="13" applyNumberFormat="1" applyAlignment="1">
      <alignment horizontal="center" vertical="center" wrapText="1"/>
    </xf>
    <xf numFmtId="169" fontId="20" fillId="0" borderId="0" xfId="13" applyNumberFormat="1" applyFont="1" applyAlignment="1">
      <alignment horizontal="center" vertical="center"/>
    </xf>
    <xf numFmtId="44" fontId="20" fillId="0" borderId="0" xfId="14" applyFont="1" applyFill="1" applyBorder="1" applyAlignment="1">
      <alignment vertical="center"/>
    </xf>
    <xf numFmtId="168" fontId="12" fillId="0" borderId="68" xfId="13" applyNumberFormat="1" applyFont="1" applyBorder="1" applyAlignment="1">
      <alignment vertical="center"/>
    </xf>
    <xf numFmtId="168" fontId="12" fillId="0" borderId="69" xfId="13" applyNumberFormat="1" applyFont="1" applyBorder="1" applyAlignment="1">
      <alignment vertical="center"/>
    </xf>
    <xf numFmtId="4" fontId="12" fillId="0" borderId="69" xfId="13" applyNumberFormat="1" applyFont="1" applyBorder="1" applyAlignment="1">
      <alignment horizontal="center" vertical="center" wrapText="1"/>
    </xf>
    <xf numFmtId="0" fontId="12" fillId="0" borderId="69" xfId="13" applyFont="1" applyBorder="1" applyAlignment="1">
      <alignment horizontal="center" vertical="center" wrapText="1"/>
    </xf>
    <xf numFmtId="44" fontId="12" fillId="0" borderId="69" xfId="2" applyFont="1" applyFill="1" applyBorder="1" applyAlignment="1">
      <alignment horizontal="center" vertical="center" wrapText="1"/>
    </xf>
    <xf numFmtId="44" fontId="12" fillId="0" borderId="70" xfId="2" applyFont="1" applyFill="1" applyBorder="1" applyAlignment="1">
      <alignment horizontal="center" vertical="center" wrapText="1"/>
    </xf>
    <xf numFmtId="168" fontId="14" fillId="4" borderId="71" xfId="13" applyNumberFormat="1" applyFill="1" applyBorder="1" applyAlignment="1">
      <alignment horizontal="center" vertical="center"/>
    </xf>
    <xf numFmtId="3" fontId="20" fillId="4" borderId="72" xfId="13" applyNumberFormat="1" applyFont="1" applyFill="1" applyBorder="1" applyAlignment="1">
      <alignment horizontal="center" vertical="center"/>
    </xf>
    <xf numFmtId="3" fontId="14" fillId="4" borderId="72" xfId="13" applyNumberFormat="1" applyFill="1" applyBorder="1" applyAlignment="1">
      <alignment horizontal="center" vertical="center"/>
    </xf>
    <xf numFmtId="0" fontId="4" fillId="4" borderId="73" xfId="3" applyFont="1" applyFill="1" applyBorder="1" applyAlignment="1">
      <alignment horizontal="center" vertical="center"/>
    </xf>
    <xf numFmtId="4" fontId="14" fillId="4" borderId="72" xfId="13" applyNumberFormat="1" applyFill="1" applyBorder="1" applyAlignment="1">
      <alignment horizontal="center" vertical="center" wrapText="1"/>
    </xf>
    <xf numFmtId="4" fontId="14" fillId="4" borderId="72" xfId="13" applyNumberFormat="1" applyFill="1" applyBorder="1" applyAlignment="1">
      <alignment horizontal="center" vertical="center"/>
    </xf>
    <xf numFmtId="169" fontId="20" fillId="4" borderId="73" xfId="13" applyNumberFormat="1" applyFont="1" applyFill="1" applyBorder="1" applyAlignment="1">
      <alignment horizontal="center" vertical="center"/>
    </xf>
    <xf numFmtId="0" fontId="14" fillId="4" borderId="72" xfId="13" applyFill="1" applyBorder="1" applyAlignment="1">
      <alignment horizontal="center" vertical="center"/>
    </xf>
    <xf numFmtId="44" fontId="14" fillId="4" borderId="74" xfId="14" applyFont="1" applyFill="1" applyBorder="1" applyAlignment="1">
      <alignment vertical="center"/>
    </xf>
    <xf numFmtId="44" fontId="14" fillId="4" borderId="75" xfId="14" applyFont="1" applyFill="1" applyBorder="1" applyAlignment="1">
      <alignment vertical="center"/>
    </xf>
    <xf numFmtId="44" fontId="14" fillId="4" borderId="76" xfId="14" applyFont="1" applyFill="1" applyBorder="1" applyAlignment="1">
      <alignment vertical="center"/>
    </xf>
    <xf numFmtId="14" fontId="1" fillId="2" borderId="62" xfId="13" applyNumberFormat="1" applyFont="1" applyFill="1" applyBorder="1" applyAlignment="1">
      <alignment horizontal="center" vertical="center"/>
    </xf>
    <xf numFmtId="3" fontId="1" fillId="2" borderId="63" xfId="13" applyNumberFormat="1" applyFont="1" applyFill="1" applyBorder="1" applyAlignment="1">
      <alignment horizontal="center" vertical="center"/>
    </xf>
    <xf numFmtId="3" fontId="14" fillId="0" borderId="63" xfId="13" applyNumberFormat="1" applyBorder="1" applyAlignment="1">
      <alignment horizontal="center" vertical="center"/>
    </xf>
    <xf numFmtId="3" fontId="14" fillId="2" borderId="34" xfId="13" applyNumberFormat="1" applyFill="1" applyBorder="1" applyAlignment="1">
      <alignment horizontal="center" vertical="center"/>
    </xf>
    <xf numFmtId="0" fontId="4" fillId="0" borderId="34" xfId="3" applyFont="1" applyBorder="1" applyAlignment="1">
      <alignment horizontal="center" vertical="center"/>
    </xf>
    <xf numFmtId="4" fontId="14" fillId="2" borderId="63" xfId="13" applyNumberFormat="1" applyFill="1" applyBorder="1" applyAlignment="1">
      <alignment horizontal="center" vertical="center" wrapText="1"/>
    </xf>
    <xf numFmtId="4" fontId="14" fillId="2" borderId="63" xfId="13" applyNumberFormat="1" applyFill="1" applyBorder="1" applyAlignment="1">
      <alignment horizontal="center" vertical="center"/>
    </xf>
    <xf numFmtId="169" fontId="1" fillId="2" borderId="63" xfId="13" applyNumberFormat="1" applyFont="1" applyFill="1" applyBorder="1" applyAlignment="1">
      <alignment horizontal="center" vertical="center"/>
    </xf>
    <xf numFmtId="0" fontId="14" fillId="2" borderId="63" xfId="13" applyFill="1" applyBorder="1" applyAlignment="1">
      <alignment horizontal="center" vertical="center"/>
    </xf>
    <xf numFmtId="44" fontId="14" fillId="2" borderId="63" xfId="14" applyFont="1" applyFill="1" applyBorder="1" applyAlignment="1">
      <alignment vertical="center"/>
    </xf>
    <xf numFmtId="44" fontId="14" fillId="2" borderId="5" xfId="14" applyFont="1" applyFill="1" applyBorder="1" applyAlignment="1">
      <alignment vertical="center"/>
    </xf>
    <xf numFmtId="3" fontId="1" fillId="2" borderId="34" xfId="13" applyNumberFormat="1" applyFont="1" applyFill="1" applyBorder="1" applyAlignment="1">
      <alignment horizontal="center" vertical="center"/>
    </xf>
    <xf numFmtId="3" fontId="14" fillId="0" borderId="34" xfId="13" applyNumberFormat="1" applyBorder="1" applyAlignment="1">
      <alignment horizontal="center" vertical="center"/>
    </xf>
    <xf numFmtId="4" fontId="14" fillId="2" borderId="34" xfId="13" applyNumberFormat="1" applyFill="1" applyBorder="1" applyAlignment="1">
      <alignment horizontal="center" vertical="center" wrapText="1"/>
    </xf>
    <xf numFmtId="4" fontId="14" fillId="2" borderId="34" xfId="13" applyNumberFormat="1" applyFill="1" applyBorder="1" applyAlignment="1">
      <alignment horizontal="center" vertical="center"/>
    </xf>
    <xf numFmtId="169" fontId="1" fillId="2" borderId="34" xfId="13" applyNumberFormat="1" applyFont="1" applyFill="1" applyBorder="1" applyAlignment="1">
      <alignment horizontal="center" vertical="center"/>
    </xf>
    <xf numFmtId="44" fontId="14" fillId="2" borderId="34" xfId="14" applyFont="1" applyFill="1" applyBorder="1" applyAlignment="1">
      <alignment vertical="center"/>
    </xf>
    <xf numFmtId="44" fontId="14" fillId="2" borderId="9" xfId="14" applyFont="1" applyFill="1" applyBorder="1" applyAlignment="1">
      <alignment vertical="center"/>
    </xf>
    <xf numFmtId="44" fontId="14" fillId="2" borderId="31" xfId="14" applyFont="1" applyFill="1" applyBorder="1" applyAlignment="1">
      <alignment vertical="center"/>
    </xf>
    <xf numFmtId="14" fontId="0" fillId="2" borderId="77" xfId="0" applyNumberFormat="1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0" borderId="34" xfId="0" applyBorder="1" applyAlignment="1">
      <alignment horizontal="center"/>
    </xf>
    <xf numFmtId="2" fontId="0" fillId="0" borderId="34" xfId="0" applyNumberFormat="1" applyBorder="1" applyAlignment="1">
      <alignment horizontal="center"/>
    </xf>
    <xf numFmtId="4" fontId="19" fillId="5" borderId="0" xfId="13" applyNumberFormat="1" applyFont="1" applyFill="1" applyAlignment="1">
      <alignment horizontal="center" vertical="center"/>
    </xf>
    <xf numFmtId="0" fontId="4" fillId="2" borderId="34" xfId="3" applyFont="1" applyFill="1" applyBorder="1" applyAlignment="1">
      <alignment horizontal="center" vertical="center"/>
    </xf>
    <xf numFmtId="2" fontId="0" fillId="2" borderId="34" xfId="0" applyNumberFormat="1" applyFill="1" applyBorder="1" applyAlignment="1">
      <alignment horizontal="center"/>
    </xf>
    <xf numFmtId="0" fontId="14" fillId="2" borderId="34" xfId="13" applyFill="1" applyBorder="1" applyAlignment="1">
      <alignment horizontal="center" vertical="center"/>
    </xf>
    <xf numFmtId="4" fontId="16" fillId="2" borderId="17" xfId="13" applyNumberFormat="1" applyFont="1" applyFill="1" applyBorder="1" applyAlignment="1">
      <alignment horizontal="center" vertical="center"/>
    </xf>
    <xf numFmtId="14" fontId="0" fillId="0" borderId="77" xfId="0" applyNumberFormat="1" applyBorder="1" applyAlignment="1">
      <alignment horizontal="center"/>
    </xf>
    <xf numFmtId="44" fontId="14" fillId="2" borderId="41" xfId="14" applyFont="1" applyFill="1" applyBorder="1" applyAlignment="1">
      <alignment vertical="center"/>
    </xf>
    <xf numFmtId="4" fontId="19" fillId="0" borderId="65" xfId="13" applyNumberFormat="1" applyFont="1" applyBorder="1" applyAlignment="1">
      <alignment horizontal="center" vertical="center"/>
    </xf>
    <xf numFmtId="4" fontId="19" fillId="0" borderId="66" xfId="13" applyNumberFormat="1" applyFont="1" applyBorder="1" applyAlignment="1">
      <alignment horizontal="center" vertical="center"/>
    </xf>
    <xf numFmtId="4" fontId="19" fillId="0" borderId="67" xfId="13" applyNumberFormat="1" applyFont="1" applyBorder="1" applyAlignment="1">
      <alignment horizontal="center" vertical="center"/>
    </xf>
    <xf numFmtId="168" fontId="14" fillId="0" borderId="78" xfId="13" applyNumberFormat="1" applyBorder="1" applyAlignment="1">
      <alignment horizontal="center" vertical="center"/>
    </xf>
    <xf numFmtId="3" fontId="14" fillId="0" borderId="79" xfId="13" applyNumberFormat="1" applyBorder="1" applyAlignment="1">
      <alignment horizontal="center" vertical="center"/>
    </xf>
    <xf numFmtId="49" fontId="14" fillId="0" borderId="79" xfId="13" applyNumberFormat="1" applyBorder="1" applyAlignment="1">
      <alignment horizontal="center" vertical="center"/>
    </xf>
    <xf numFmtId="0" fontId="4" fillId="0" borderId="79" xfId="3" applyFont="1" applyBorder="1" applyAlignment="1">
      <alignment horizontal="center" vertical="center"/>
    </xf>
    <xf numFmtId="4" fontId="14" fillId="0" borderId="79" xfId="13" applyNumberFormat="1" applyBorder="1" applyAlignment="1">
      <alignment horizontal="center" vertical="center" wrapText="1"/>
    </xf>
    <xf numFmtId="4" fontId="14" fillId="0" borderId="79" xfId="13" applyNumberFormat="1" applyBorder="1" applyAlignment="1">
      <alignment horizontal="center" vertical="center"/>
    </xf>
    <xf numFmtId="169" fontId="20" fillId="0" borderId="79" xfId="13" applyNumberFormat="1" applyFont="1" applyBorder="1" applyAlignment="1">
      <alignment horizontal="center" vertical="center"/>
    </xf>
    <xf numFmtId="170" fontId="14" fillId="0" borderId="79" xfId="13" applyNumberFormat="1" applyBorder="1" applyAlignment="1">
      <alignment horizontal="center" vertical="center"/>
    </xf>
    <xf numFmtId="44" fontId="14" fillId="0" borderId="79" xfId="13" applyNumberFormat="1" applyBorder="1" applyAlignment="1">
      <alignment horizontal="center" vertical="center"/>
    </xf>
    <xf numFmtId="169" fontId="20" fillId="0" borderId="80" xfId="13" applyNumberFormat="1" applyFont="1" applyBorder="1" applyAlignment="1">
      <alignment horizontal="center" vertical="center"/>
    </xf>
    <xf numFmtId="44" fontId="20" fillId="0" borderId="81" xfId="14" applyFont="1" applyFill="1" applyBorder="1" applyAlignment="1">
      <alignment vertical="center"/>
    </xf>
    <xf numFmtId="1" fontId="0" fillId="2" borderId="33" xfId="0" applyNumberFormat="1" applyFill="1" applyBorder="1" applyAlignment="1">
      <alignment horizontal="center"/>
    </xf>
    <xf numFmtId="3" fontId="14" fillId="0" borderId="33" xfId="13" applyNumberFormat="1" applyBorder="1" applyAlignment="1">
      <alignment horizontal="center" vertical="center"/>
    </xf>
    <xf numFmtId="0" fontId="4" fillId="0" borderId="33" xfId="3" applyFont="1" applyBorder="1" applyAlignment="1">
      <alignment horizontal="center" vertical="center"/>
    </xf>
    <xf numFmtId="4" fontId="14" fillId="2" borderId="33" xfId="13" applyNumberFormat="1" applyFill="1" applyBorder="1" applyAlignment="1">
      <alignment horizontal="center" vertical="center" wrapText="1"/>
    </xf>
    <xf numFmtId="4" fontId="14" fillId="2" borderId="33" xfId="13" applyNumberFormat="1" applyFill="1" applyBorder="1" applyAlignment="1">
      <alignment horizontal="center" vertical="center"/>
    </xf>
    <xf numFmtId="2" fontId="0" fillId="2" borderId="33" xfId="0" applyNumberFormat="1" applyFill="1" applyBorder="1" applyAlignment="1">
      <alignment horizontal="center"/>
    </xf>
    <xf numFmtId="0" fontId="14" fillId="2" borderId="33" xfId="13" applyFill="1" applyBorder="1" applyAlignment="1">
      <alignment horizontal="center" vertical="center"/>
    </xf>
    <xf numFmtId="44" fontId="14" fillId="2" borderId="38" xfId="14" applyFont="1" applyFill="1" applyBorder="1" applyAlignment="1">
      <alignment vertical="center"/>
    </xf>
    <xf numFmtId="168" fontId="12" fillId="0" borderId="1" xfId="13" applyNumberFormat="1" applyFont="1" applyBorder="1" applyAlignment="1">
      <alignment vertical="center"/>
    </xf>
    <xf numFmtId="168" fontId="12" fillId="0" borderId="2" xfId="13" applyNumberFormat="1" applyFont="1" applyBorder="1" applyAlignment="1">
      <alignment vertical="center"/>
    </xf>
    <xf numFmtId="4" fontId="12" fillId="0" borderId="2" xfId="13" applyNumberFormat="1" applyFont="1" applyBorder="1" applyAlignment="1">
      <alignment horizontal="center" vertical="center" wrapText="1"/>
    </xf>
    <xf numFmtId="0" fontId="12" fillId="0" borderId="2" xfId="13" applyFont="1" applyBorder="1" applyAlignment="1">
      <alignment horizontal="center" vertical="center" wrapText="1"/>
    </xf>
    <xf numFmtId="44" fontId="12" fillId="0" borderId="2" xfId="2" applyFont="1" applyFill="1" applyBorder="1" applyAlignment="1">
      <alignment horizontal="center" vertical="center" wrapText="1"/>
    </xf>
    <xf numFmtId="44" fontId="12" fillId="0" borderId="61" xfId="2" applyFont="1" applyFill="1" applyBorder="1" applyAlignment="1">
      <alignment horizontal="center" vertical="center" wrapText="1"/>
    </xf>
    <xf numFmtId="168" fontId="14" fillId="4" borderId="82" xfId="13" applyNumberFormat="1" applyFill="1" applyBorder="1" applyAlignment="1">
      <alignment horizontal="center" vertical="center"/>
    </xf>
    <xf numFmtId="3" fontId="20" fillId="4" borderId="83" xfId="13" applyNumberFormat="1" applyFont="1" applyFill="1" applyBorder="1" applyAlignment="1">
      <alignment horizontal="center" vertical="center"/>
    </xf>
    <xf numFmtId="3" fontId="14" fillId="4" borderId="83" xfId="13" applyNumberFormat="1" applyFill="1" applyBorder="1" applyAlignment="1">
      <alignment horizontal="center" vertical="center"/>
    </xf>
    <xf numFmtId="0" fontId="4" fillId="4" borderId="83" xfId="3" applyFont="1" applyFill="1" applyBorder="1" applyAlignment="1">
      <alignment horizontal="center" vertical="center"/>
    </xf>
    <xf numFmtId="4" fontId="14" fillId="4" borderId="83" xfId="13" applyNumberFormat="1" applyFill="1" applyBorder="1" applyAlignment="1">
      <alignment horizontal="center" vertical="center" wrapText="1"/>
    </xf>
    <xf numFmtId="4" fontId="14" fillId="4" borderId="83" xfId="13" applyNumberFormat="1" applyFill="1" applyBorder="1" applyAlignment="1">
      <alignment horizontal="center" vertical="center"/>
    </xf>
    <xf numFmtId="169" fontId="20" fillId="4" borderId="83" xfId="13" applyNumberFormat="1" applyFont="1" applyFill="1" applyBorder="1" applyAlignment="1">
      <alignment horizontal="center" vertical="center"/>
    </xf>
    <xf numFmtId="0" fontId="14" fillId="4" borderId="83" xfId="13" applyFill="1" applyBorder="1" applyAlignment="1">
      <alignment horizontal="center" vertical="center"/>
    </xf>
    <xf numFmtId="44" fontId="14" fillId="4" borderId="83" xfId="14" applyFont="1" applyFill="1" applyBorder="1" applyAlignment="1">
      <alignment vertical="center"/>
    </xf>
    <xf numFmtId="44" fontId="14" fillId="4" borderId="84" xfId="14" applyFont="1" applyFill="1" applyBorder="1" applyAlignment="1">
      <alignment vertical="center"/>
    </xf>
    <xf numFmtId="44" fontId="14" fillId="4" borderId="85" xfId="14" applyFont="1" applyFill="1" applyBorder="1" applyAlignment="1">
      <alignment vertical="center"/>
    </xf>
    <xf numFmtId="14" fontId="21" fillId="0" borderId="32" xfId="0" applyNumberFormat="1" applyFont="1" applyBorder="1" applyAlignment="1">
      <alignment horizontal="center"/>
    </xf>
    <xf numFmtId="0" fontId="0" fillId="2" borderId="33" xfId="0" applyFill="1" applyBorder="1" applyAlignment="1">
      <alignment horizontal="center"/>
    </xf>
    <xf numFmtId="44" fontId="14" fillId="0" borderId="33" xfId="13" applyNumberFormat="1" applyBorder="1" applyAlignment="1">
      <alignment horizontal="center" vertical="center"/>
    </xf>
    <xf numFmtId="44" fontId="14" fillId="2" borderId="12" xfId="14" applyFont="1" applyFill="1" applyBorder="1" applyAlignment="1">
      <alignment vertical="center"/>
    </xf>
    <xf numFmtId="14" fontId="21" fillId="0" borderId="77" xfId="0" applyNumberFormat="1" applyFont="1" applyBorder="1" applyAlignment="1">
      <alignment horizontal="center"/>
    </xf>
    <xf numFmtId="1" fontId="0" fillId="2" borderId="34" xfId="0" applyNumberFormat="1" applyFill="1" applyBorder="1" applyAlignment="1">
      <alignment horizontal="center"/>
    </xf>
    <xf numFmtId="0" fontId="22" fillId="0" borderId="34" xfId="0" applyFont="1" applyBorder="1" applyAlignment="1">
      <alignment horizontal="center"/>
    </xf>
    <xf numFmtId="4" fontId="19" fillId="0" borderId="34" xfId="13" applyNumberFormat="1" applyFont="1" applyBorder="1" applyAlignment="1">
      <alignment horizontal="center" vertical="center"/>
    </xf>
    <xf numFmtId="44" fontId="14" fillId="0" borderId="34" xfId="13" applyNumberFormat="1" applyBorder="1" applyAlignment="1">
      <alignment horizontal="center" vertical="center"/>
    </xf>
    <xf numFmtId="44" fontId="14" fillId="2" borderId="30" xfId="14" applyFont="1" applyFill="1" applyBorder="1" applyAlignment="1">
      <alignment vertical="center"/>
    </xf>
    <xf numFmtId="0" fontId="22" fillId="2" borderId="34" xfId="0" applyFont="1" applyFill="1" applyBorder="1" applyAlignment="1">
      <alignment horizontal="center"/>
    </xf>
    <xf numFmtId="14" fontId="21" fillId="0" borderId="65" xfId="0" applyNumberFormat="1" applyFont="1" applyBorder="1" applyAlignment="1">
      <alignment horizontal="center"/>
    </xf>
    <xf numFmtId="1" fontId="0" fillId="2" borderId="66" xfId="0" applyNumberFormat="1" applyFill="1" applyBorder="1" applyAlignment="1">
      <alignment horizontal="center"/>
    </xf>
    <xf numFmtId="3" fontId="14" fillId="0" borderId="66" xfId="13" applyNumberFormat="1" applyBorder="1" applyAlignment="1">
      <alignment horizontal="center" vertical="center"/>
    </xf>
    <xf numFmtId="0" fontId="22" fillId="0" borderId="66" xfId="0" applyFont="1" applyBorder="1" applyAlignment="1">
      <alignment horizontal="center"/>
    </xf>
    <xf numFmtId="0" fontId="4" fillId="0" borderId="66" xfId="3" applyFont="1" applyBorder="1" applyAlignment="1">
      <alignment horizontal="center" vertical="center"/>
    </xf>
    <xf numFmtId="4" fontId="14" fillId="2" borderId="66" xfId="13" applyNumberFormat="1" applyFill="1" applyBorder="1" applyAlignment="1">
      <alignment horizontal="center" vertical="center" wrapText="1"/>
    </xf>
    <xf numFmtId="4" fontId="14" fillId="2" borderId="66" xfId="13" applyNumberFormat="1" applyFill="1" applyBorder="1" applyAlignment="1">
      <alignment horizontal="center" vertical="center"/>
    </xf>
    <xf numFmtId="2" fontId="0" fillId="2" borderId="66" xfId="0" applyNumberFormat="1" applyFill="1" applyBorder="1" applyAlignment="1">
      <alignment horizontal="center"/>
    </xf>
    <xf numFmtId="0" fontId="14" fillId="2" borderId="66" xfId="13" applyFill="1" applyBorder="1" applyAlignment="1">
      <alignment horizontal="center" vertical="center"/>
    </xf>
    <xf numFmtId="44" fontId="14" fillId="2" borderId="66" xfId="14" applyFont="1" applyFill="1" applyBorder="1" applyAlignment="1">
      <alignment vertical="center"/>
    </xf>
    <xf numFmtId="44" fontId="14" fillId="2" borderId="67" xfId="14" applyFont="1" applyFill="1" applyBorder="1" applyAlignment="1">
      <alignment vertical="center"/>
    </xf>
    <xf numFmtId="44" fontId="14" fillId="2" borderId="59" xfId="14" applyFont="1" applyFill="1" applyBorder="1" applyAlignment="1">
      <alignment vertical="center"/>
    </xf>
    <xf numFmtId="168" fontId="14" fillId="0" borderId="86" xfId="13" applyNumberFormat="1" applyBorder="1" applyAlignment="1">
      <alignment horizontal="center" vertical="center"/>
    </xf>
    <xf numFmtId="3" fontId="14" fillId="0" borderId="87" xfId="13" applyNumberFormat="1" applyBorder="1" applyAlignment="1">
      <alignment horizontal="center" vertical="center"/>
    </xf>
    <xf numFmtId="49" fontId="14" fillId="0" borderId="87" xfId="13" applyNumberFormat="1" applyBorder="1" applyAlignment="1">
      <alignment horizontal="center" vertical="center"/>
    </xf>
    <xf numFmtId="0" fontId="4" fillId="0" borderId="87" xfId="3" applyFont="1" applyBorder="1" applyAlignment="1">
      <alignment horizontal="center" vertical="center"/>
    </xf>
    <xf numFmtId="4" fontId="14" fillId="0" borderId="87" xfId="13" applyNumberFormat="1" applyBorder="1" applyAlignment="1">
      <alignment horizontal="center" vertical="center" wrapText="1"/>
    </xf>
    <xf numFmtId="4" fontId="14" fillId="0" borderId="87" xfId="13" applyNumberFormat="1" applyBorder="1" applyAlignment="1">
      <alignment horizontal="center" vertical="center"/>
    </xf>
    <xf numFmtId="169" fontId="20" fillId="0" borderId="87" xfId="13" applyNumberFormat="1" applyFont="1" applyBorder="1" applyAlignment="1">
      <alignment horizontal="center" vertical="center"/>
    </xf>
    <xf numFmtId="2" fontId="20" fillId="0" borderId="87" xfId="13" applyNumberFormat="1" applyFont="1" applyBorder="1" applyAlignment="1">
      <alignment horizontal="center" vertical="center"/>
    </xf>
    <xf numFmtId="44" fontId="20" fillId="0" borderId="87" xfId="13" applyNumberFormat="1" applyFont="1" applyBorder="1" applyAlignment="1">
      <alignment horizontal="center" vertical="center"/>
    </xf>
    <xf numFmtId="169" fontId="20" fillId="0" borderId="88" xfId="13" applyNumberFormat="1" applyFont="1" applyBorder="1" applyAlignment="1">
      <alignment horizontal="center" vertical="center"/>
    </xf>
    <xf numFmtId="44" fontId="20" fillId="0" borderId="60" xfId="14" applyFont="1" applyFill="1" applyBorder="1" applyAlignment="1">
      <alignment vertical="center"/>
    </xf>
    <xf numFmtId="168" fontId="14" fillId="0" borderId="6" xfId="13" applyNumberFormat="1" applyBorder="1" applyAlignment="1">
      <alignment horizontal="center" vertical="center"/>
    </xf>
    <xf numFmtId="49" fontId="14" fillId="0" borderId="0" xfId="13" applyNumberFormat="1" applyAlignment="1">
      <alignment horizontal="center" vertical="center"/>
    </xf>
    <xf numFmtId="0" fontId="14" fillId="0" borderId="0" xfId="13" applyAlignment="1">
      <alignment horizontal="center" vertical="center"/>
    </xf>
    <xf numFmtId="44" fontId="14" fillId="0" borderId="0" xfId="13" applyNumberFormat="1" applyAlignment="1">
      <alignment horizontal="center" vertical="center"/>
    </xf>
    <xf numFmtId="4" fontId="16" fillId="0" borderId="0" xfId="13" applyNumberFormat="1" applyFont="1" applyAlignment="1">
      <alignment horizontal="center" vertical="center"/>
    </xf>
    <xf numFmtId="168" fontId="14" fillId="2" borderId="54" xfId="13" applyNumberFormat="1" applyFill="1" applyBorder="1" applyAlignment="1">
      <alignment horizontal="center" vertical="center"/>
    </xf>
    <xf numFmtId="4" fontId="14" fillId="2" borderId="54" xfId="13" applyNumberFormat="1" applyFill="1" applyBorder="1" applyAlignment="1">
      <alignment vertical="center"/>
    </xf>
    <xf numFmtId="4" fontId="14" fillId="2" borderId="54" xfId="13" applyNumberFormat="1" applyFill="1" applyBorder="1" applyAlignment="1">
      <alignment horizontal="center" vertical="center"/>
    </xf>
    <xf numFmtId="44" fontId="2" fillId="2" borderId="54" xfId="14" applyFont="1" applyFill="1" applyBorder="1" applyAlignment="1">
      <alignment vertical="center"/>
    </xf>
    <xf numFmtId="0" fontId="14" fillId="2" borderId="54" xfId="13" applyFill="1" applyBorder="1" applyAlignment="1">
      <alignment vertical="center"/>
    </xf>
    <xf numFmtId="4" fontId="14" fillId="2" borderId="54" xfId="13" applyNumberFormat="1" applyFill="1" applyBorder="1" applyAlignment="1">
      <alignment horizontal="right" vertical="center"/>
    </xf>
    <xf numFmtId="4" fontId="14" fillId="2" borderId="0" xfId="13" applyNumberFormat="1" applyFill="1" applyAlignment="1">
      <alignment vertical="center"/>
    </xf>
    <xf numFmtId="4" fontId="20" fillId="2" borderId="0" xfId="13" applyNumberFormat="1" applyFont="1" applyFill="1" applyAlignment="1">
      <alignment vertical="center"/>
    </xf>
    <xf numFmtId="0" fontId="14" fillId="2" borderId="0" xfId="13" applyFill="1" applyAlignment="1">
      <alignment vertical="center"/>
    </xf>
    <xf numFmtId="4" fontId="3" fillId="0" borderId="0" xfId="13" applyNumberFormat="1" applyFont="1" applyAlignment="1">
      <alignment vertical="center"/>
    </xf>
    <xf numFmtId="4" fontId="14" fillId="2" borderId="0" xfId="13" applyNumberFormat="1" applyFill="1" applyAlignment="1">
      <alignment horizontal="center"/>
    </xf>
    <xf numFmtId="4" fontId="14" fillId="2" borderId="1" xfId="13" applyNumberFormat="1" applyFill="1" applyBorder="1" applyAlignment="1">
      <alignment horizontal="center"/>
    </xf>
    <xf numFmtId="3" fontId="16" fillId="0" borderId="61" xfId="13" applyNumberFormat="1" applyFont="1" applyBorder="1" applyAlignment="1">
      <alignment horizontal="centerContinuous"/>
    </xf>
    <xf numFmtId="4" fontId="14" fillId="0" borderId="0" xfId="13" applyNumberFormat="1"/>
    <xf numFmtId="4" fontId="14" fillId="0" borderId="0" xfId="13" applyNumberFormat="1" applyAlignment="1">
      <alignment horizontal="center"/>
    </xf>
    <xf numFmtId="4" fontId="14" fillId="5" borderId="0" xfId="13" applyNumberFormat="1" applyFill="1"/>
    <xf numFmtId="4" fontId="14" fillId="2" borderId="6" xfId="13" applyNumberFormat="1" applyFill="1" applyBorder="1" applyAlignment="1">
      <alignment horizontal="center"/>
    </xf>
    <xf numFmtId="4" fontId="17" fillId="0" borderId="17" xfId="13" applyNumberFormat="1" applyFont="1" applyBorder="1" applyAlignment="1">
      <alignment horizontal="centerContinuous"/>
    </xf>
    <xf numFmtId="3" fontId="18" fillId="0" borderId="17" xfId="13" applyNumberFormat="1" applyFont="1" applyBorder="1" applyAlignment="1">
      <alignment horizontal="left"/>
    </xf>
    <xf numFmtId="4" fontId="3" fillId="0" borderId="17" xfId="13" applyNumberFormat="1" applyFont="1" applyBorder="1"/>
    <xf numFmtId="4" fontId="16" fillId="0" borderId="17" xfId="13" applyNumberFormat="1" applyFont="1" applyBorder="1" applyAlignment="1">
      <alignment horizontal="center"/>
    </xf>
    <xf numFmtId="4" fontId="19" fillId="0" borderId="0" xfId="13" applyNumberFormat="1" applyFont="1"/>
    <xf numFmtId="4" fontId="19" fillId="0" borderId="0" xfId="13" applyNumberFormat="1" applyFont="1" applyAlignment="1">
      <alignment horizontal="center"/>
    </xf>
    <xf numFmtId="4" fontId="18" fillId="0" borderId="32" xfId="13" applyNumberFormat="1" applyFont="1" applyBorder="1" applyAlignment="1">
      <alignment horizontal="left" vertical="center"/>
    </xf>
    <xf numFmtId="4" fontId="18" fillId="0" borderId="33" xfId="13" applyNumberFormat="1" applyFont="1" applyBorder="1" applyAlignment="1">
      <alignment horizontal="center" vertical="center"/>
    </xf>
    <xf numFmtId="4" fontId="18" fillId="0" borderId="33" xfId="13" applyNumberFormat="1" applyFont="1" applyBorder="1" applyAlignment="1">
      <alignment horizontal="center" vertical="center" wrapText="1"/>
    </xf>
    <xf numFmtId="0" fontId="18" fillId="0" borderId="33" xfId="13" applyFont="1" applyBorder="1" applyAlignment="1">
      <alignment horizontal="center" vertical="center" wrapText="1"/>
    </xf>
    <xf numFmtId="44" fontId="18" fillId="0" borderId="33" xfId="2" applyFont="1" applyFill="1" applyBorder="1" applyAlignment="1">
      <alignment horizontal="center" vertical="center" wrapText="1"/>
    </xf>
    <xf numFmtId="44" fontId="18" fillId="0" borderId="38" xfId="2" applyFont="1" applyFill="1" applyBorder="1" applyAlignment="1">
      <alignment horizontal="center" vertical="center"/>
    </xf>
    <xf numFmtId="4" fontId="18" fillId="0" borderId="32" xfId="13" applyNumberFormat="1" applyFont="1" applyBorder="1" applyAlignment="1">
      <alignment horizontal="center" vertical="center"/>
    </xf>
    <xf numFmtId="165" fontId="26" fillId="0" borderId="77" xfId="15" applyNumberFormat="1" applyFont="1" applyBorder="1" applyAlignment="1">
      <alignment horizontal="center" vertical="top" shrinkToFit="1"/>
    </xf>
    <xf numFmtId="0" fontId="27" fillId="0" borderId="34" xfId="16" applyFont="1" applyBorder="1" applyAlignment="1">
      <alignment horizontal="center" vertical="top" wrapText="1"/>
    </xf>
    <xf numFmtId="4" fontId="14" fillId="0" borderId="34" xfId="13" applyNumberFormat="1" applyBorder="1" applyAlignment="1">
      <alignment horizontal="center" vertical="center" wrapText="1"/>
    </xf>
    <xf numFmtId="0" fontId="14" fillId="0" borderId="34" xfId="13" applyBorder="1" applyAlignment="1">
      <alignment horizontal="center" vertical="center" wrapText="1"/>
    </xf>
    <xf numFmtId="171" fontId="14" fillId="0" borderId="34" xfId="13" applyNumberFormat="1" applyBorder="1" applyAlignment="1">
      <alignment horizontal="center" vertical="center" wrapText="1"/>
    </xf>
    <xf numFmtId="44" fontId="14" fillId="0" borderId="34" xfId="2" applyFont="1" applyFill="1" applyBorder="1" applyAlignment="1">
      <alignment horizontal="center" vertical="center"/>
    </xf>
    <xf numFmtId="8" fontId="27" fillId="0" borderId="9" xfId="17" applyNumberFormat="1" applyFont="1" applyBorder="1" applyAlignment="1">
      <alignment horizontal="center" vertical="top" wrapText="1"/>
    </xf>
    <xf numFmtId="165" fontId="26" fillId="0" borderId="65" xfId="15" applyNumberFormat="1" applyFont="1" applyBorder="1" applyAlignment="1">
      <alignment horizontal="center" vertical="top" shrinkToFit="1"/>
    </xf>
    <xf numFmtId="0" fontId="27" fillId="0" borderId="66" xfId="16" applyFont="1" applyBorder="1" applyAlignment="1">
      <alignment horizontal="center" vertical="top" wrapText="1"/>
    </xf>
    <xf numFmtId="0" fontId="4" fillId="3" borderId="66" xfId="3" applyFont="1" applyFill="1" applyBorder="1" applyAlignment="1">
      <alignment horizontal="center" vertical="center"/>
    </xf>
    <xf numFmtId="4" fontId="14" fillId="0" borderId="66" xfId="13" applyNumberFormat="1" applyBorder="1" applyAlignment="1">
      <alignment horizontal="center" vertical="center" wrapText="1"/>
    </xf>
    <xf numFmtId="0" fontId="14" fillId="0" borderId="66" xfId="13" applyBorder="1" applyAlignment="1">
      <alignment horizontal="center" vertical="center" wrapText="1"/>
    </xf>
    <xf numFmtId="171" fontId="14" fillId="0" borderId="66" xfId="13" applyNumberFormat="1" applyBorder="1" applyAlignment="1">
      <alignment horizontal="center" vertical="center" wrapText="1"/>
    </xf>
    <xf numFmtId="44" fontId="14" fillId="0" borderId="66" xfId="2" applyFont="1" applyFill="1" applyBorder="1" applyAlignment="1">
      <alignment horizontal="center" vertical="center"/>
    </xf>
    <xf numFmtId="8" fontId="27" fillId="0" borderId="67" xfId="17" applyNumberFormat="1" applyFont="1" applyBorder="1" applyAlignment="1">
      <alignment horizontal="center" vertical="top" wrapText="1"/>
    </xf>
    <xf numFmtId="165" fontId="28" fillId="0" borderId="91" xfId="15" applyNumberFormat="1" applyFont="1" applyBorder="1" applyAlignment="1">
      <alignment vertical="top" shrinkToFit="1"/>
    </xf>
    <xf numFmtId="8" fontId="14" fillId="0" borderId="89" xfId="2" applyNumberFormat="1" applyFont="1" applyFill="1" applyBorder="1" applyAlignment="1">
      <alignment vertical="center"/>
    </xf>
    <xf numFmtId="168" fontId="12" fillId="0" borderId="92" xfId="13" applyNumberFormat="1" applyFont="1" applyBorder="1" applyAlignment="1">
      <alignment horizontal="left" vertical="center"/>
    </xf>
    <xf numFmtId="171" fontId="30" fillId="0" borderId="89" xfId="13" applyNumberFormat="1" applyFont="1" applyBorder="1" applyAlignment="1">
      <alignment horizontal="center" vertical="center" wrapText="1"/>
    </xf>
    <xf numFmtId="44" fontId="30" fillId="0" borderId="89" xfId="2" applyFont="1" applyFill="1" applyBorder="1" applyAlignment="1">
      <alignment horizontal="center" vertical="center"/>
    </xf>
    <xf numFmtId="8" fontId="30" fillId="0" borderId="89" xfId="2" applyNumberFormat="1" applyFont="1" applyFill="1" applyBorder="1" applyAlignment="1">
      <alignment horizontal="center" vertical="center"/>
    </xf>
    <xf numFmtId="44" fontId="3" fillId="0" borderId="17" xfId="14" applyFont="1" applyFill="1" applyBorder="1"/>
    <xf numFmtId="44" fontId="16" fillId="0" borderId="17" xfId="14" applyFont="1" applyFill="1" applyBorder="1" applyAlignment="1">
      <alignment vertical="center"/>
    </xf>
    <xf numFmtId="4" fontId="14" fillId="2" borderId="53" xfId="13" applyNumberFormat="1" applyFill="1" applyBorder="1" applyAlignment="1">
      <alignment horizontal="center"/>
    </xf>
    <xf numFmtId="168" fontId="14" fillId="2" borderId="54" xfId="13" applyNumberFormat="1" applyFill="1" applyBorder="1" applyAlignment="1">
      <alignment horizontal="center"/>
    </xf>
    <xf numFmtId="4" fontId="14" fillId="2" borderId="54" xfId="13" applyNumberFormat="1" applyFill="1" applyBorder="1"/>
    <xf numFmtId="4" fontId="14" fillId="2" borderId="54" xfId="13" applyNumberFormat="1" applyFill="1" applyBorder="1" applyAlignment="1">
      <alignment horizontal="center"/>
    </xf>
    <xf numFmtId="0" fontId="14" fillId="2" borderId="54" xfId="13" applyFill="1" applyBorder="1" applyAlignment="1">
      <alignment wrapText="1"/>
    </xf>
    <xf numFmtId="0" fontId="0" fillId="2" borderId="54" xfId="14" applyNumberFormat="1" applyFont="1" applyFill="1" applyBorder="1" applyAlignment="1">
      <alignment wrapText="1"/>
    </xf>
    <xf numFmtId="44" fontId="14" fillId="2" borderId="54" xfId="2" applyFont="1" applyFill="1" applyBorder="1"/>
    <xf numFmtId="44" fontId="14" fillId="2" borderId="54" xfId="2" applyFont="1" applyFill="1" applyBorder="1" applyAlignment="1">
      <alignment horizontal="center"/>
    </xf>
    <xf numFmtId="4" fontId="3" fillId="0" borderId="60" xfId="13" applyNumberFormat="1" applyFont="1" applyBorder="1"/>
    <xf numFmtId="4" fontId="14" fillId="2" borderId="0" xfId="13" applyNumberFormat="1" applyFill="1"/>
    <xf numFmtId="0" fontId="14" fillId="2" borderId="0" xfId="13" applyFill="1" applyAlignment="1">
      <alignment wrapText="1"/>
    </xf>
    <xf numFmtId="44" fontId="14" fillId="2" borderId="0" xfId="2" applyFont="1" applyFill="1"/>
    <xf numFmtId="44" fontId="14" fillId="2" borderId="0" xfId="2" applyFont="1" applyFill="1" applyAlignment="1">
      <alignment horizontal="center"/>
    </xf>
    <xf numFmtId="4" fontId="3" fillId="0" borderId="0" xfId="13" applyNumberFormat="1" applyFont="1"/>
    <xf numFmtId="0" fontId="31" fillId="0" borderId="0" xfId="0" applyFont="1" applyAlignment="1">
      <alignment horizontal="left"/>
    </xf>
    <xf numFmtId="4" fontId="32" fillId="0" borderId="0" xfId="13" applyNumberFormat="1" applyFont="1"/>
    <xf numFmtId="4" fontId="14" fillId="2" borderId="11" xfId="13" applyNumberFormat="1" applyFill="1" applyBorder="1"/>
    <xf numFmtId="0" fontId="0" fillId="0" borderId="0" xfId="0" applyAlignment="1">
      <alignment horizontal="left" vertical="top"/>
    </xf>
    <xf numFmtId="4" fontId="14" fillId="0" borderId="1" xfId="13" applyNumberFormat="1" applyBorder="1"/>
    <xf numFmtId="4" fontId="14" fillId="0" borderId="61" xfId="13" applyNumberFormat="1" applyBorder="1"/>
    <xf numFmtId="4" fontId="14" fillId="0" borderId="6" xfId="13" applyNumberFormat="1" applyBorder="1"/>
    <xf numFmtId="4" fontId="14" fillId="0" borderId="17" xfId="13" applyNumberFormat="1" applyBorder="1"/>
    <xf numFmtId="4" fontId="19" fillId="0" borderId="6" xfId="13" applyNumberFormat="1" applyFont="1" applyBorder="1" applyAlignment="1">
      <alignment horizontal="center" vertical="center"/>
    </xf>
    <xf numFmtId="4" fontId="18" fillId="6" borderId="97" xfId="13" applyNumberFormat="1" applyFont="1" applyFill="1" applyBorder="1" applyAlignment="1">
      <alignment horizontal="center" vertical="center" wrapText="1"/>
    </xf>
    <xf numFmtId="14" fontId="18" fillId="6" borderId="98" xfId="13" applyNumberFormat="1" applyFont="1" applyFill="1" applyBorder="1" applyAlignment="1">
      <alignment horizontal="center" vertical="center"/>
    </xf>
    <xf numFmtId="0" fontId="18" fillId="6" borderId="99" xfId="13" applyFont="1" applyFill="1" applyBorder="1" applyAlignment="1">
      <alignment horizontal="center" vertical="center"/>
    </xf>
    <xf numFmtId="4" fontId="18" fillId="6" borderId="99" xfId="13" applyNumberFormat="1" applyFont="1" applyFill="1" applyBorder="1" applyAlignment="1">
      <alignment horizontal="center" vertical="center" wrapText="1"/>
    </xf>
    <xf numFmtId="14" fontId="18" fillId="6" borderId="99" xfId="13" applyNumberFormat="1" applyFont="1" applyFill="1" applyBorder="1" applyAlignment="1">
      <alignment horizontal="center" vertical="center" wrapText="1"/>
    </xf>
    <xf numFmtId="4" fontId="18" fillId="6" borderId="99" xfId="13" applyNumberFormat="1" applyFont="1" applyFill="1" applyBorder="1" applyAlignment="1">
      <alignment horizontal="center" vertical="center"/>
    </xf>
    <xf numFmtId="2" fontId="18" fillId="6" borderId="99" xfId="13" applyNumberFormat="1" applyFont="1" applyFill="1" applyBorder="1" applyAlignment="1">
      <alignment horizontal="center" vertical="center"/>
    </xf>
    <xf numFmtId="4" fontId="18" fillId="6" borderId="100" xfId="13" applyNumberFormat="1" applyFont="1" applyFill="1" applyBorder="1" applyAlignment="1">
      <alignment horizontal="center" vertical="center"/>
    </xf>
    <xf numFmtId="4" fontId="18" fillId="6" borderId="101" xfId="13" applyNumberFormat="1" applyFont="1" applyFill="1" applyBorder="1" applyAlignment="1">
      <alignment horizontal="center" vertical="center"/>
    </xf>
    <xf numFmtId="4" fontId="18" fillId="6" borderId="102" xfId="13" applyNumberFormat="1" applyFont="1" applyFill="1" applyBorder="1" applyAlignment="1">
      <alignment horizontal="center" vertical="center"/>
    </xf>
    <xf numFmtId="4" fontId="19" fillId="0" borderId="17" xfId="13" applyNumberFormat="1" applyFont="1" applyBorder="1" applyAlignment="1">
      <alignment horizontal="center" vertical="center"/>
    </xf>
    <xf numFmtId="4" fontId="15" fillId="0" borderId="6" xfId="13" applyNumberFormat="1" applyFont="1" applyBorder="1" applyAlignment="1">
      <alignment horizontal="center" vertical="center"/>
    </xf>
    <xf numFmtId="4" fontId="15" fillId="0" borderId="17" xfId="13" applyNumberFormat="1" applyFont="1" applyBorder="1" applyAlignment="1">
      <alignment horizontal="center" vertical="center"/>
    </xf>
    <xf numFmtId="0" fontId="34" fillId="0" borderId="77" xfId="0" applyFont="1" applyBorder="1" applyAlignment="1">
      <alignment horizontal="center" vertical="center"/>
    </xf>
    <xf numFmtId="14" fontId="13" fillId="0" borderId="34" xfId="0" applyNumberFormat="1" applyFont="1" applyBorder="1" applyAlignment="1">
      <alignment horizontal="center" vertical="center"/>
    </xf>
    <xf numFmtId="3" fontId="13" fillId="2" borderId="34" xfId="0" applyNumberFormat="1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3" fontId="14" fillId="0" borderId="34" xfId="13" applyNumberFormat="1" applyBorder="1" applyAlignment="1">
      <alignment horizontal="center"/>
    </xf>
    <xf numFmtId="14" fontId="13" fillId="2" borderId="34" xfId="0" applyNumberFormat="1" applyFont="1" applyFill="1" applyBorder="1" applyAlignment="1">
      <alignment horizontal="center" vertical="center"/>
    </xf>
    <xf numFmtId="4" fontId="14" fillId="0" borderId="34" xfId="13" applyNumberFormat="1" applyBorder="1" applyAlignment="1">
      <alignment horizontal="center"/>
    </xf>
    <xf numFmtId="4" fontId="13" fillId="2" borderId="34" xfId="1" applyNumberFormat="1" applyFont="1" applyFill="1" applyBorder="1" applyAlignment="1">
      <alignment horizontal="center" vertical="center"/>
    </xf>
    <xf numFmtId="44" fontId="13" fillId="2" borderId="34" xfId="2" applyFont="1" applyFill="1" applyBorder="1" applyAlignment="1">
      <alignment horizontal="center" vertical="center"/>
    </xf>
    <xf numFmtId="44" fontId="14" fillId="0" borderId="9" xfId="14" applyFont="1" applyFill="1" applyBorder="1" applyAlignment="1">
      <alignment horizontal="center"/>
    </xf>
    <xf numFmtId="14" fontId="35" fillId="2" borderId="34" xfId="0" applyNumberFormat="1" applyFont="1" applyFill="1" applyBorder="1" applyAlignment="1">
      <alignment horizontal="center"/>
    </xf>
    <xf numFmtId="0" fontId="35" fillId="0" borderId="34" xfId="0" applyFont="1" applyBorder="1" applyAlignment="1">
      <alignment horizontal="center" vertical="center"/>
    </xf>
    <xf numFmtId="0" fontId="35" fillId="2" borderId="34" xfId="0" applyFont="1" applyFill="1" applyBorder="1" applyAlignment="1">
      <alignment horizontal="center"/>
    </xf>
    <xf numFmtId="0" fontId="35" fillId="2" borderId="34" xfId="2" applyNumberFormat="1" applyFont="1" applyFill="1" applyBorder="1" applyAlignment="1">
      <alignment horizontal="center"/>
    </xf>
    <xf numFmtId="44" fontId="35" fillId="2" borderId="34" xfId="2" applyFont="1" applyFill="1" applyBorder="1" applyAlignment="1">
      <alignment horizontal="center"/>
    </xf>
    <xf numFmtId="44" fontId="35" fillId="2" borderId="9" xfId="14" applyFont="1" applyFill="1" applyBorder="1" applyAlignment="1"/>
    <xf numFmtId="14" fontId="14" fillId="0" borderId="77" xfId="0" applyNumberFormat="1" applyFont="1" applyBorder="1" applyAlignment="1">
      <alignment horizontal="center"/>
    </xf>
    <xf numFmtId="2" fontId="13" fillId="2" borderId="34" xfId="1" applyNumberFormat="1" applyFont="1" applyFill="1" applyBorder="1" applyAlignment="1">
      <alignment horizontal="center" vertical="center"/>
    </xf>
    <xf numFmtId="14" fontId="14" fillId="0" borderId="65" xfId="0" applyNumberFormat="1" applyFont="1" applyBorder="1" applyAlignment="1">
      <alignment horizontal="center"/>
    </xf>
    <xf numFmtId="14" fontId="13" fillId="2" borderId="66" xfId="0" applyNumberFormat="1" applyFont="1" applyFill="1" applyBorder="1" applyAlignment="1">
      <alignment horizontal="center" vertical="center"/>
    </xf>
    <xf numFmtId="3" fontId="13" fillId="2" borderId="66" xfId="0" applyNumberFormat="1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3" fontId="14" fillId="0" borderId="66" xfId="13" applyNumberFormat="1" applyBorder="1" applyAlignment="1">
      <alignment horizontal="center"/>
    </xf>
    <xf numFmtId="4" fontId="14" fillId="0" borderId="66" xfId="13" applyNumberFormat="1" applyBorder="1" applyAlignment="1">
      <alignment horizontal="center"/>
    </xf>
    <xf numFmtId="2" fontId="13" fillId="2" borderId="66" xfId="1" applyNumberFormat="1" applyFont="1" applyFill="1" applyBorder="1" applyAlignment="1">
      <alignment horizontal="center" vertical="center"/>
    </xf>
    <xf numFmtId="44" fontId="13" fillId="2" borderId="66" xfId="2" applyFont="1" applyFill="1" applyBorder="1" applyAlignment="1">
      <alignment horizontal="center" vertical="center"/>
    </xf>
    <xf numFmtId="44" fontId="14" fillId="0" borderId="67" xfId="14" applyFont="1" applyFill="1" applyBorder="1" applyAlignment="1">
      <alignment horizontal="center"/>
    </xf>
    <xf numFmtId="14" fontId="15" fillId="6" borderId="6" xfId="0" applyNumberFormat="1" applyFont="1" applyFill="1" applyBorder="1" applyAlignment="1">
      <alignment horizontal="left"/>
    </xf>
    <xf numFmtId="14" fontId="15" fillId="6" borderId="0" xfId="0" applyNumberFormat="1" applyFont="1" applyFill="1" applyAlignment="1">
      <alignment horizontal="left"/>
    </xf>
    <xf numFmtId="44" fontId="15" fillId="6" borderId="0" xfId="14" applyFont="1" applyFill="1" applyBorder="1" applyAlignment="1"/>
    <xf numFmtId="44" fontId="15" fillId="6" borderId="17" xfId="14" applyFont="1" applyFill="1" applyBorder="1" applyAlignment="1"/>
    <xf numFmtId="14" fontId="35" fillId="2" borderId="62" xfId="0" applyNumberFormat="1" applyFont="1" applyFill="1" applyBorder="1" applyAlignment="1">
      <alignment horizontal="left"/>
    </xf>
    <xf numFmtId="14" fontId="35" fillId="2" borderId="63" xfId="0" applyNumberFormat="1" applyFont="1" applyFill="1" applyBorder="1" applyAlignment="1">
      <alignment horizontal="center"/>
    </xf>
    <xf numFmtId="0" fontId="35" fillId="0" borderId="63" xfId="0" applyFont="1" applyBorder="1" applyAlignment="1">
      <alignment horizontal="center" vertical="center"/>
    </xf>
    <xf numFmtId="0" fontId="35" fillId="2" borderId="63" xfId="0" applyFont="1" applyFill="1" applyBorder="1" applyAlignment="1">
      <alignment horizontal="center"/>
    </xf>
    <xf numFmtId="3" fontId="14" fillId="0" borderId="63" xfId="13" applyNumberFormat="1" applyBorder="1" applyAlignment="1">
      <alignment horizontal="center"/>
    </xf>
    <xf numFmtId="4" fontId="14" fillId="0" borderId="63" xfId="13" applyNumberFormat="1" applyBorder="1" applyAlignment="1">
      <alignment horizontal="center"/>
    </xf>
    <xf numFmtId="44" fontId="35" fillId="2" borderId="63" xfId="2" applyFont="1" applyFill="1" applyBorder="1" applyAlignment="1">
      <alignment horizontal="center"/>
    </xf>
    <xf numFmtId="44" fontId="35" fillId="2" borderId="5" xfId="14" applyFont="1" applyFill="1" applyBorder="1" applyAlignment="1"/>
    <xf numFmtId="14" fontId="35" fillId="2" borderId="77" xfId="0" applyNumberFormat="1" applyFont="1" applyFill="1" applyBorder="1" applyAlignment="1">
      <alignment horizontal="left"/>
    </xf>
    <xf numFmtId="14" fontId="15" fillId="2" borderId="24" xfId="0" applyNumberFormat="1" applyFont="1" applyFill="1" applyBorder="1" applyAlignment="1">
      <alignment horizontal="left"/>
    </xf>
    <xf numFmtId="14" fontId="15" fillId="2" borderId="27" xfId="0" applyNumberFormat="1" applyFont="1" applyFill="1" applyBorder="1" applyAlignment="1">
      <alignment horizontal="left"/>
    </xf>
    <xf numFmtId="44" fontId="15" fillId="2" borderId="27" xfId="14" applyFont="1" applyFill="1" applyBorder="1" applyAlignment="1"/>
    <xf numFmtId="44" fontId="15" fillId="2" borderId="41" xfId="14" applyFont="1" applyFill="1" applyBorder="1" applyAlignment="1"/>
    <xf numFmtId="14" fontId="30" fillId="0" borderId="1" xfId="0" applyNumberFormat="1" applyFont="1" applyBorder="1" applyAlignment="1">
      <alignment horizontal="center"/>
    </xf>
    <xf numFmtId="14" fontId="30" fillId="0" borderId="2" xfId="13" applyNumberFormat="1" applyFont="1" applyBorder="1" applyAlignment="1">
      <alignment horizontal="center"/>
    </xf>
    <xf numFmtId="0" fontId="30" fillId="0" borderId="2" xfId="13" applyFont="1" applyBorder="1" applyAlignment="1">
      <alignment horizontal="center"/>
    </xf>
    <xf numFmtId="3" fontId="30" fillId="0" borderId="2" xfId="13" applyNumberFormat="1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4" fontId="14" fillId="0" borderId="6" xfId="13" applyNumberFormat="1" applyBorder="1" applyAlignment="1">
      <alignment vertical="center"/>
    </xf>
    <xf numFmtId="168" fontId="3" fillId="2" borderId="90" xfId="13" applyNumberFormat="1" applyFont="1" applyFill="1" applyBorder="1" applyAlignment="1">
      <alignment horizontal="center" vertical="center"/>
    </xf>
    <xf numFmtId="14" fontId="3" fillId="2" borderId="91" xfId="13" applyNumberFormat="1" applyFont="1" applyFill="1" applyBorder="1" applyAlignment="1">
      <alignment horizontal="center" vertical="center"/>
    </xf>
    <xf numFmtId="0" fontId="3" fillId="2" borderId="91" xfId="13" applyFont="1" applyFill="1" applyBorder="1" applyAlignment="1">
      <alignment horizontal="center" vertical="center"/>
    </xf>
    <xf numFmtId="4" fontId="3" fillId="2" borderId="91" xfId="13" applyNumberFormat="1" applyFont="1" applyFill="1" applyBorder="1" applyAlignment="1">
      <alignment vertical="center"/>
    </xf>
    <xf numFmtId="14" fontId="3" fillId="2" borderId="91" xfId="13" applyNumberFormat="1" applyFont="1" applyFill="1" applyBorder="1" applyAlignment="1">
      <alignment vertical="center"/>
    </xf>
    <xf numFmtId="4" fontId="14" fillId="0" borderId="17" xfId="13" applyNumberFormat="1" applyBorder="1" applyAlignment="1">
      <alignment vertical="center"/>
    </xf>
    <xf numFmtId="14" fontId="14" fillId="2" borderId="0" xfId="13" applyNumberFormat="1" applyFill="1" applyAlignment="1">
      <alignment horizontal="center"/>
    </xf>
    <xf numFmtId="0" fontId="14" fillId="2" borderId="0" xfId="13" applyFill="1" applyAlignment="1">
      <alignment horizontal="center"/>
    </xf>
    <xf numFmtId="14" fontId="14" fillId="2" borderId="0" xfId="13" applyNumberFormat="1" applyFill="1"/>
    <xf numFmtId="2" fontId="0" fillId="2" borderId="0" xfId="14" applyNumberFormat="1" applyFont="1" applyFill="1" applyBorder="1"/>
    <xf numFmtId="4" fontId="14" fillId="2" borderId="0" xfId="13" applyNumberFormat="1" applyFill="1" applyAlignment="1">
      <alignment horizontal="right"/>
    </xf>
    <xf numFmtId="0" fontId="14" fillId="2" borderId="0" xfId="13" applyFill="1"/>
    <xf numFmtId="2" fontId="14" fillId="2" borderId="0" xfId="13" applyNumberFormat="1" applyFill="1"/>
    <xf numFmtId="4" fontId="14" fillId="0" borderId="53" xfId="13" applyNumberFormat="1" applyBorder="1"/>
    <xf numFmtId="14" fontId="14" fillId="2" borderId="54" xfId="13" applyNumberFormat="1" applyFill="1" applyBorder="1"/>
    <xf numFmtId="0" fontId="14" fillId="2" borderId="54" xfId="13" applyFill="1" applyBorder="1"/>
    <xf numFmtId="2" fontId="14" fillId="2" borderId="54" xfId="13" applyNumberFormat="1" applyFill="1" applyBorder="1"/>
    <xf numFmtId="4" fontId="20" fillId="2" borderId="54" xfId="13" applyNumberFormat="1" applyFont="1" applyFill="1" applyBorder="1"/>
    <xf numFmtId="4" fontId="14" fillId="0" borderId="60" xfId="13" applyNumberFormat="1" applyBorder="1"/>
    <xf numFmtId="4" fontId="10" fillId="0" borderId="34" xfId="13" applyNumberFormat="1" applyFont="1" applyBorder="1" applyAlignment="1">
      <alignment horizontal="center" vertical="center"/>
    </xf>
    <xf numFmtId="3" fontId="14" fillId="2" borderId="63" xfId="13" applyNumberFormat="1" applyFill="1" applyBorder="1" applyAlignment="1">
      <alignment horizontal="center" vertical="center"/>
    </xf>
    <xf numFmtId="0" fontId="4" fillId="0" borderId="63" xfId="3" applyFont="1" applyBorder="1" applyAlignment="1">
      <alignment horizontal="center" vertical="center"/>
    </xf>
    <xf numFmtId="14" fontId="1" fillId="2" borderId="77" xfId="13" applyNumberFormat="1" applyFont="1" applyFill="1" applyBorder="1" applyAlignment="1">
      <alignment horizontal="center" vertical="center"/>
    </xf>
    <xf numFmtId="44" fontId="17" fillId="0" borderId="85" xfId="2" applyFont="1" applyFill="1" applyBorder="1" applyAlignment="1">
      <alignment horizontal="center" vertical="center" wrapText="1"/>
    </xf>
    <xf numFmtId="44" fontId="17" fillId="2" borderId="89" xfId="14" applyFont="1" applyFill="1" applyBorder="1" applyAlignment="1">
      <alignment vertical="center"/>
    </xf>
    <xf numFmtId="171" fontId="28" fillId="0" borderId="91" xfId="15" applyNumberFormat="1" applyFont="1" applyBorder="1" applyAlignment="1">
      <alignment horizontal="center" vertical="top" shrinkToFit="1"/>
    </xf>
    <xf numFmtId="4" fontId="20" fillId="2" borderId="0" xfId="13" applyNumberFormat="1" applyFont="1" applyFill="1" applyAlignment="1">
      <alignment horizontal="center" vertical="center"/>
    </xf>
    <xf numFmtId="4" fontId="20" fillId="2" borderId="6" xfId="13" applyNumberFormat="1" applyFont="1" applyFill="1" applyBorder="1" applyAlignment="1">
      <alignment horizontal="center" vertical="center"/>
    </xf>
    <xf numFmtId="4" fontId="20" fillId="0" borderId="89" xfId="13" applyNumberFormat="1" applyFont="1" applyBorder="1" applyAlignment="1">
      <alignment horizontal="center" vertical="center"/>
    </xf>
    <xf numFmtId="4" fontId="18" fillId="0" borderId="17" xfId="13" applyNumberFormat="1" applyFont="1" applyBorder="1" applyAlignment="1">
      <alignment horizontal="center" vertical="center"/>
    </xf>
    <xf numFmtId="4" fontId="20" fillId="0" borderId="0" xfId="13" applyNumberFormat="1" applyFont="1" applyAlignment="1">
      <alignment horizontal="center" vertical="center"/>
    </xf>
    <xf numFmtId="4" fontId="15" fillId="2" borderId="6" xfId="13" applyNumberFormat="1" applyFont="1" applyFill="1" applyBorder="1" applyAlignment="1">
      <alignment horizontal="center" vertical="center"/>
    </xf>
    <xf numFmtId="4" fontId="30" fillId="0" borderId="94" xfId="13" applyNumberFormat="1" applyFont="1" applyBorder="1" applyAlignment="1">
      <alignment horizontal="center" vertical="center" wrapText="1"/>
    </xf>
    <xf numFmtId="0" fontId="30" fillId="0" borderId="94" xfId="13" applyFont="1" applyBorder="1" applyAlignment="1">
      <alignment horizontal="center" vertical="center" wrapText="1"/>
    </xf>
    <xf numFmtId="0" fontId="30" fillId="0" borderId="95" xfId="13" applyFont="1" applyBorder="1" applyAlignment="1">
      <alignment horizontal="center" vertical="center" wrapText="1"/>
    </xf>
    <xf numFmtId="4" fontId="17" fillId="0" borderId="17" xfId="13" applyNumberFormat="1" applyFont="1" applyBorder="1" applyAlignment="1">
      <alignment horizontal="center" vertical="center"/>
    </xf>
    <xf numFmtId="4" fontId="15" fillId="0" borderId="0" xfId="13" applyNumberFormat="1" applyFont="1" applyAlignment="1">
      <alignment horizontal="center" vertical="center"/>
    </xf>
    <xf numFmtId="4" fontId="30" fillId="2" borderId="0" xfId="13" applyNumberFormat="1" applyFont="1" applyFill="1" applyAlignment="1">
      <alignment horizontal="center"/>
    </xf>
    <xf numFmtId="4" fontId="30" fillId="2" borderId="6" xfId="13" applyNumberFormat="1" applyFont="1" applyFill="1" applyBorder="1" applyAlignment="1">
      <alignment horizontal="center"/>
    </xf>
    <xf numFmtId="168" fontId="30" fillId="3" borderId="6" xfId="13" applyNumberFormat="1" applyFont="1" applyFill="1" applyBorder="1" applyAlignment="1">
      <alignment horizontal="center"/>
    </xf>
    <xf numFmtId="4" fontId="30" fillId="2" borderId="0" xfId="13" applyNumberFormat="1" applyFont="1" applyFill="1" applyAlignment="1">
      <alignment horizontal="center" vertical="center"/>
    </xf>
    <xf numFmtId="44" fontId="30" fillId="3" borderId="96" xfId="2" applyFont="1" applyFill="1" applyBorder="1" applyAlignment="1">
      <alignment horizontal="center"/>
    </xf>
    <xf numFmtId="44" fontId="36" fillId="2" borderId="17" xfId="2" applyFont="1" applyFill="1" applyBorder="1" applyAlignment="1">
      <alignment horizontal="center"/>
    </xf>
    <xf numFmtId="44" fontId="7" fillId="0" borderId="17" xfId="14" applyFont="1" applyFill="1" applyBorder="1"/>
    <xf numFmtId="4" fontId="30" fillId="0" borderId="0" xfId="13" applyNumberFormat="1" applyFont="1"/>
    <xf numFmtId="4" fontId="30" fillId="0" borderId="0" xfId="13" applyNumberFormat="1" applyFont="1" applyAlignment="1">
      <alignment horizontal="center"/>
    </xf>
    <xf numFmtId="4" fontId="30" fillId="2" borderId="6" xfId="13" applyNumberFormat="1" applyFont="1" applyFill="1" applyBorder="1" applyAlignment="1">
      <alignment horizontal="center" vertical="center"/>
    </xf>
    <xf numFmtId="44" fontId="17" fillId="0" borderId="17" xfId="14" applyFont="1" applyFill="1" applyBorder="1" applyAlignment="1">
      <alignment vertical="center"/>
    </xf>
    <xf numFmtId="4" fontId="30" fillId="0" borderId="0" xfId="13" applyNumberFormat="1" applyFont="1" applyAlignment="1">
      <alignment vertical="center"/>
    </xf>
    <xf numFmtId="4" fontId="30" fillId="0" borderId="0" xfId="13" applyNumberFormat="1" applyFont="1" applyAlignment="1">
      <alignment horizontal="center" vertical="center"/>
    </xf>
    <xf numFmtId="168" fontId="12" fillId="0" borderId="6" xfId="13" applyNumberFormat="1" applyFont="1" applyBorder="1" applyAlignment="1">
      <alignment horizontal="left" vertical="center"/>
    </xf>
    <xf numFmtId="168" fontId="12" fillId="0" borderId="0" xfId="13" applyNumberFormat="1" applyFont="1" applyAlignment="1">
      <alignment horizontal="left" vertical="center"/>
    </xf>
    <xf numFmtId="44" fontId="29" fillId="0" borderId="17" xfId="2" applyFont="1" applyFill="1" applyBorder="1" applyAlignment="1">
      <alignment horizontal="center" vertical="center"/>
    </xf>
    <xf numFmtId="168" fontId="12" fillId="0" borderId="104" xfId="13" applyNumberFormat="1" applyFont="1" applyBorder="1" applyAlignment="1">
      <alignment horizontal="left" vertical="center"/>
    </xf>
    <xf numFmtId="44" fontId="29" fillId="0" borderId="105" xfId="2" applyFont="1" applyFill="1" applyBorder="1" applyAlignment="1">
      <alignment horizontal="center" vertical="center"/>
    </xf>
    <xf numFmtId="3" fontId="30" fillId="3" borderId="0" xfId="13" applyNumberFormat="1" applyFont="1" applyFill="1" applyAlignment="1">
      <alignment horizontal="center"/>
    </xf>
    <xf numFmtId="4" fontId="30" fillId="0" borderId="0" xfId="13" applyNumberFormat="1" applyFont="1" applyAlignment="1">
      <alignment horizontal="center" wrapText="1"/>
    </xf>
    <xf numFmtId="0" fontId="30" fillId="2" borderId="0" xfId="13" applyFont="1" applyFill="1" applyAlignment="1">
      <alignment horizontal="center" wrapText="1"/>
    </xf>
    <xf numFmtId="0" fontId="30" fillId="3" borderId="0" xfId="13" applyFont="1" applyFill="1" applyAlignment="1">
      <alignment horizontal="center" wrapText="1"/>
    </xf>
    <xf numFmtId="44" fontId="17" fillId="6" borderId="59" xfId="2" applyFont="1" applyFill="1" applyBorder="1" applyAlignment="1">
      <alignment horizontal="center" vertical="center"/>
    </xf>
    <xf numFmtId="4" fontId="7" fillId="2" borderId="91" xfId="13" applyNumberFormat="1" applyFont="1" applyFill="1" applyBorder="1" applyAlignment="1">
      <alignment vertical="center"/>
    </xf>
    <xf numFmtId="2" fontId="17" fillId="2" borderId="91" xfId="13" applyNumberFormat="1" applyFont="1" applyFill="1" applyBorder="1" applyAlignment="1">
      <alignment horizontal="right" vertical="center"/>
    </xf>
    <xf numFmtId="44" fontId="17" fillId="2" borderId="85" xfId="14" applyFont="1" applyFill="1" applyBorder="1" applyAlignment="1">
      <alignment vertical="center"/>
    </xf>
    <xf numFmtId="14" fontId="30" fillId="0" borderId="1" xfId="0" applyNumberFormat="1" applyFont="1" applyBorder="1" applyAlignment="1">
      <alignment horizontal="right" vertical="center"/>
    </xf>
    <xf numFmtId="14" fontId="30" fillId="0" borderId="2" xfId="13" applyNumberFormat="1" applyFont="1" applyBorder="1" applyAlignment="1">
      <alignment horizontal="right" vertical="center"/>
    </xf>
    <xf numFmtId="0" fontId="30" fillId="0" borderId="2" xfId="13" applyFont="1" applyBorder="1" applyAlignment="1">
      <alignment horizontal="right" vertical="center"/>
    </xf>
    <xf numFmtId="3" fontId="30" fillId="0" borderId="2" xfId="13" applyNumberFormat="1" applyFont="1" applyBorder="1" applyAlignment="1">
      <alignment horizontal="right" vertical="center"/>
    </xf>
    <xf numFmtId="0" fontId="30" fillId="0" borderId="2" xfId="0" applyFont="1" applyBorder="1" applyAlignment="1">
      <alignment horizontal="right" vertical="center"/>
    </xf>
    <xf numFmtId="168" fontId="7" fillId="2" borderId="90" xfId="13" applyNumberFormat="1" applyFont="1" applyFill="1" applyBorder="1" applyAlignment="1">
      <alignment horizontal="right" vertical="center"/>
    </xf>
    <xf numFmtId="14" fontId="7" fillId="2" borderId="91" xfId="13" applyNumberFormat="1" applyFont="1" applyFill="1" applyBorder="1" applyAlignment="1">
      <alignment horizontal="right" vertical="center"/>
    </xf>
    <xf numFmtId="0" fontId="7" fillId="2" borderId="91" xfId="13" applyFont="1" applyFill="1" applyBorder="1" applyAlignment="1">
      <alignment horizontal="right" vertical="center"/>
    </xf>
    <xf numFmtId="4" fontId="7" fillId="2" borderId="91" xfId="13" applyNumberFormat="1" applyFont="1" applyFill="1" applyBorder="1" applyAlignment="1">
      <alignment horizontal="right" vertical="center"/>
    </xf>
    <xf numFmtId="44" fontId="17" fillId="2" borderId="85" xfId="14" applyFont="1" applyFill="1" applyBorder="1" applyAlignment="1">
      <alignment horizontal="right" vertical="center"/>
    </xf>
    <xf numFmtId="172" fontId="4" fillId="2" borderId="34" xfId="4" applyNumberFormat="1" applyFont="1" applyFill="1" applyBorder="1" applyAlignment="1" applyProtection="1">
      <alignment horizontal="center" vertical="center"/>
      <protection locked="0"/>
    </xf>
    <xf numFmtId="14" fontId="14" fillId="0" borderId="32" xfId="0" applyNumberFormat="1" applyFont="1" applyBorder="1" applyAlignment="1">
      <alignment horizontal="center"/>
    </xf>
    <xf numFmtId="1" fontId="35" fillId="2" borderId="33" xfId="0" applyNumberFormat="1" applyFont="1" applyFill="1" applyBorder="1" applyAlignment="1">
      <alignment horizontal="center"/>
    </xf>
    <xf numFmtId="0" fontId="35" fillId="2" borderId="33" xfId="0" applyFont="1" applyFill="1" applyBorder="1" applyAlignment="1">
      <alignment horizontal="center"/>
    </xf>
    <xf numFmtId="0" fontId="3" fillId="0" borderId="33" xfId="3" applyBorder="1" applyAlignment="1">
      <alignment horizontal="center" vertical="center"/>
    </xf>
    <xf numFmtId="2" fontId="35" fillId="2" borderId="33" xfId="0" applyNumberFormat="1" applyFont="1" applyFill="1" applyBorder="1" applyAlignment="1">
      <alignment horizontal="center"/>
    </xf>
    <xf numFmtId="1" fontId="35" fillId="2" borderId="34" xfId="0" applyNumberFormat="1" applyFont="1" applyFill="1" applyBorder="1" applyAlignment="1">
      <alignment horizontal="center"/>
    </xf>
    <xf numFmtId="0" fontId="35" fillId="0" borderId="34" xfId="0" applyFont="1" applyBorder="1" applyAlignment="1">
      <alignment horizontal="center"/>
    </xf>
    <xf numFmtId="0" fontId="3" fillId="0" borderId="34" xfId="3" applyBorder="1" applyAlignment="1">
      <alignment horizontal="center" vertical="center"/>
    </xf>
    <xf numFmtId="2" fontId="35" fillId="2" borderId="34" xfId="0" applyNumberFormat="1" applyFont="1" applyFill="1" applyBorder="1" applyAlignment="1">
      <alignment horizontal="center"/>
    </xf>
    <xf numFmtId="14" fontId="14" fillId="0" borderId="24" xfId="0" applyNumberFormat="1" applyFont="1" applyBorder="1" applyAlignment="1">
      <alignment horizontal="center"/>
    </xf>
    <xf numFmtId="1" fontId="35" fillId="2" borderId="27" xfId="0" applyNumberFormat="1" applyFont="1" applyFill="1" applyBorder="1" applyAlignment="1">
      <alignment horizontal="center"/>
    </xf>
    <xf numFmtId="0" fontId="35" fillId="0" borderId="27" xfId="0" applyFont="1" applyBorder="1" applyAlignment="1">
      <alignment horizontal="center"/>
    </xf>
    <xf numFmtId="2" fontId="35" fillId="2" borderId="27" xfId="0" applyNumberFormat="1" applyFont="1" applyFill="1" applyBorder="1" applyAlignment="1">
      <alignment horizontal="center"/>
    </xf>
    <xf numFmtId="44" fontId="14" fillId="0" borderId="27" xfId="13" applyNumberFormat="1" applyBorder="1" applyAlignment="1">
      <alignment horizontal="center" vertical="center"/>
    </xf>
    <xf numFmtId="0" fontId="14" fillId="2" borderId="27" xfId="13" applyFill="1" applyBorder="1" applyAlignment="1">
      <alignment horizontal="center" vertical="center"/>
    </xf>
    <xf numFmtId="3" fontId="14" fillId="0" borderId="36" xfId="13" applyNumberFormat="1" applyBorder="1" applyAlignment="1">
      <alignment horizontal="center" vertical="center"/>
    </xf>
    <xf numFmtId="0" fontId="3" fillId="0" borderId="27" xfId="3" applyBorder="1" applyAlignment="1">
      <alignment horizontal="center" vertical="center"/>
    </xf>
    <xf numFmtId="4" fontId="14" fillId="2" borderId="27" xfId="13" applyNumberFormat="1" applyFill="1" applyBorder="1" applyAlignment="1">
      <alignment horizontal="center" vertical="center" wrapText="1"/>
    </xf>
    <xf numFmtId="1" fontId="35" fillId="2" borderId="66" xfId="0" applyNumberFormat="1" applyFont="1" applyFill="1" applyBorder="1" applyAlignment="1">
      <alignment horizontal="center"/>
    </xf>
    <xf numFmtId="0" fontId="35" fillId="0" borderId="66" xfId="0" applyFont="1" applyBorder="1" applyAlignment="1">
      <alignment horizontal="center"/>
    </xf>
    <xf numFmtId="0" fontId="3" fillId="0" borderId="66" xfId="3" applyBorder="1" applyAlignment="1">
      <alignment horizontal="center" vertical="center"/>
    </xf>
    <xf numFmtId="2" fontId="35" fillId="2" borderId="66" xfId="0" applyNumberFormat="1" applyFont="1" applyFill="1" applyBorder="1" applyAlignment="1">
      <alignment horizontal="center"/>
    </xf>
    <xf numFmtId="169" fontId="29" fillId="0" borderId="87" xfId="13" applyNumberFormat="1" applyFont="1" applyBorder="1" applyAlignment="1">
      <alignment horizontal="center" vertical="center"/>
    </xf>
    <xf numFmtId="2" fontId="29" fillId="0" borderId="87" xfId="13" applyNumberFormat="1" applyFont="1" applyBorder="1" applyAlignment="1">
      <alignment horizontal="center" vertical="center"/>
    </xf>
    <xf numFmtId="44" fontId="29" fillId="0" borderId="87" xfId="13" applyNumberFormat="1" applyFont="1" applyBorder="1" applyAlignment="1">
      <alignment horizontal="center" vertical="center"/>
    </xf>
    <xf numFmtId="169" fontId="29" fillId="0" borderId="88" xfId="13" applyNumberFormat="1" applyFont="1" applyBorder="1" applyAlignment="1">
      <alignment horizontal="center" vertical="center"/>
    </xf>
    <xf numFmtId="44" fontId="29" fillId="0" borderId="60" xfId="14" applyFont="1" applyFill="1" applyBorder="1" applyAlignment="1">
      <alignment vertical="center"/>
    </xf>
    <xf numFmtId="44" fontId="17" fillId="0" borderId="89" xfId="2" applyFont="1" applyFill="1" applyBorder="1" applyAlignment="1">
      <alignment horizontal="center" vertical="center" wrapText="1"/>
    </xf>
    <xf numFmtId="169" fontId="20" fillId="0" borderId="17" xfId="13" applyNumberFormat="1" applyFont="1" applyBorder="1" applyAlignment="1">
      <alignment horizontal="center" vertical="center"/>
    </xf>
    <xf numFmtId="44" fontId="14" fillId="2" borderId="103" xfId="14" applyFont="1" applyFill="1" applyBorder="1" applyAlignment="1">
      <alignment vertical="center"/>
    </xf>
    <xf numFmtId="44" fontId="14" fillId="2" borderId="107" xfId="14" applyFont="1" applyFill="1" applyBorder="1" applyAlignment="1">
      <alignment vertical="center"/>
    </xf>
    <xf numFmtId="168" fontId="14" fillId="2" borderId="53" xfId="13" applyNumberFormat="1" applyFill="1" applyBorder="1" applyAlignment="1">
      <alignment horizontal="center" vertical="center"/>
    </xf>
    <xf numFmtId="4" fontId="14" fillId="2" borderId="60" xfId="13" applyNumberFormat="1" applyFill="1" applyBorder="1" applyAlignment="1">
      <alignment vertical="center"/>
    </xf>
    <xf numFmtId="2" fontId="4" fillId="2" borderId="34" xfId="10" applyNumberFormat="1" applyFont="1" applyFill="1" applyBorder="1" applyAlignment="1" applyProtection="1">
      <alignment horizontal="center"/>
    </xf>
    <xf numFmtId="2" fontId="4" fillId="2" borderId="34" xfId="10" applyNumberFormat="1" applyFont="1" applyFill="1" applyBorder="1" applyAlignment="1" applyProtection="1">
      <alignment horizontal="center" vertical="center"/>
    </xf>
    <xf numFmtId="4" fontId="3" fillId="0" borderId="33" xfId="13" applyNumberFormat="1" applyFont="1" applyBorder="1" applyAlignment="1">
      <alignment horizontal="center" vertical="center" wrapText="1"/>
    </xf>
    <xf numFmtId="4" fontId="3" fillId="0" borderId="33" xfId="13" applyNumberFormat="1" applyFont="1" applyBorder="1" applyAlignment="1">
      <alignment horizontal="center" vertical="center"/>
    </xf>
    <xf numFmtId="0" fontId="3" fillId="0" borderId="33" xfId="13" applyFont="1" applyBorder="1" applyAlignment="1">
      <alignment horizontal="center" vertical="center" wrapText="1"/>
    </xf>
    <xf numFmtId="1" fontId="3" fillId="0" borderId="33" xfId="13" applyNumberFormat="1" applyFont="1" applyBorder="1" applyAlignment="1">
      <alignment horizontal="center" vertical="center" wrapText="1"/>
    </xf>
    <xf numFmtId="44" fontId="3" fillId="0" borderId="33" xfId="2" applyFont="1" applyFill="1" applyBorder="1" applyAlignment="1">
      <alignment horizontal="center" vertical="center" wrapText="1"/>
    </xf>
    <xf numFmtId="44" fontId="20" fillId="0" borderId="89" xfId="2" applyFont="1" applyFill="1" applyBorder="1" applyAlignment="1">
      <alignment vertical="center"/>
    </xf>
    <xf numFmtId="44" fontId="14" fillId="0" borderId="41" xfId="14" applyFont="1" applyFill="1" applyBorder="1" applyAlignment="1">
      <alignment horizontal="center"/>
    </xf>
    <xf numFmtId="44" fontId="29" fillId="2" borderId="83" xfId="14" applyFont="1" applyFill="1" applyBorder="1" applyAlignment="1"/>
    <xf numFmtId="44" fontId="29" fillId="2" borderId="84" xfId="14" applyFont="1" applyFill="1" applyBorder="1" applyAlignment="1"/>
    <xf numFmtId="14" fontId="34" fillId="0" borderId="34" xfId="0" applyNumberFormat="1" applyFont="1" applyBorder="1" applyAlignment="1">
      <alignment horizontal="center" vertical="center"/>
    </xf>
    <xf numFmtId="3" fontId="34" fillId="2" borderId="34" xfId="0" applyNumberFormat="1" applyFont="1" applyFill="1" applyBorder="1" applyAlignment="1">
      <alignment horizontal="center" vertical="center"/>
    </xf>
    <xf numFmtId="0" fontId="34" fillId="2" borderId="34" xfId="0" applyFont="1" applyFill="1" applyBorder="1" applyAlignment="1">
      <alignment horizontal="center" vertical="center"/>
    </xf>
    <xf numFmtId="3" fontId="14" fillId="0" borderId="34" xfId="13" applyNumberFormat="1" applyBorder="1" applyAlignment="1">
      <alignment horizontal="left"/>
    </xf>
    <xf numFmtId="14" fontId="34" fillId="2" borderId="34" xfId="0" applyNumberFormat="1" applyFont="1" applyFill="1" applyBorder="1" applyAlignment="1">
      <alignment horizontal="center" vertical="center"/>
    </xf>
    <xf numFmtId="4" fontId="34" fillId="2" borderId="34" xfId="1" applyNumberFormat="1" applyFont="1" applyFill="1" applyBorder="1" applyAlignment="1">
      <alignment horizontal="center" vertical="center"/>
    </xf>
    <xf numFmtId="44" fontId="34" fillId="2" borderId="34" xfId="2" applyFont="1" applyFill="1" applyBorder="1" applyAlignment="1">
      <alignment horizontal="center" vertical="center"/>
    </xf>
    <xf numFmtId="2" fontId="34" fillId="2" borderId="34" xfId="1" applyNumberFormat="1" applyFont="1" applyFill="1" applyBorder="1" applyAlignment="1">
      <alignment horizontal="center" vertical="center"/>
    </xf>
    <xf numFmtId="14" fontId="34" fillId="2" borderId="27" xfId="0" applyNumberFormat="1" applyFont="1" applyFill="1" applyBorder="1" applyAlignment="1">
      <alignment horizontal="center" vertical="center"/>
    </xf>
    <xf numFmtId="3" fontId="34" fillId="2" borderId="27" xfId="0" applyNumberFormat="1" applyFont="1" applyFill="1" applyBorder="1" applyAlignment="1">
      <alignment horizontal="center" vertical="center"/>
    </xf>
    <xf numFmtId="0" fontId="34" fillId="2" borderId="27" xfId="0" applyFont="1" applyFill="1" applyBorder="1" applyAlignment="1">
      <alignment horizontal="center" vertical="center"/>
    </xf>
    <xf numFmtId="3" fontId="14" fillId="0" borderId="27" xfId="13" applyNumberFormat="1" applyBorder="1" applyAlignment="1">
      <alignment horizontal="center"/>
    </xf>
    <xf numFmtId="4" fontId="14" fillId="0" borderId="27" xfId="13" applyNumberFormat="1" applyBorder="1" applyAlignment="1">
      <alignment horizontal="center"/>
    </xf>
    <xf numFmtId="2" fontId="34" fillId="2" borderId="27" xfId="1" applyNumberFormat="1" applyFont="1" applyFill="1" applyBorder="1" applyAlignment="1">
      <alignment horizontal="center" vertical="center"/>
    </xf>
    <xf numFmtId="44" fontId="34" fillId="2" borderId="27" xfId="2" applyFont="1" applyFill="1" applyBorder="1" applyAlignment="1">
      <alignment horizontal="center" vertical="center"/>
    </xf>
    <xf numFmtId="14" fontId="20" fillId="2" borderId="65" xfId="0" applyNumberFormat="1" applyFont="1" applyFill="1" applyBorder="1" applyAlignment="1">
      <alignment horizontal="left"/>
    </xf>
    <xf numFmtId="14" fontId="20" fillId="2" borderId="66" xfId="0" applyNumberFormat="1" applyFont="1" applyFill="1" applyBorder="1" applyAlignment="1">
      <alignment horizontal="left"/>
    </xf>
    <xf numFmtId="44" fontId="20" fillId="2" borderId="66" xfId="14" applyFont="1" applyFill="1" applyBorder="1" applyAlignment="1"/>
    <xf numFmtId="44" fontId="20" fillId="2" borderId="67" xfId="14" applyFont="1" applyFill="1" applyBorder="1" applyAlignment="1"/>
    <xf numFmtId="8" fontId="17" fillId="6" borderId="59" xfId="2" applyNumberFormat="1" applyFont="1" applyFill="1" applyBorder="1" applyAlignment="1">
      <alignment horizontal="center" vertical="center"/>
    </xf>
    <xf numFmtId="0" fontId="4" fillId="0" borderId="2" xfId="3" applyFont="1" applyBorder="1" applyAlignment="1">
      <alignment horizontal="center" vertical="center"/>
    </xf>
    <xf numFmtId="44" fontId="3" fillId="0" borderId="38" xfId="2" applyFont="1" applyFill="1" applyBorder="1" applyAlignment="1">
      <alignment horizontal="center" vertical="center"/>
    </xf>
    <xf numFmtId="165" fontId="38" fillId="0" borderId="77" xfId="15" applyNumberFormat="1" applyFont="1" applyBorder="1" applyAlignment="1">
      <alignment horizontal="center" vertical="top" shrinkToFit="1"/>
    </xf>
    <xf numFmtId="0" fontId="3" fillId="3" borderId="34" xfId="3" applyFill="1" applyBorder="1" applyAlignment="1">
      <alignment horizontal="center" vertical="center"/>
    </xf>
    <xf numFmtId="0" fontId="3" fillId="0" borderId="34" xfId="16" applyFont="1" applyBorder="1" applyAlignment="1">
      <alignment horizontal="center" vertical="top" wrapText="1"/>
    </xf>
    <xf numFmtId="44" fontId="3" fillId="0" borderId="9" xfId="17" applyNumberFormat="1" applyFont="1" applyBorder="1" applyAlignment="1">
      <alignment horizontal="center" vertical="top" wrapText="1"/>
    </xf>
    <xf numFmtId="44" fontId="17" fillId="2" borderId="81" xfId="14" applyFont="1" applyFill="1" applyBorder="1" applyAlignment="1">
      <alignment vertical="center"/>
    </xf>
    <xf numFmtId="49" fontId="14" fillId="0" borderId="34" xfId="13" applyNumberFormat="1" applyBorder="1" applyAlignment="1">
      <alignment horizontal="center" vertical="center"/>
    </xf>
    <xf numFmtId="4" fontId="14" fillId="0" borderId="34" xfId="13" applyNumberFormat="1" applyBorder="1" applyAlignment="1">
      <alignment horizontal="center" vertical="center"/>
    </xf>
    <xf numFmtId="169" fontId="29" fillId="0" borderId="34" xfId="13" applyNumberFormat="1" applyFont="1" applyBorder="1" applyAlignment="1">
      <alignment horizontal="center" vertical="center"/>
    </xf>
    <xf numFmtId="2" fontId="29" fillId="0" borderId="34" xfId="13" applyNumberFormat="1" applyFont="1" applyBorder="1" applyAlignment="1">
      <alignment horizontal="center" vertical="center"/>
    </xf>
    <xf numFmtId="44" fontId="29" fillId="0" borderId="34" xfId="13" applyNumberFormat="1" applyFont="1" applyBorder="1" applyAlignment="1">
      <alignment horizontal="center" vertical="center"/>
    </xf>
    <xf numFmtId="168" fontId="14" fillId="0" borderId="62" xfId="13" applyNumberFormat="1" applyBorder="1" applyAlignment="1">
      <alignment horizontal="center" vertical="center"/>
    </xf>
    <xf numFmtId="49" fontId="14" fillId="0" borderId="63" xfId="13" applyNumberFormat="1" applyBorder="1" applyAlignment="1">
      <alignment horizontal="center" vertical="center"/>
    </xf>
    <xf numFmtId="4" fontId="14" fillId="0" borderId="63" xfId="13" applyNumberFormat="1" applyBorder="1" applyAlignment="1">
      <alignment horizontal="center" vertical="center" wrapText="1"/>
    </xf>
    <xf numFmtId="4" fontId="14" fillId="0" borderId="63" xfId="13" applyNumberFormat="1" applyBorder="1" applyAlignment="1">
      <alignment horizontal="center" vertical="center"/>
    </xf>
    <xf numFmtId="169" fontId="29" fillId="0" borderId="63" xfId="13" applyNumberFormat="1" applyFont="1" applyBorder="1" applyAlignment="1">
      <alignment horizontal="center" vertical="center"/>
    </xf>
    <xf numFmtId="2" fontId="29" fillId="0" borderId="63" xfId="13" applyNumberFormat="1" applyFont="1" applyBorder="1" applyAlignment="1">
      <alignment horizontal="center" vertical="center"/>
    </xf>
    <xf numFmtId="44" fontId="29" fillId="0" borderId="63" xfId="13" applyNumberFormat="1" applyFont="1" applyBorder="1" applyAlignment="1">
      <alignment horizontal="center" vertical="center"/>
    </xf>
    <xf numFmtId="44" fontId="29" fillId="0" borderId="5" xfId="14" applyFont="1" applyFill="1" applyBorder="1" applyAlignment="1">
      <alignment vertical="center"/>
    </xf>
    <xf numFmtId="168" fontId="14" fillId="0" borderId="77" xfId="13" applyNumberFormat="1" applyBorder="1" applyAlignment="1">
      <alignment horizontal="center" vertical="center"/>
    </xf>
    <xf numFmtId="44" fontId="29" fillId="0" borderId="9" xfId="14" applyFont="1" applyFill="1" applyBorder="1" applyAlignment="1">
      <alignment vertical="center"/>
    </xf>
    <xf numFmtId="168" fontId="14" fillId="0" borderId="65" xfId="13" applyNumberFormat="1" applyBorder="1" applyAlignment="1">
      <alignment horizontal="center" vertical="center"/>
    </xf>
    <xf numFmtId="49" fontId="14" fillId="0" borderId="66" xfId="13" applyNumberFormat="1" applyBorder="1" applyAlignment="1">
      <alignment horizontal="center" vertical="center"/>
    </xf>
    <xf numFmtId="4" fontId="14" fillId="0" borderId="66" xfId="13" applyNumberFormat="1" applyBorder="1" applyAlignment="1">
      <alignment horizontal="center" vertical="center"/>
    </xf>
    <xf numFmtId="169" fontId="20" fillId="0" borderId="66" xfId="13" applyNumberFormat="1" applyFont="1" applyBorder="1" applyAlignment="1">
      <alignment horizontal="center" vertical="center"/>
    </xf>
    <xf numFmtId="0" fontId="14" fillId="0" borderId="66" xfId="13" applyBorder="1" applyAlignment="1">
      <alignment horizontal="center" vertical="center"/>
    </xf>
    <xf numFmtId="44" fontId="14" fillId="0" borderId="66" xfId="13" applyNumberFormat="1" applyBorder="1" applyAlignment="1">
      <alignment horizontal="center" vertical="center"/>
    </xf>
    <xf numFmtId="44" fontId="20" fillId="0" borderId="67" xfId="14" applyFont="1" applyFill="1" applyBorder="1" applyAlignment="1">
      <alignment vertical="center"/>
    </xf>
    <xf numFmtId="168" fontId="14" fillId="0" borderId="53" xfId="13" applyNumberFormat="1" applyBorder="1" applyAlignment="1">
      <alignment horizontal="center" vertical="center"/>
    </xf>
    <xf numFmtId="3" fontId="14" fillId="0" borderId="54" xfId="13" applyNumberFormat="1" applyBorder="1" applyAlignment="1">
      <alignment horizontal="center" vertical="center"/>
    </xf>
    <xf numFmtId="49" fontId="14" fillId="0" borderId="54" xfId="13" applyNumberFormat="1" applyBorder="1" applyAlignment="1">
      <alignment horizontal="center" vertical="center"/>
    </xf>
    <xf numFmtId="0" fontId="4" fillId="0" borderId="54" xfId="3" applyFont="1" applyBorder="1" applyAlignment="1">
      <alignment horizontal="center" vertical="center"/>
    </xf>
    <xf numFmtId="4" fontId="14" fillId="0" borderId="54" xfId="13" applyNumberFormat="1" applyBorder="1" applyAlignment="1">
      <alignment horizontal="center" vertical="center" wrapText="1"/>
    </xf>
    <xf numFmtId="4" fontId="14" fillId="0" borderId="54" xfId="13" applyNumberFormat="1" applyBorder="1" applyAlignment="1">
      <alignment horizontal="center" vertical="center"/>
    </xf>
    <xf numFmtId="169" fontId="29" fillId="0" borderId="54" xfId="13" applyNumberFormat="1" applyFont="1" applyBorder="1" applyAlignment="1">
      <alignment horizontal="center" vertical="center"/>
    </xf>
    <xf numFmtId="2" fontId="29" fillId="0" borderId="54" xfId="13" applyNumberFormat="1" applyFont="1" applyBorder="1" applyAlignment="1">
      <alignment horizontal="center" vertical="center"/>
    </xf>
    <xf numFmtId="44" fontId="29" fillId="0" borderId="54" xfId="13" applyNumberFormat="1" applyFont="1" applyBorder="1" applyAlignment="1">
      <alignment horizontal="center" vertical="center"/>
    </xf>
    <xf numFmtId="168" fontId="14" fillId="0" borderId="110" xfId="13" applyNumberFormat="1" applyBorder="1" applyAlignment="1">
      <alignment horizontal="center" vertical="center"/>
    </xf>
    <xf numFmtId="49" fontId="14" fillId="0" borderId="36" xfId="13" applyNumberFormat="1" applyBorder="1" applyAlignment="1">
      <alignment horizontal="center" vertical="center"/>
    </xf>
    <xf numFmtId="0" fontId="4" fillId="0" borderId="36" xfId="3" applyFont="1" applyBorder="1" applyAlignment="1">
      <alignment horizontal="center" vertical="center"/>
    </xf>
    <xf numFmtId="4" fontId="14" fillId="0" borderId="36" xfId="13" applyNumberFormat="1" applyBorder="1" applyAlignment="1">
      <alignment horizontal="center" vertical="center" wrapText="1"/>
    </xf>
    <xf numFmtId="4" fontId="14" fillId="0" borderId="36" xfId="13" applyNumberFormat="1" applyBorder="1" applyAlignment="1">
      <alignment horizontal="center" vertical="center"/>
    </xf>
    <xf numFmtId="169" fontId="29" fillId="0" borderId="36" xfId="13" applyNumberFormat="1" applyFont="1" applyBorder="1" applyAlignment="1">
      <alignment horizontal="center" vertical="center"/>
    </xf>
    <xf numFmtId="2" fontId="29" fillId="0" borderId="36" xfId="13" applyNumberFormat="1" applyFont="1" applyBorder="1" applyAlignment="1">
      <alignment horizontal="center" vertical="center"/>
    </xf>
    <xf numFmtId="44" fontId="29" fillId="0" borderId="36" xfId="13" applyNumberFormat="1" applyFont="1" applyBorder="1" applyAlignment="1">
      <alignment horizontal="center" vertical="center"/>
    </xf>
    <xf numFmtId="44" fontId="29" fillId="0" borderId="37" xfId="14" applyFont="1" applyFill="1" applyBorder="1" applyAlignment="1">
      <alignment vertical="center"/>
    </xf>
    <xf numFmtId="3" fontId="14" fillId="0" borderId="2" xfId="13" applyNumberFormat="1" applyBorder="1" applyAlignment="1">
      <alignment horizontal="center" vertical="center"/>
    </xf>
    <xf numFmtId="49" fontId="14" fillId="0" borderId="2" xfId="13" applyNumberFormat="1" applyBorder="1" applyAlignment="1">
      <alignment horizontal="center" vertical="center"/>
    </xf>
    <xf numFmtId="4" fontId="14" fillId="0" borderId="2" xfId="13" applyNumberFormat="1" applyBorder="1" applyAlignment="1">
      <alignment horizontal="center" vertical="center" wrapText="1"/>
    </xf>
    <xf numFmtId="4" fontId="14" fillId="0" borderId="2" xfId="13" applyNumberFormat="1" applyBorder="1" applyAlignment="1">
      <alignment horizontal="center" vertical="center"/>
    </xf>
    <xf numFmtId="169" fontId="29" fillId="0" borderId="2" xfId="13" applyNumberFormat="1" applyFont="1" applyBorder="1" applyAlignment="1">
      <alignment horizontal="center" vertical="center"/>
    </xf>
    <xf numFmtId="2" fontId="29" fillId="0" borderId="2" xfId="13" applyNumberFormat="1" applyFont="1" applyBorder="1" applyAlignment="1">
      <alignment horizontal="center" vertical="center"/>
    </xf>
    <xf numFmtId="44" fontId="29" fillId="0" borderId="2" xfId="13" applyNumberFormat="1" applyFont="1" applyBorder="1" applyAlignment="1">
      <alignment horizontal="center" vertical="center"/>
    </xf>
    <xf numFmtId="44" fontId="29" fillId="0" borderId="61" xfId="14" applyFont="1" applyFill="1" applyBorder="1" applyAlignment="1">
      <alignment vertical="center"/>
    </xf>
    <xf numFmtId="44" fontId="29" fillId="0" borderId="36" xfId="2" applyFont="1" applyBorder="1" applyAlignment="1">
      <alignment horizontal="center" vertical="center"/>
    </xf>
    <xf numFmtId="168" fontId="29" fillId="4" borderId="90" xfId="13" applyNumberFormat="1" applyFont="1" applyFill="1" applyBorder="1" applyAlignment="1">
      <alignment vertical="center"/>
    </xf>
    <xf numFmtId="168" fontId="29" fillId="4" borderId="91" xfId="13" applyNumberFormat="1" applyFont="1" applyFill="1" applyBorder="1" applyAlignment="1">
      <alignment vertical="center"/>
    </xf>
    <xf numFmtId="168" fontId="29" fillId="4" borderId="85" xfId="13" applyNumberFormat="1" applyFont="1" applyFill="1" applyBorder="1" applyAlignment="1">
      <alignment vertical="center"/>
    </xf>
    <xf numFmtId="168" fontId="29" fillId="2" borderId="90" xfId="13" applyNumberFormat="1" applyFont="1" applyFill="1" applyBorder="1" applyAlignment="1">
      <alignment vertical="center"/>
    </xf>
    <xf numFmtId="0" fontId="4" fillId="0" borderId="0" xfId="6" applyFont="1" applyAlignment="1">
      <alignment horizontal="center" vertical="center"/>
    </xf>
    <xf numFmtId="0" fontId="7" fillId="0" borderId="4" xfId="3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/>
    </xf>
    <xf numFmtId="0" fontId="7" fillId="0" borderId="61" xfId="3" applyFont="1" applyBorder="1" applyAlignment="1">
      <alignment horizontal="center" vertical="center"/>
    </xf>
    <xf numFmtId="0" fontId="7" fillId="0" borderId="8" xfId="3" applyFont="1" applyBorder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7" fillId="0" borderId="17" xfId="3" applyFont="1" applyBorder="1" applyAlignment="1">
      <alignment horizontal="center" vertical="center"/>
    </xf>
    <xf numFmtId="0" fontId="7" fillId="0" borderId="13" xfId="3" applyFont="1" applyBorder="1" applyAlignment="1">
      <alignment horizontal="center" vertical="center"/>
    </xf>
    <xf numFmtId="0" fontId="7" fillId="0" borderId="11" xfId="3" applyFont="1" applyBorder="1" applyAlignment="1">
      <alignment horizontal="center" vertical="center"/>
    </xf>
    <xf numFmtId="0" fontId="7" fillId="0" borderId="103" xfId="3" applyFont="1" applyBorder="1" applyAlignment="1">
      <alignment horizontal="center" vertical="center"/>
    </xf>
    <xf numFmtId="0" fontId="4" fillId="0" borderId="2" xfId="6" applyFont="1" applyBorder="1" applyAlignment="1">
      <alignment horizontal="center" vertical="center"/>
    </xf>
    <xf numFmtId="164" fontId="4" fillId="0" borderId="0" xfId="4" applyFont="1" applyBorder="1" applyAlignment="1" applyProtection="1">
      <alignment horizontal="center" vertical="center"/>
    </xf>
    <xf numFmtId="164" fontId="4" fillId="0" borderId="0" xfId="4" applyFont="1" applyAlignment="1" applyProtection="1">
      <alignment horizontal="center" vertical="center"/>
    </xf>
    <xf numFmtId="0" fontId="4" fillId="0" borderId="2" xfId="3" applyFont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/>
    </xf>
    <xf numFmtId="0" fontId="4" fillId="2" borderId="56" xfId="3" applyFont="1" applyFill="1" applyBorder="1" applyAlignment="1">
      <alignment horizontal="right" vertical="center"/>
    </xf>
    <xf numFmtId="0" fontId="4" fillId="2" borderId="57" xfId="3" applyFont="1" applyFill="1" applyBorder="1" applyAlignment="1">
      <alignment horizontal="right" vertical="center"/>
    </xf>
    <xf numFmtId="0" fontId="4" fillId="2" borderId="58" xfId="3" applyFont="1" applyFill="1" applyBorder="1" applyAlignment="1">
      <alignment horizontal="right" vertical="center"/>
    </xf>
    <xf numFmtId="44" fontId="12" fillId="0" borderId="56" xfId="12" applyFont="1" applyFill="1" applyBorder="1" applyAlignment="1" applyProtection="1">
      <alignment horizontal="center" vertical="center"/>
    </xf>
    <xf numFmtId="44" fontId="12" fillId="0" borderId="57" xfId="12" applyFont="1" applyFill="1" applyBorder="1" applyAlignment="1" applyProtection="1">
      <alignment horizontal="center" vertical="center"/>
    </xf>
    <xf numFmtId="44" fontId="12" fillId="0" borderId="59" xfId="12" applyFont="1" applyFill="1" applyBorder="1" applyAlignment="1" applyProtection="1">
      <alignment horizontal="center" vertical="center"/>
    </xf>
    <xf numFmtId="43" fontId="4" fillId="2" borderId="28" xfId="4" applyNumberFormat="1" applyFont="1" applyFill="1" applyBorder="1" applyAlignment="1" applyProtection="1">
      <alignment horizontal="left" vertical="center"/>
      <protection locked="0"/>
    </xf>
    <xf numFmtId="43" fontId="4" fillId="2" borderId="29" xfId="4" applyNumberFormat="1" applyFont="1" applyFill="1" applyBorder="1" applyAlignment="1" applyProtection="1">
      <alignment horizontal="left" vertical="center"/>
      <protection locked="0"/>
    </xf>
    <xf numFmtId="43" fontId="4" fillId="2" borderId="30" xfId="4" applyNumberFormat="1" applyFont="1" applyFill="1" applyBorder="1" applyAlignment="1" applyProtection="1">
      <alignment horizontal="left" vertical="center"/>
      <protection locked="0"/>
    </xf>
    <xf numFmtId="0" fontId="4" fillId="0" borderId="43" xfId="3" applyFont="1" applyBorder="1" applyAlignment="1">
      <alignment horizontal="left" vertical="center"/>
    </xf>
    <xf numFmtId="0" fontId="4" fillId="0" borderId="20" xfId="3" applyFont="1" applyBorder="1" applyAlignment="1">
      <alignment horizontal="left" vertical="center"/>
    </xf>
    <xf numFmtId="0" fontId="4" fillId="0" borderId="44" xfId="3" applyFont="1" applyBorder="1" applyAlignment="1">
      <alignment horizontal="left" vertical="center"/>
    </xf>
    <xf numFmtId="44" fontId="4" fillId="2" borderId="28" xfId="3" applyNumberFormat="1" applyFont="1" applyFill="1" applyBorder="1" applyAlignment="1">
      <alignment horizontal="center" vertical="center"/>
    </xf>
    <xf numFmtId="44" fontId="4" fillId="2" borderId="29" xfId="3" applyNumberFormat="1" applyFont="1" applyFill="1" applyBorder="1" applyAlignment="1">
      <alignment horizontal="center" vertical="center"/>
    </xf>
    <xf numFmtId="44" fontId="4" fillId="2" borderId="31" xfId="3" applyNumberFormat="1" applyFont="1" applyFill="1" applyBorder="1" applyAlignment="1">
      <alignment horizontal="center" vertical="center"/>
    </xf>
    <xf numFmtId="0" fontId="4" fillId="2" borderId="28" xfId="3" applyFont="1" applyFill="1" applyBorder="1" applyAlignment="1">
      <alignment horizontal="center" vertical="center"/>
    </xf>
    <xf numFmtId="0" fontId="4" fillId="2" borderId="29" xfId="3" applyFont="1" applyFill="1" applyBorder="1" applyAlignment="1">
      <alignment horizontal="center" vertical="center"/>
    </xf>
    <xf numFmtId="0" fontId="4" fillId="2" borderId="30" xfId="3" applyFont="1" applyFill="1" applyBorder="1" applyAlignment="1">
      <alignment horizontal="center" vertical="center"/>
    </xf>
    <xf numFmtId="44" fontId="4" fillId="2" borderId="28" xfId="12" applyFont="1" applyFill="1" applyBorder="1" applyAlignment="1" applyProtection="1">
      <alignment horizontal="center" vertical="center"/>
    </xf>
    <xf numFmtId="44" fontId="4" fillId="2" borderId="29" xfId="12" applyFont="1" applyFill="1" applyBorder="1" applyAlignment="1" applyProtection="1">
      <alignment horizontal="center" vertical="center"/>
    </xf>
    <xf numFmtId="44" fontId="4" fillId="2" borderId="31" xfId="12" applyFont="1" applyFill="1" applyBorder="1" applyAlignment="1" applyProtection="1">
      <alignment horizontal="center" vertical="center"/>
    </xf>
    <xf numFmtId="0" fontId="4" fillId="2" borderId="27" xfId="3" applyFont="1" applyFill="1" applyBorder="1" applyAlignment="1">
      <alignment horizontal="center" vertical="center"/>
    </xf>
    <xf numFmtId="0" fontId="4" fillId="2" borderId="36" xfId="3" applyFont="1" applyFill="1" applyBorder="1" applyAlignment="1">
      <alignment horizontal="center" vertical="center"/>
    </xf>
    <xf numFmtId="0" fontId="4" fillId="2" borderId="33" xfId="3" applyFont="1" applyFill="1" applyBorder="1" applyAlignment="1">
      <alignment horizontal="center" vertical="center"/>
    </xf>
    <xf numFmtId="9" fontId="4" fillId="2" borderId="28" xfId="3" applyNumberFormat="1" applyFont="1" applyFill="1" applyBorder="1" applyAlignment="1">
      <alignment horizontal="center" vertical="center"/>
    </xf>
    <xf numFmtId="9" fontId="4" fillId="2" borderId="29" xfId="3" applyNumberFormat="1" applyFont="1" applyFill="1" applyBorder="1" applyAlignment="1">
      <alignment horizontal="center" vertical="center"/>
    </xf>
    <xf numFmtId="9" fontId="4" fillId="2" borderId="30" xfId="3" applyNumberFormat="1" applyFont="1" applyFill="1" applyBorder="1" applyAlignment="1">
      <alignment horizontal="center" vertical="center"/>
    </xf>
    <xf numFmtId="44" fontId="4" fillId="2" borderId="28" xfId="12" applyFont="1" applyFill="1" applyBorder="1" applyAlignment="1" applyProtection="1">
      <alignment horizontal="center" vertical="center"/>
      <protection locked="0"/>
    </xf>
    <xf numFmtId="44" fontId="4" fillId="2" borderId="29" xfId="12" applyFont="1" applyFill="1" applyBorder="1" applyAlignment="1" applyProtection="1">
      <alignment horizontal="center" vertical="center"/>
      <protection locked="0"/>
    </xf>
    <xf numFmtId="44" fontId="4" fillId="2" borderId="31" xfId="12" applyFont="1" applyFill="1" applyBorder="1" applyAlignment="1" applyProtection="1">
      <alignment horizontal="center" vertical="center"/>
      <protection locked="0"/>
    </xf>
    <xf numFmtId="0" fontId="4" fillId="2" borderId="35" xfId="3" applyFont="1" applyFill="1" applyBorder="1" applyAlignment="1">
      <alignment horizontal="right" vertical="center"/>
    </xf>
    <xf numFmtId="0" fontId="4" fillId="2" borderId="29" xfId="3" applyFont="1" applyFill="1" applyBorder="1" applyAlignment="1">
      <alignment horizontal="right" vertical="center"/>
    </xf>
    <xf numFmtId="0" fontId="4" fillId="2" borderId="30" xfId="3" applyFont="1" applyFill="1" applyBorder="1" applyAlignment="1">
      <alignment horizontal="right" vertical="center"/>
    </xf>
    <xf numFmtId="0" fontId="4" fillId="0" borderId="29" xfId="7" applyFont="1" applyBorder="1" applyAlignment="1">
      <alignment horizontal="left" vertical="center"/>
    </xf>
    <xf numFmtId="0" fontId="4" fillId="0" borderId="14" xfId="3" applyFont="1" applyBorder="1" applyAlignment="1">
      <alignment horizontal="center" vertical="center"/>
    </xf>
    <xf numFmtId="0" fontId="4" fillId="0" borderId="15" xfId="3" applyFont="1" applyBorder="1" applyAlignment="1">
      <alignment horizontal="center" vertical="center"/>
    </xf>
    <xf numFmtId="0" fontId="4" fillId="0" borderId="26" xfId="3" applyFont="1" applyBorder="1" applyAlignment="1">
      <alignment horizontal="center" vertical="center"/>
    </xf>
    <xf numFmtId="0" fontId="4" fillId="0" borderId="10" xfId="3" applyFont="1" applyBorder="1" applyAlignment="1">
      <alignment horizontal="center" vertical="center"/>
    </xf>
    <xf numFmtId="0" fontId="4" fillId="0" borderId="11" xfId="3" applyFont="1" applyBorder="1" applyAlignment="1">
      <alignment horizontal="center" vertical="center"/>
    </xf>
    <xf numFmtId="0" fontId="4" fillId="0" borderId="12" xfId="3" applyFont="1" applyBorder="1" applyAlignment="1">
      <alignment horizontal="center" vertical="center"/>
    </xf>
    <xf numFmtId="0" fontId="4" fillId="0" borderId="35" xfId="3" applyFont="1" applyBorder="1" applyAlignment="1">
      <alignment horizontal="center" vertical="center"/>
    </xf>
    <xf numFmtId="0" fontId="4" fillId="0" borderId="29" xfId="3" applyFont="1" applyBorder="1" applyAlignment="1">
      <alignment horizontal="center" vertical="center"/>
    </xf>
    <xf numFmtId="0" fontId="4" fillId="0" borderId="31" xfId="3" applyFont="1" applyBorder="1" applyAlignment="1">
      <alignment horizontal="center" vertical="center"/>
    </xf>
    <xf numFmtId="0" fontId="4" fillId="0" borderId="39" xfId="3" applyFont="1" applyBorder="1" applyAlignment="1">
      <alignment horizontal="center" vertical="center" wrapText="1"/>
    </xf>
    <xf numFmtId="0" fontId="4" fillId="0" borderId="16" xfId="3" applyFont="1" applyBorder="1" applyAlignment="1">
      <alignment horizontal="center" vertical="center" wrapText="1"/>
    </xf>
    <xf numFmtId="0" fontId="4" fillId="0" borderId="40" xfId="3" applyFont="1" applyBorder="1" applyAlignment="1">
      <alignment horizontal="center" vertical="center" wrapText="1"/>
    </xf>
    <xf numFmtId="0" fontId="4" fillId="0" borderId="35" xfId="3" applyFont="1" applyBorder="1" applyAlignment="1">
      <alignment horizontal="right" vertical="center"/>
    </xf>
    <xf numFmtId="0" fontId="4" fillId="0" borderId="29" xfId="3" applyFont="1" applyBorder="1" applyAlignment="1">
      <alignment horizontal="right" vertical="center"/>
    </xf>
    <xf numFmtId="0" fontId="4" fillId="0" borderId="30" xfId="3" applyFont="1" applyBorder="1" applyAlignment="1">
      <alignment horizontal="right" vertical="center"/>
    </xf>
    <xf numFmtId="0" fontId="4" fillId="3" borderId="35" xfId="3" applyFont="1" applyFill="1" applyBorder="1" applyAlignment="1">
      <alignment horizontal="center" vertical="center"/>
    </xf>
    <xf numFmtId="0" fontId="4" fillId="3" borderId="29" xfId="3" applyFont="1" applyFill="1" applyBorder="1" applyAlignment="1">
      <alignment horizontal="center" vertical="center"/>
    </xf>
    <xf numFmtId="0" fontId="4" fillId="3" borderId="31" xfId="3" applyFont="1" applyFill="1" applyBorder="1" applyAlignment="1">
      <alignment horizontal="center" vertical="center"/>
    </xf>
    <xf numFmtId="0" fontId="4" fillId="2" borderId="39" xfId="3" applyFont="1" applyFill="1" applyBorder="1" applyAlignment="1">
      <alignment horizontal="center" vertical="center"/>
    </xf>
    <xf numFmtId="0" fontId="4" fillId="2" borderId="16" xfId="3" applyFont="1" applyFill="1" applyBorder="1" applyAlignment="1">
      <alignment horizontal="center" vertical="center"/>
    </xf>
    <xf numFmtId="0" fontId="4" fillId="2" borderId="40" xfId="3" applyFont="1" applyFill="1" applyBorder="1" applyAlignment="1">
      <alignment horizontal="center" vertical="center"/>
    </xf>
    <xf numFmtId="0" fontId="4" fillId="2" borderId="48" xfId="3" applyFont="1" applyFill="1" applyBorder="1" applyAlignment="1">
      <alignment horizontal="center" vertical="center"/>
    </xf>
    <xf numFmtId="0" fontId="4" fillId="2" borderId="49" xfId="3" applyFont="1" applyFill="1" applyBorder="1" applyAlignment="1" applyProtection="1">
      <alignment horizontal="left" vertical="center"/>
      <protection locked="0"/>
    </xf>
    <xf numFmtId="0" fontId="4" fillId="2" borderId="50" xfId="3" applyFont="1" applyFill="1" applyBorder="1" applyAlignment="1" applyProtection="1">
      <alignment horizontal="left" vertical="center"/>
      <protection locked="0"/>
    </xf>
    <xf numFmtId="0" fontId="4" fillId="2" borderId="51" xfId="3" applyFont="1" applyFill="1" applyBorder="1" applyAlignment="1" applyProtection="1">
      <alignment horizontal="left" vertical="center"/>
      <protection locked="0"/>
    </xf>
    <xf numFmtId="44" fontId="4" fillId="2" borderId="49" xfId="12" applyFont="1" applyFill="1" applyBorder="1" applyAlignment="1" applyProtection="1">
      <alignment horizontal="center" vertical="center"/>
      <protection locked="0"/>
    </xf>
    <xf numFmtId="44" fontId="4" fillId="2" borderId="50" xfId="12" applyFont="1" applyFill="1" applyBorder="1" applyAlignment="1" applyProtection="1">
      <alignment horizontal="center" vertical="center"/>
      <protection locked="0"/>
    </xf>
    <xf numFmtId="44" fontId="4" fillId="2" borderId="52" xfId="12" applyFont="1" applyFill="1" applyBorder="1" applyAlignment="1" applyProtection="1">
      <alignment horizontal="center" vertical="center"/>
      <protection locked="0"/>
    </xf>
    <xf numFmtId="4" fontId="4" fillId="2" borderId="28" xfId="8" applyNumberFormat="1" applyFont="1" applyFill="1" applyBorder="1" applyAlignment="1">
      <alignment horizontal="center" vertical="center"/>
    </xf>
    <xf numFmtId="4" fontId="4" fillId="2" borderId="30" xfId="8" applyNumberFormat="1" applyFont="1" applyFill="1" applyBorder="1" applyAlignment="1">
      <alignment horizontal="center" vertical="center"/>
    </xf>
    <xf numFmtId="43" fontId="4" fillId="2" borderId="28" xfId="4" applyNumberFormat="1" applyFont="1" applyFill="1" applyBorder="1" applyAlignment="1" applyProtection="1">
      <alignment horizontal="left" vertical="center" wrapText="1"/>
      <protection locked="0"/>
    </xf>
    <xf numFmtId="43" fontId="4" fillId="2" borderId="29" xfId="4" applyNumberFormat="1" applyFont="1" applyFill="1" applyBorder="1" applyAlignment="1" applyProtection="1">
      <alignment horizontal="left" vertical="center" wrapText="1"/>
      <protection locked="0"/>
    </xf>
    <xf numFmtId="43" fontId="4" fillId="2" borderId="30" xfId="4" applyNumberFormat="1" applyFont="1" applyFill="1" applyBorder="1" applyAlignment="1" applyProtection="1">
      <alignment horizontal="left" vertical="center" wrapText="1"/>
      <protection locked="0"/>
    </xf>
    <xf numFmtId="4" fontId="4" fillId="0" borderId="28" xfId="8" applyNumberFormat="1" applyFont="1" applyBorder="1" applyAlignment="1">
      <alignment horizontal="center" vertical="center"/>
    </xf>
    <xf numFmtId="4" fontId="4" fillId="0" borderId="30" xfId="8" applyNumberFormat="1" applyFont="1" applyBorder="1" applyAlignment="1">
      <alignment horizontal="center" vertical="center"/>
    </xf>
    <xf numFmtId="43" fontId="4" fillId="0" borderId="28" xfId="4" applyNumberFormat="1" applyFont="1" applyFill="1" applyBorder="1" applyAlignment="1" applyProtection="1">
      <alignment horizontal="left" vertical="center" wrapText="1"/>
      <protection locked="0"/>
    </xf>
    <xf numFmtId="43" fontId="4" fillId="0" borderId="29" xfId="4" applyNumberFormat="1" applyFont="1" applyFill="1" applyBorder="1" applyAlignment="1" applyProtection="1">
      <alignment horizontal="left" vertical="center" wrapText="1"/>
      <protection locked="0"/>
    </xf>
    <xf numFmtId="43" fontId="4" fillId="0" borderId="30" xfId="4" applyNumberFormat="1" applyFont="1" applyFill="1" applyBorder="1" applyAlignment="1" applyProtection="1">
      <alignment horizontal="left" vertical="center" wrapText="1"/>
      <protection locked="0"/>
    </xf>
    <xf numFmtId="0" fontId="4" fillId="3" borderId="28" xfId="3" applyFont="1" applyFill="1" applyBorder="1" applyAlignment="1">
      <alignment horizontal="center" vertical="center"/>
    </xf>
    <xf numFmtId="0" fontId="4" fillId="2" borderId="6" xfId="3" applyFont="1" applyFill="1" applyBorder="1" applyAlignment="1">
      <alignment horizontal="right" vertical="center"/>
    </xf>
    <xf numFmtId="0" fontId="4" fillId="2" borderId="18" xfId="3" applyFont="1" applyFill="1" applyBorder="1" applyAlignment="1">
      <alignment horizontal="right" vertical="center"/>
    </xf>
    <xf numFmtId="0" fontId="4" fillId="2" borderId="19" xfId="6" applyFont="1" applyFill="1" applyBorder="1" applyAlignment="1" applyProtection="1">
      <alignment horizontal="center" vertical="center"/>
      <protection locked="0"/>
    </xf>
    <xf numFmtId="49" fontId="4" fillId="2" borderId="21" xfId="6" applyNumberFormat="1" applyFont="1" applyFill="1" applyBorder="1" applyAlignment="1" applyProtection="1">
      <alignment horizontal="center" vertical="center"/>
      <protection locked="0"/>
    </xf>
    <xf numFmtId="165" fontId="4" fillId="2" borderId="0" xfId="4" applyNumberFormat="1" applyFont="1" applyFill="1" applyBorder="1" applyAlignment="1" applyProtection="1">
      <alignment horizontal="center" vertical="center"/>
      <protection locked="0"/>
    </xf>
    <xf numFmtId="165" fontId="4" fillId="0" borderId="19" xfId="4" applyNumberFormat="1" applyFont="1" applyFill="1" applyBorder="1" applyAlignment="1" applyProtection="1">
      <alignment horizontal="left" vertical="center"/>
      <protection locked="0"/>
    </xf>
    <xf numFmtId="165" fontId="4" fillId="0" borderId="22" xfId="4" applyNumberFormat="1" applyFont="1" applyFill="1" applyBorder="1" applyAlignment="1" applyProtection="1">
      <alignment horizontal="left" vertical="center"/>
      <protection locked="0"/>
    </xf>
    <xf numFmtId="0" fontId="4" fillId="3" borderId="24" xfId="3" applyFont="1" applyFill="1" applyBorder="1" applyAlignment="1">
      <alignment horizontal="center" vertical="center"/>
    </xf>
    <xf numFmtId="0" fontId="4" fillId="3" borderId="32" xfId="3" applyFont="1" applyFill="1" applyBorder="1" applyAlignment="1">
      <alignment horizontal="center" vertical="center"/>
    </xf>
    <xf numFmtId="0" fontId="4" fillId="3" borderId="25" xfId="3" applyFont="1" applyFill="1" applyBorder="1" applyAlignment="1">
      <alignment horizontal="center" vertical="center"/>
    </xf>
    <xf numFmtId="0" fontId="4" fillId="3" borderId="26" xfId="3" applyFont="1" applyFill="1" applyBorder="1" applyAlignment="1">
      <alignment horizontal="center" vertical="center"/>
    </xf>
    <xf numFmtId="0" fontId="4" fillId="3" borderId="13" xfId="3" applyFont="1" applyFill="1" applyBorder="1" applyAlignment="1">
      <alignment horizontal="center" vertical="center"/>
    </xf>
    <xf numFmtId="0" fontId="4" fillId="3" borderId="12" xfId="3" applyFont="1" applyFill="1" applyBorder="1" applyAlignment="1">
      <alignment horizontal="center" vertical="center"/>
    </xf>
    <xf numFmtId="0" fontId="4" fillId="3" borderId="15" xfId="3" applyFont="1" applyFill="1" applyBorder="1" applyAlignment="1">
      <alignment horizontal="center" vertical="center"/>
    </xf>
    <xf numFmtId="0" fontId="4" fillId="3" borderId="11" xfId="3" applyFont="1" applyFill="1" applyBorder="1" applyAlignment="1">
      <alignment horizontal="center" vertical="center"/>
    </xf>
    <xf numFmtId="0" fontId="4" fillId="3" borderId="27" xfId="3" applyFont="1" applyFill="1" applyBorder="1" applyAlignment="1">
      <alignment horizontal="center" vertical="center"/>
    </xf>
    <xf numFmtId="0" fontId="4" fillId="3" borderId="33" xfId="3" applyFont="1" applyFill="1" applyBorder="1" applyAlignment="1">
      <alignment horizontal="center" vertical="center"/>
    </xf>
    <xf numFmtId="0" fontId="4" fillId="3" borderId="30" xfId="3" applyFont="1" applyFill="1" applyBorder="1" applyAlignment="1">
      <alignment horizontal="center" vertical="center"/>
    </xf>
    <xf numFmtId="0" fontId="4" fillId="2" borderId="19" xfId="3" applyFont="1" applyFill="1" applyBorder="1" applyAlignment="1">
      <alignment horizontal="left" vertical="center"/>
    </xf>
    <xf numFmtId="0" fontId="4" fillId="2" borderId="20" xfId="3" applyFont="1" applyFill="1" applyBorder="1" applyAlignment="1">
      <alignment horizontal="left" vertical="center"/>
    </xf>
    <xf numFmtId="0" fontId="4" fillId="2" borderId="21" xfId="3" applyFont="1" applyFill="1" applyBorder="1" applyAlignment="1">
      <alignment horizontal="left" vertical="center"/>
    </xf>
    <xf numFmtId="49" fontId="4" fillId="2" borderId="19" xfId="6" applyNumberFormat="1" applyFont="1" applyFill="1" applyBorder="1" applyAlignment="1" applyProtection="1">
      <alignment horizontal="left" vertical="center"/>
      <protection locked="0"/>
    </xf>
    <xf numFmtId="49" fontId="4" fillId="2" borderId="21" xfId="6" applyNumberFormat="1" applyFont="1" applyFill="1" applyBorder="1" applyAlignment="1" applyProtection="1">
      <alignment horizontal="left" vertical="center"/>
      <protection locked="0"/>
    </xf>
    <xf numFmtId="0" fontId="6" fillId="2" borderId="1" xfId="3" applyFont="1" applyFill="1" applyBorder="1" applyAlignment="1">
      <alignment horizontal="center"/>
    </xf>
    <xf numFmtId="0" fontId="6" fillId="2" borderId="2" xfId="3" applyFont="1" applyFill="1" applyBorder="1" applyAlignment="1">
      <alignment horizontal="center"/>
    </xf>
    <xf numFmtId="0" fontId="6" fillId="2" borderId="3" xfId="3" applyFont="1" applyFill="1" applyBorder="1" applyAlignment="1">
      <alignment horizontal="center"/>
    </xf>
    <xf numFmtId="0" fontId="6" fillId="2" borderId="6" xfId="3" applyFont="1" applyFill="1" applyBorder="1" applyAlignment="1">
      <alignment horizontal="center"/>
    </xf>
    <xf numFmtId="0" fontId="6" fillId="2" borderId="0" xfId="3" applyFont="1" applyFill="1" applyAlignment="1">
      <alignment horizontal="center"/>
    </xf>
    <xf numFmtId="0" fontId="6" fillId="2" borderId="7" xfId="3" applyFont="1" applyFill="1" applyBorder="1" applyAlignment="1">
      <alignment horizontal="center"/>
    </xf>
    <xf numFmtId="0" fontId="6" fillId="2" borderId="10" xfId="3" applyFont="1" applyFill="1" applyBorder="1" applyAlignment="1">
      <alignment horizontal="center"/>
    </xf>
    <xf numFmtId="0" fontId="6" fillId="2" borderId="11" xfId="3" applyFont="1" applyFill="1" applyBorder="1" applyAlignment="1">
      <alignment horizontal="center"/>
    </xf>
    <xf numFmtId="0" fontId="6" fillId="2" borderId="12" xfId="3" applyFont="1" applyFill="1" applyBorder="1" applyAlignment="1">
      <alignment horizontal="center"/>
    </xf>
    <xf numFmtId="165" fontId="4" fillId="2" borderId="19" xfId="4" applyNumberFormat="1" applyFont="1" applyFill="1" applyBorder="1" applyAlignment="1" applyProtection="1">
      <alignment horizontal="left" vertical="center"/>
      <protection locked="0"/>
    </xf>
    <xf numFmtId="165" fontId="4" fillId="2" borderId="20" xfId="4" applyNumberFormat="1" applyFont="1" applyFill="1" applyBorder="1" applyAlignment="1" applyProtection="1">
      <alignment horizontal="left" vertical="center"/>
      <protection locked="0"/>
    </xf>
    <xf numFmtId="165" fontId="4" fillId="2" borderId="21" xfId="4" applyNumberFormat="1" applyFont="1" applyFill="1" applyBorder="1" applyAlignment="1" applyProtection="1">
      <alignment horizontal="left" vertical="center"/>
      <protection locked="0"/>
    </xf>
    <xf numFmtId="165" fontId="4" fillId="2" borderId="22" xfId="4" applyNumberFormat="1" applyFont="1" applyFill="1" applyBorder="1" applyAlignment="1" applyProtection="1">
      <alignment horizontal="left" vertical="center"/>
      <protection locked="0"/>
    </xf>
    <xf numFmtId="4" fontId="17" fillId="2" borderId="90" xfId="13" applyNumberFormat="1" applyFont="1" applyFill="1" applyBorder="1" applyAlignment="1">
      <alignment horizontal="right" vertical="center"/>
    </xf>
    <xf numFmtId="4" fontId="17" fillId="2" borderId="91" xfId="13" applyNumberFormat="1" applyFont="1" applyFill="1" applyBorder="1" applyAlignment="1">
      <alignment horizontal="right" vertical="center"/>
    </xf>
    <xf numFmtId="4" fontId="17" fillId="2" borderId="85" xfId="13" applyNumberFormat="1" applyFont="1" applyFill="1" applyBorder="1" applyAlignment="1">
      <alignment horizontal="right" vertical="center"/>
    </xf>
    <xf numFmtId="168" fontId="17" fillId="0" borderId="90" xfId="13" applyNumberFormat="1" applyFont="1" applyBorder="1" applyAlignment="1">
      <alignment horizontal="right" vertical="center"/>
    </xf>
    <xf numFmtId="168" fontId="17" fillId="0" borderId="91" xfId="13" applyNumberFormat="1" applyFont="1" applyBorder="1" applyAlignment="1">
      <alignment horizontal="right" vertical="center"/>
    </xf>
    <xf numFmtId="14" fontId="21" fillId="0" borderId="90" xfId="0" applyNumberFormat="1" applyFont="1" applyBorder="1" applyAlignment="1">
      <alignment horizontal="center"/>
    </xf>
    <xf numFmtId="14" fontId="21" fillId="0" borderId="91" xfId="0" applyNumberFormat="1" applyFont="1" applyBorder="1" applyAlignment="1">
      <alignment horizontal="center"/>
    </xf>
    <xf numFmtId="14" fontId="21" fillId="0" borderId="85" xfId="0" applyNumberFormat="1" applyFont="1" applyBorder="1" applyAlignment="1">
      <alignment horizontal="center"/>
    </xf>
    <xf numFmtId="4" fontId="15" fillId="2" borderId="2" xfId="13" quotePrefix="1" applyNumberFormat="1" applyFont="1" applyFill="1" applyBorder="1" applyAlignment="1">
      <alignment horizontal="center" vertical="center"/>
    </xf>
    <xf numFmtId="4" fontId="15" fillId="2" borderId="2" xfId="13" applyNumberFormat="1" applyFont="1" applyFill="1" applyBorder="1" applyAlignment="1">
      <alignment horizontal="center" vertical="center"/>
    </xf>
    <xf numFmtId="4" fontId="15" fillId="2" borderId="0" xfId="13" applyNumberFormat="1" applyFont="1" applyFill="1" applyAlignment="1">
      <alignment horizontal="center" vertical="center"/>
    </xf>
    <xf numFmtId="4" fontId="18" fillId="2" borderId="63" xfId="13" applyNumberFormat="1" applyFont="1" applyFill="1" applyBorder="1" applyAlignment="1">
      <alignment horizontal="center" vertical="center"/>
    </xf>
    <xf numFmtId="4" fontId="18" fillId="2" borderId="66" xfId="13" applyNumberFormat="1" applyFont="1" applyFill="1" applyBorder="1" applyAlignment="1">
      <alignment horizontal="center" vertical="center"/>
    </xf>
    <xf numFmtId="0" fontId="18" fillId="2" borderId="63" xfId="13" applyFont="1" applyFill="1" applyBorder="1" applyAlignment="1">
      <alignment horizontal="center" vertical="center"/>
    </xf>
    <xf numFmtId="0" fontId="18" fillId="2" borderId="66" xfId="13" applyFont="1" applyFill="1" applyBorder="1" applyAlignment="1">
      <alignment horizontal="center" vertical="center"/>
    </xf>
    <xf numFmtId="4" fontId="18" fillId="2" borderId="5" xfId="13" applyNumberFormat="1" applyFont="1" applyFill="1" applyBorder="1" applyAlignment="1">
      <alignment horizontal="center" vertical="center"/>
    </xf>
    <xf numFmtId="4" fontId="19" fillId="2" borderId="0" xfId="13" applyNumberFormat="1" applyFont="1" applyFill="1" applyAlignment="1">
      <alignment horizontal="center" vertical="center"/>
    </xf>
    <xf numFmtId="4" fontId="18" fillId="2" borderId="62" xfId="13" applyNumberFormat="1" applyFont="1" applyFill="1" applyBorder="1" applyAlignment="1">
      <alignment horizontal="center" vertical="center"/>
    </xf>
    <xf numFmtId="4" fontId="18" fillId="2" borderId="65" xfId="13" applyNumberFormat="1" applyFont="1" applyFill="1" applyBorder="1" applyAlignment="1">
      <alignment horizontal="center" vertical="center"/>
    </xf>
    <xf numFmtId="4" fontId="18" fillId="2" borderId="63" xfId="13" applyNumberFormat="1" applyFont="1" applyFill="1" applyBorder="1" applyAlignment="1">
      <alignment horizontal="center" vertical="center" wrapText="1"/>
    </xf>
    <xf numFmtId="4" fontId="18" fillId="2" borderId="66" xfId="13" applyNumberFormat="1" applyFont="1" applyFill="1" applyBorder="1" applyAlignment="1">
      <alignment horizontal="center" vertical="center" wrapText="1"/>
    </xf>
    <xf numFmtId="165" fontId="28" fillId="0" borderId="90" xfId="15" applyNumberFormat="1" applyFont="1" applyBorder="1" applyAlignment="1">
      <alignment horizontal="center" vertical="top" shrinkToFit="1"/>
    </xf>
    <xf numFmtId="165" fontId="28" fillId="0" borderId="91" xfId="15" applyNumberFormat="1" applyFont="1" applyBorder="1" applyAlignment="1">
      <alignment horizontal="center" vertical="top" shrinkToFit="1"/>
    </xf>
    <xf numFmtId="165" fontId="28" fillId="0" borderId="85" xfId="15" applyNumberFormat="1" applyFont="1" applyBorder="1" applyAlignment="1">
      <alignment horizontal="center" vertical="top" shrinkToFit="1"/>
    </xf>
    <xf numFmtId="168" fontId="15" fillId="0" borderId="90" xfId="13" applyNumberFormat="1" applyFont="1" applyBorder="1" applyAlignment="1">
      <alignment horizontal="center" vertical="center"/>
    </xf>
    <xf numFmtId="168" fontId="15" fillId="0" borderId="91" xfId="13" applyNumberFormat="1" applyFont="1" applyBorder="1" applyAlignment="1">
      <alignment horizontal="center" vertical="center"/>
    </xf>
    <xf numFmtId="168" fontId="15" fillId="0" borderId="93" xfId="13" applyNumberFormat="1" applyFont="1" applyBorder="1" applyAlignment="1">
      <alignment horizontal="center" vertical="center"/>
    </xf>
    <xf numFmtId="0" fontId="17" fillId="6" borderId="106" xfId="13" applyFont="1" applyFill="1" applyBorder="1" applyAlignment="1">
      <alignment horizontal="right" vertical="center" wrapText="1"/>
    </xf>
    <xf numFmtId="0" fontId="17" fillId="6" borderId="57" xfId="13" applyFont="1" applyFill="1" applyBorder="1" applyAlignment="1">
      <alignment horizontal="right" vertical="center" wrapText="1"/>
    </xf>
    <xf numFmtId="0" fontId="15" fillId="2" borderId="2" xfId="13" applyFont="1" applyFill="1" applyBorder="1" applyAlignment="1">
      <alignment horizontal="center" vertical="center"/>
    </xf>
    <xf numFmtId="0" fontId="15" fillId="2" borderId="0" xfId="13" applyFont="1" applyFill="1" applyAlignment="1">
      <alignment horizontal="center" vertical="center"/>
    </xf>
    <xf numFmtId="4" fontId="18" fillId="0" borderId="62" xfId="13" applyNumberFormat="1" applyFont="1" applyBorder="1" applyAlignment="1">
      <alignment horizontal="center" vertical="center"/>
    </xf>
    <xf numFmtId="4" fontId="18" fillId="0" borderId="65" xfId="13" applyNumberFormat="1" applyFont="1" applyBorder="1" applyAlignment="1">
      <alignment horizontal="center" vertical="center"/>
    </xf>
    <xf numFmtId="4" fontId="18" fillId="0" borderId="63" xfId="13" applyNumberFormat="1" applyFont="1" applyBorder="1" applyAlignment="1">
      <alignment horizontal="center" vertical="center"/>
    </xf>
    <xf numFmtId="4" fontId="18" fillId="0" borderId="66" xfId="13" applyNumberFormat="1" applyFont="1" applyBorder="1" applyAlignment="1">
      <alignment horizontal="center" vertical="center"/>
    </xf>
    <xf numFmtId="4" fontId="18" fillId="0" borderId="63" xfId="13" applyNumberFormat="1" applyFont="1" applyBorder="1" applyAlignment="1">
      <alignment horizontal="center" vertical="center" wrapText="1"/>
    </xf>
    <xf numFmtId="4" fontId="18" fillId="0" borderId="66" xfId="13" applyNumberFormat="1" applyFont="1" applyBorder="1" applyAlignment="1">
      <alignment horizontal="center" vertical="center" wrapText="1"/>
    </xf>
    <xf numFmtId="0" fontId="18" fillId="0" borderId="63" xfId="13" applyFont="1" applyBorder="1" applyAlignment="1">
      <alignment horizontal="center" vertical="center" wrapText="1"/>
    </xf>
    <xf numFmtId="0" fontId="18" fillId="0" borderId="66" xfId="13" applyFont="1" applyBorder="1" applyAlignment="1">
      <alignment horizontal="center" vertical="center" wrapText="1"/>
    </xf>
    <xf numFmtId="44" fontId="18" fillId="0" borderId="63" xfId="2" applyFont="1" applyFill="1" applyBorder="1" applyAlignment="1">
      <alignment horizontal="center" vertical="center" wrapText="1"/>
    </xf>
    <xf numFmtId="44" fontId="18" fillId="0" borderId="66" xfId="2" applyFont="1" applyFill="1" applyBorder="1" applyAlignment="1">
      <alignment horizontal="center" vertical="center" wrapText="1"/>
    </xf>
    <xf numFmtId="44" fontId="18" fillId="0" borderId="5" xfId="2" applyFont="1" applyFill="1" applyBorder="1" applyAlignment="1">
      <alignment horizontal="center" vertical="center"/>
    </xf>
    <xf numFmtId="44" fontId="18" fillId="0" borderId="67" xfId="2" applyFont="1" applyFill="1" applyBorder="1" applyAlignment="1">
      <alignment horizontal="center" vertical="center"/>
    </xf>
    <xf numFmtId="44" fontId="17" fillId="2" borderId="90" xfId="14" applyFont="1" applyFill="1" applyBorder="1" applyAlignment="1">
      <alignment horizontal="right" vertical="center"/>
    </xf>
    <xf numFmtId="44" fontId="17" fillId="2" borderId="85" xfId="14" applyFont="1" applyFill="1" applyBorder="1" applyAlignment="1">
      <alignment horizontal="right" vertical="center"/>
    </xf>
    <xf numFmtId="14" fontId="15" fillId="0" borderId="90" xfId="0" applyNumberFormat="1" applyFont="1" applyBorder="1" applyAlignment="1">
      <alignment horizontal="left"/>
    </xf>
    <xf numFmtId="14" fontId="15" fillId="0" borderId="91" xfId="0" applyNumberFormat="1" applyFont="1" applyBorder="1" applyAlignment="1">
      <alignment horizontal="left"/>
    </xf>
    <xf numFmtId="14" fontId="15" fillId="0" borderId="85" xfId="0" applyNumberFormat="1" applyFont="1" applyBorder="1" applyAlignment="1">
      <alignment horizontal="left"/>
    </xf>
    <xf numFmtId="44" fontId="15" fillId="2" borderId="90" xfId="14" applyFont="1" applyFill="1" applyBorder="1" applyAlignment="1">
      <alignment horizontal="center"/>
    </xf>
    <xf numFmtId="44" fontId="15" fillId="2" borderId="85" xfId="14" applyFont="1" applyFill="1" applyBorder="1" applyAlignment="1">
      <alignment horizontal="center"/>
    </xf>
    <xf numFmtId="14" fontId="15" fillId="6" borderId="1" xfId="0" applyNumberFormat="1" applyFont="1" applyFill="1" applyBorder="1" applyAlignment="1">
      <alignment horizontal="center"/>
    </xf>
    <xf numFmtId="14" fontId="15" fillId="6" borderId="2" xfId="0" applyNumberFormat="1" applyFont="1" applyFill="1" applyBorder="1" applyAlignment="1">
      <alignment horizontal="center"/>
    </xf>
    <xf numFmtId="14" fontId="15" fillId="6" borderId="61" xfId="0" applyNumberFormat="1" applyFont="1" applyFill="1" applyBorder="1" applyAlignment="1">
      <alignment horizontal="center"/>
    </xf>
    <xf numFmtId="14" fontId="15" fillId="0" borderId="82" xfId="0" applyNumberFormat="1" applyFont="1" applyBorder="1" applyAlignment="1">
      <alignment horizontal="right"/>
    </xf>
    <xf numFmtId="14" fontId="15" fillId="0" borderId="83" xfId="0" applyNumberFormat="1" applyFont="1" applyBorder="1" applyAlignment="1">
      <alignment horizontal="right"/>
    </xf>
    <xf numFmtId="44" fontId="15" fillId="2" borderId="83" xfId="14" applyFont="1" applyFill="1" applyBorder="1" applyAlignment="1">
      <alignment horizontal="center"/>
    </xf>
    <xf numFmtId="44" fontId="15" fillId="2" borderId="84" xfId="14" applyFont="1" applyFill="1" applyBorder="1" applyAlignment="1">
      <alignment horizontal="center"/>
    </xf>
    <xf numFmtId="14" fontId="15" fillId="6" borderId="53" xfId="0" applyNumberFormat="1" applyFont="1" applyFill="1" applyBorder="1" applyAlignment="1">
      <alignment horizontal="center"/>
    </xf>
    <xf numFmtId="14" fontId="15" fillId="6" borderId="54" xfId="0" applyNumberFormat="1" applyFont="1" applyFill="1" applyBorder="1" applyAlignment="1">
      <alignment horizontal="center"/>
    </xf>
    <xf numFmtId="14" fontId="15" fillId="6" borderId="60" xfId="0" applyNumberFormat="1" applyFont="1" applyFill="1" applyBorder="1" applyAlignment="1">
      <alignment horizontal="center"/>
    </xf>
    <xf numFmtId="14" fontId="15" fillId="6" borderId="90" xfId="0" applyNumberFormat="1" applyFont="1" applyFill="1" applyBorder="1" applyAlignment="1">
      <alignment horizontal="center"/>
    </xf>
    <xf numFmtId="14" fontId="15" fillId="6" borderId="91" xfId="0" applyNumberFormat="1" applyFont="1" applyFill="1" applyBorder="1" applyAlignment="1">
      <alignment horizontal="center"/>
    </xf>
    <xf numFmtId="14" fontId="15" fillId="6" borderId="85" xfId="0" applyNumberFormat="1" applyFont="1" applyFill="1" applyBorder="1" applyAlignment="1">
      <alignment horizontal="center"/>
    </xf>
    <xf numFmtId="14" fontId="15" fillId="2" borderId="1" xfId="0" applyNumberFormat="1" applyFont="1" applyFill="1" applyBorder="1" applyAlignment="1">
      <alignment horizontal="right" vertical="center"/>
    </xf>
    <xf numFmtId="14" fontId="15" fillId="2" borderId="2" xfId="0" applyNumberFormat="1" applyFont="1" applyFill="1" applyBorder="1" applyAlignment="1">
      <alignment horizontal="right" vertical="center"/>
    </xf>
    <xf numFmtId="14" fontId="15" fillId="2" borderId="53" xfId="0" applyNumberFormat="1" applyFont="1" applyFill="1" applyBorder="1" applyAlignment="1">
      <alignment horizontal="right" vertical="center"/>
    </xf>
    <xf numFmtId="14" fontId="15" fillId="2" borderId="54" xfId="0" applyNumberFormat="1" applyFont="1" applyFill="1" applyBorder="1" applyAlignment="1">
      <alignment horizontal="right" vertical="center"/>
    </xf>
    <xf numFmtId="44" fontId="15" fillId="2" borderId="1" xfId="0" applyNumberFormat="1" applyFont="1" applyFill="1" applyBorder="1" applyAlignment="1">
      <alignment horizontal="right" vertical="center"/>
    </xf>
    <xf numFmtId="14" fontId="15" fillId="2" borderId="61" xfId="0" applyNumberFormat="1" applyFont="1" applyFill="1" applyBorder="1" applyAlignment="1">
      <alignment horizontal="right" vertical="center"/>
    </xf>
    <xf numFmtId="14" fontId="15" fillId="2" borderId="60" xfId="0" applyNumberFormat="1" applyFont="1" applyFill="1" applyBorder="1" applyAlignment="1">
      <alignment horizontal="right" vertical="center"/>
    </xf>
    <xf numFmtId="14" fontId="15" fillId="0" borderId="2" xfId="0" applyNumberFormat="1" applyFont="1" applyBorder="1" applyAlignment="1">
      <alignment horizontal="right" vertical="center"/>
    </xf>
    <xf numFmtId="44" fontId="15" fillId="0" borderId="90" xfId="14" applyFont="1" applyFill="1" applyBorder="1" applyAlignment="1">
      <alignment horizontal="right" vertical="center"/>
    </xf>
    <xf numFmtId="44" fontId="15" fillId="0" borderId="85" xfId="14" applyFont="1" applyFill="1" applyBorder="1" applyAlignment="1">
      <alignment horizontal="right" vertical="center"/>
    </xf>
    <xf numFmtId="4" fontId="33" fillId="2" borderId="2" xfId="13" applyNumberFormat="1" applyFont="1" applyFill="1" applyBorder="1" applyAlignment="1">
      <alignment horizontal="center" vertical="center"/>
    </xf>
    <xf numFmtId="4" fontId="33" fillId="2" borderId="0" xfId="13" applyNumberFormat="1" applyFont="1" applyFill="1" applyAlignment="1">
      <alignment horizontal="center" vertical="center"/>
    </xf>
    <xf numFmtId="4" fontId="33" fillId="2" borderId="54" xfId="13" applyNumberFormat="1" applyFont="1" applyFill="1" applyBorder="1" applyAlignment="1">
      <alignment horizontal="center" vertical="center"/>
    </xf>
    <xf numFmtId="4" fontId="14" fillId="6" borderId="53" xfId="13" applyNumberFormat="1" applyFill="1" applyBorder="1" applyAlignment="1">
      <alignment horizontal="center"/>
    </xf>
    <xf numFmtId="4" fontId="14" fillId="6" borderId="54" xfId="13" applyNumberFormat="1" applyFill="1" applyBorder="1" applyAlignment="1">
      <alignment horizontal="center"/>
    </xf>
    <xf numFmtId="4" fontId="14" fillId="6" borderId="60" xfId="13" applyNumberFormat="1" applyFill="1" applyBorder="1" applyAlignment="1">
      <alignment horizontal="center"/>
    </xf>
    <xf numFmtId="14" fontId="15" fillId="0" borderId="1" xfId="0" applyNumberFormat="1" applyFont="1" applyBorder="1" applyAlignment="1">
      <alignment horizontal="left"/>
    </xf>
    <xf numFmtId="14" fontId="15" fillId="0" borderId="2" xfId="0" applyNumberFormat="1" applyFont="1" applyBorder="1" applyAlignment="1">
      <alignment horizontal="left"/>
    </xf>
    <xf numFmtId="14" fontId="15" fillId="0" borderId="61" xfId="0" applyNumberFormat="1" applyFont="1" applyBorder="1" applyAlignment="1">
      <alignment horizontal="left"/>
    </xf>
    <xf numFmtId="14" fontId="15" fillId="6" borderId="82" xfId="0" applyNumberFormat="1" applyFont="1" applyFill="1" applyBorder="1" applyAlignment="1">
      <alignment horizontal="center"/>
    </xf>
    <xf numFmtId="14" fontId="15" fillId="6" borderId="83" xfId="0" applyNumberFormat="1" applyFont="1" applyFill="1" applyBorder="1" applyAlignment="1">
      <alignment horizontal="center"/>
    </xf>
    <xf numFmtId="14" fontId="15" fillId="6" borderId="84" xfId="0" applyNumberFormat="1" applyFont="1" applyFill="1" applyBorder="1" applyAlignment="1">
      <alignment horizontal="center"/>
    </xf>
    <xf numFmtId="14" fontId="15" fillId="0" borderId="90" xfId="0" applyNumberFormat="1" applyFont="1" applyBorder="1" applyAlignment="1">
      <alignment horizontal="right"/>
    </xf>
    <xf numFmtId="14" fontId="15" fillId="0" borderId="91" xfId="0" applyNumberFormat="1" applyFont="1" applyBorder="1" applyAlignment="1">
      <alignment horizontal="right"/>
    </xf>
    <xf numFmtId="14" fontId="15" fillId="0" borderId="85" xfId="0" applyNumberFormat="1" applyFont="1" applyBorder="1" applyAlignment="1">
      <alignment horizontal="right"/>
    </xf>
    <xf numFmtId="44" fontId="15" fillId="0" borderId="90" xfId="14" applyFont="1" applyFill="1" applyBorder="1" applyAlignment="1">
      <alignment horizontal="center"/>
    </xf>
    <xf numFmtId="44" fontId="15" fillId="0" borderId="85" xfId="14" applyFont="1" applyFill="1" applyBorder="1" applyAlignment="1">
      <alignment horizontal="center"/>
    </xf>
    <xf numFmtId="4" fontId="17" fillId="2" borderId="53" xfId="13" applyNumberFormat="1" applyFont="1" applyFill="1" applyBorder="1" applyAlignment="1">
      <alignment horizontal="right" vertical="center"/>
    </xf>
    <xf numFmtId="4" fontId="17" fillId="2" borderId="54" xfId="13" applyNumberFormat="1" applyFont="1" applyFill="1" applyBorder="1" applyAlignment="1">
      <alignment horizontal="right" vertical="center"/>
    </xf>
    <xf numFmtId="168" fontId="15" fillId="2" borderId="1" xfId="13" applyNumberFormat="1" applyFont="1" applyFill="1" applyBorder="1" applyAlignment="1">
      <alignment horizontal="right" vertical="center"/>
    </xf>
    <xf numFmtId="168" fontId="15" fillId="2" borderId="2" xfId="13" applyNumberFormat="1" applyFont="1" applyFill="1" applyBorder="1" applyAlignment="1">
      <alignment horizontal="right" vertical="center"/>
    </xf>
    <xf numFmtId="168" fontId="15" fillId="2" borderId="61" xfId="13" applyNumberFormat="1" applyFont="1" applyFill="1" applyBorder="1" applyAlignment="1">
      <alignment horizontal="right" vertical="center"/>
    </xf>
    <xf numFmtId="168" fontId="15" fillId="2" borderId="53" xfId="13" applyNumberFormat="1" applyFont="1" applyFill="1" applyBorder="1" applyAlignment="1">
      <alignment horizontal="right" vertical="center"/>
    </xf>
    <xf numFmtId="168" fontId="15" fillId="2" borderId="54" xfId="13" applyNumberFormat="1" applyFont="1" applyFill="1" applyBorder="1" applyAlignment="1">
      <alignment horizontal="right" vertical="center"/>
    </xf>
    <xf numFmtId="168" fontId="15" fillId="2" borderId="60" xfId="13" applyNumberFormat="1" applyFont="1" applyFill="1" applyBorder="1" applyAlignment="1">
      <alignment horizontal="right" vertical="center"/>
    </xf>
    <xf numFmtId="44" fontId="15" fillId="0" borderId="111" xfId="2" applyFont="1" applyBorder="1" applyAlignment="1">
      <alignment horizontal="center" vertical="center"/>
    </xf>
    <xf numFmtId="44" fontId="15" fillId="0" borderId="81" xfId="2" applyFont="1" applyBorder="1" applyAlignment="1">
      <alignment horizontal="center" vertical="center"/>
    </xf>
    <xf numFmtId="44" fontId="15" fillId="0" borderId="90" xfId="14" applyFont="1" applyFill="1" applyBorder="1" applyAlignment="1">
      <alignment horizontal="center" vertical="center"/>
    </xf>
    <xf numFmtId="44" fontId="15" fillId="0" borderId="85" xfId="14" applyFont="1" applyFill="1" applyBorder="1" applyAlignment="1">
      <alignment horizontal="center" vertical="center"/>
    </xf>
    <xf numFmtId="44" fontId="17" fillId="2" borderId="90" xfId="14" applyFont="1" applyFill="1" applyBorder="1" applyAlignment="1">
      <alignment horizontal="center" vertical="center"/>
    </xf>
    <xf numFmtId="44" fontId="17" fillId="2" borderId="85" xfId="14" applyFont="1" applyFill="1" applyBorder="1" applyAlignment="1">
      <alignment horizontal="center" vertical="center"/>
    </xf>
    <xf numFmtId="14" fontId="15" fillId="6" borderId="97" xfId="0" applyNumberFormat="1" applyFont="1" applyFill="1" applyBorder="1" applyAlignment="1">
      <alignment horizontal="center"/>
    </xf>
    <xf numFmtId="14" fontId="15" fillId="6" borderId="108" xfId="0" applyNumberFormat="1" applyFont="1" applyFill="1" applyBorder="1" applyAlignment="1">
      <alignment horizontal="center"/>
    </xf>
    <xf numFmtId="14" fontId="15" fillId="6" borderId="109" xfId="0" applyNumberFormat="1" applyFont="1" applyFill="1" applyBorder="1" applyAlignment="1">
      <alignment horizontal="center"/>
    </xf>
    <xf numFmtId="14" fontId="29" fillId="0" borderId="82" xfId="0" applyNumberFormat="1" applyFont="1" applyBorder="1" applyAlignment="1">
      <alignment horizontal="right"/>
    </xf>
    <xf numFmtId="14" fontId="29" fillId="0" borderId="83" xfId="0" applyNumberFormat="1" applyFont="1" applyBorder="1" applyAlignment="1">
      <alignment horizontal="right"/>
    </xf>
  </cellXfs>
  <cellStyles count="18">
    <cellStyle name="Moeda" xfId="2" builtinId="4"/>
    <cellStyle name="Moeda 2 2 4" xfId="12" xr:uid="{9D4FBC63-EF29-470F-AD2B-632F69E6A80F}"/>
    <cellStyle name="Moeda 2 5" xfId="9" xr:uid="{793A3809-6096-4E3C-892B-B6D868D4BC70}"/>
    <cellStyle name="Moeda 4" xfId="14" xr:uid="{BE0E608D-0117-4B0B-ABFD-024A891B51B6}"/>
    <cellStyle name="Moeda 7" xfId="11" xr:uid="{87F227D0-EF80-4240-9241-C1DACEC426F9}"/>
    <cellStyle name="Normal" xfId="0" builtinId="0"/>
    <cellStyle name="Normal 108" xfId="5" xr:uid="{CDAD20E0-B058-45CE-A064-B82352E24583}"/>
    <cellStyle name="Normal 109" xfId="15" xr:uid="{3D01670C-C39E-4B9F-AC90-3B2FA206B4F9}"/>
    <cellStyle name="Normal 11 2 10" xfId="6" xr:uid="{86B7A4A0-2D77-4009-84E9-FF49E0CB4293}"/>
    <cellStyle name="Normal 110" xfId="16" xr:uid="{B0B45FB1-2B23-408E-808B-B9093272B27D}"/>
    <cellStyle name="Normal 111" xfId="17" xr:uid="{C8A29711-2C23-438B-8F84-256DD1AC04BA}"/>
    <cellStyle name="Normal 2 2 2 2" xfId="7" xr:uid="{D1DD8384-A628-4138-8C87-2286113313BC}"/>
    <cellStyle name="Normal 4 2" xfId="8" xr:uid="{083DF88B-27C1-4FD1-9375-4D1130E3E610}"/>
    <cellStyle name="Normal 9" xfId="13" xr:uid="{A87A8DF8-2869-45D9-A751-8DD4D594662D}"/>
    <cellStyle name="Normal_Liocir Antonio Rodrigues_Trator-D6_SET_07" xfId="3" xr:uid="{CB4C04CF-81E9-407C-9A80-0B1E9C60DF1A}"/>
    <cellStyle name="Separador de milhares 2 2 7 2" xfId="4" xr:uid="{FAC6FEE0-A83C-42FB-9A25-9DEE97564ACD}"/>
    <cellStyle name="Separador de milhares 2 3 3" xfId="10" xr:uid="{B08B644D-2551-44B1-877F-8F1F0135DCFF}"/>
    <cellStyle name="Vírgula" xfId="1" builtinId="3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619119</xdr:colOff>
      <xdr:row>42</xdr:row>
      <xdr:rowOff>238125</xdr:rowOff>
    </xdr:from>
    <xdr:to>
      <xdr:col>6</xdr:col>
      <xdr:colOff>66669</xdr:colOff>
      <xdr:row>47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AE33EAFE-38F3-4FF1-BCF7-B1E2712F4A9C}"/>
            </a:ext>
          </a:extLst>
        </xdr:cNvPr>
        <xdr:cNvSpPr txBox="1"/>
      </xdr:nvSpPr>
      <xdr:spPr>
        <a:xfrm>
          <a:off x="1611624" y="7155180"/>
          <a:ext cx="2929890" cy="1434465"/>
        </a:xfrm>
        <a:prstGeom prst="rect">
          <a:avLst/>
        </a:prstGeom>
        <a:ln w="9525" cmpd="sng">
          <a:noFill/>
        </a:ln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Data: ___/____/_______</a:t>
          </a:r>
        </a:p>
        <a:p>
          <a:pPr algn="ctr"/>
          <a:endParaRPr lang="pt-BR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pt-BR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pt-BR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pt-BR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___________________________</a:t>
          </a:r>
        </a:p>
        <a:p>
          <a:pPr algn="ctr"/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ELABORADO</a:t>
          </a:r>
          <a:r>
            <a:rPr lang="pt-BR" sz="1100" baseline="0">
              <a:latin typeface="Arial" panose="020B0604020202020204" pitchFamily="34" charset="0"/>
              <a:cs typeface="Arial" panose="020B0604020202020204" pitchFamily="34" charset="0"/>
            </a:rPr>
            <a:t> POR:</a:t>
          </a:r>
        </a:p>
        <a:p>
          <a:pPr algn="ctr"/>
          <a:r>
            <a:rPr lang="pt-BR" sz="1100" baseline="0">
              <a:latin typeface="Arial" panose="020B0604020202020204" pitchFamily="34" charset="0"/>
              <a:cs typeface="Arial" panose="020B0604020202020204" pitchFamily="34" charset="0"/>
            </a:rPr>
            <a:t>EDUARDO SAMPAIO </a:t>
          </a:r>
        </a:p>
        <a:p>
          <a:pPr algn="ctr"/>
          <a:endParaRPr lang="pt-BR" sz="1100" baseline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504260</xdr:colOff>
      <xdr:row>42</xdr:row>
      <xdr:rowOff>229160</xdr:rowOff>
    </xdr:from>
    <xdr:to>
      <xdr:col>7</xdr:col>
      <xdr:colOff>1090886</xdr:colOff>
      <xdr:row>49</xdr:row>
      <xdr:rowOff>105335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D22B5B8B-DEFC-4D31-BF20-50C0561426AE}"/>
            </a:ext>
          </a:extLst>
        </xdr:cNvPr>
        <xdr:cNvSpPr txBox="1"/>
      </xdr:nvSpPr>
      <xdr:spPr>
        <a:xfrm>
          <a:off x="4982915" y="7144310"/>
          <a:ext cx="3428886" cy="1750695"/>
        </a:xfrm>
        <a:prstGeom prst="rect">
          <a:avLst/>
        </a:prstGeom>
        <a:ln w="9525" cmpd="sng">
          <a:noFill/>
        </a:ln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Data: ___/____/_______</a:t>
          </a:r>
        </a:p>
        <a:p>
          <a:pPr algn="ctr"/>
          <a:endParaRPr lang="pt-BR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pt-BR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pt-BR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pt-BR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___________________________</a:t>
          </a:r>
        </a:p>
        <a:p>
          <a:pPr algn="ctr"/>
          <a:r>
            <a:rPr lang="pt-BR" sz="1100" baseline="0">
              <a:latin typeface="Arial" panose="020B0604020202020204" pitchFamily="34" charset="0"/>
              <a:cs typeface="Arial" panose="020B0604020202020204" pitchFamily="34" charset="0"/>
            </a:rPr>
            <a:t>PRESTADOR:</a:t>
          </a:r>
        </a:p>
        <a:p>
          <a:pPr algn="ctr"/>
          <a:r>
            <a:rPr lang="pt-BR" sz="1100" baseline="0">
              <a:latin typeface="Arial" panose="020B0604020202020204" pitchFamily="34" charset="0"/>
              <a:cs typeface="Arial" panose="020B0604020202020204" pitchFamily="34" charset="0"/>
            </a:rPr>
            <a:t>GAMERIM TRANSPORTES</a:t>
          </a:r>
        </a:p>
        <a:p>
          <a:pPr algn="ctr"/>
          <a:endParaRPr lang="pt-BR" sz="1100" baseline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1605253</xdr:colOff>
      <xdr:row>42</xdr:row>
      <xdr:rowOff>152400</xdr:rowOff>
    </xdr:from>
    <xdr:to>
      <xdr:col>10</xdr:col>
      <xdr:colOff>672349</xdr:colOff>
      <xdr:row>48</xdr:row>
      <xdr:rowOff>76200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D25986DC-8942-434D-89F7-5D521D6A815F}"/>
            </a:ext>
          </a:extLst>
        </xdr:cNvPr>
        <xdr:cNvSpPr txBox="1"/>
      </xdr:nvSpPr>
      <xdr:spPr>
        <a:xfrm>
          <a:off x="8931883" y="7067550"/>
          <a:ext cx="2985681" cy="1609725"/>
        </a:xfrm>
        <a:prstGeom prst="rect">
          <a:avLst/>
        </a:prstGeom>
        <a:ln w="9525" cmpd="sng">
          <a:noFill/>
        </a:ln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Data: ___/____/_______</a:t>
          </a:r>
        </a:p>
        <a:p>
          <a:pPr algn="ctr"/>
          <a:endParaRPr lang="pt-BR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pt-BR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pt-BR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pt-BR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___________________________</a:t>
          </a:r>
        </a:p>
        <a:p>
          <a:pPr algn="ctr"/>
          <a:r>
            <a:rPr lang="pt-BR" sz="1100" baseline="0">
              <a:latin typeface="Arial" panose="020B0604020202020204" pitchFamily="34" charset="0"/>
              <a:cs typeface="Arial" panose="020B0604020202020204" pitchFamily="34" charset="0"/>
            </a:rPr>
            <a:t>GERENTE REGIONAL</a:t>
          </a:r>
        </a:p>
      </xdr:txBody>
    </xdr:sp>
    <xdr:clientData/>
  </xdr:twoCellAnchor>
  <xdr:twoCellAnchor>
    <xdr:from>
      <xdr:col>11</xdr:col>
      <xdr:colOff>532274</xdr:colOff>
      <xdr:row>42</xdr:row>
      <xdr:rowOff>237565</xdr:rowOff>
    </xdr:from>
    <xdr:to>
      <xdr:col>14</xdr:col>
      <xdr:colOff>112053</xdr:colOff>
      <xdr:row>48</xdr:row>
      <xdr:rowOff>189940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7BB5E6C2-00DB-4F90-AA29-B9D2825D8CE4}"/>
            </a:ext>
          </a:extLst>
        </xdr:cNvPr>
        <xdr:cNvSpPr txBox="1"/>
      </xdr:nvSpPr>
      <xdr:spPr>
        <a:xfrm>
          <a:off x="12714749" y="7154620"/>
          <a:ext cx="3018304" cy="1636395"/>
        </a:xfrm>
        <a:prstGeom prst="rect">
          <a:avLst/>
        </a:prstGeom>
        <a:ln w="9525" cmpd="sng">
          <a:noFill/>
        </a:ln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Data: ___/____/_______</a:t>
          </a:r>
        </a:p>
        <a:p>
          <a:pPr algn="ctr"/>
          <a:endParaRPr lang="pt-BR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pt-BR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pt-BR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pt-BR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___________________________</a:t>
          </a:r>
        </a:p>
        <a:p>
          <a:pPr algn="ctr"/>
          <a:r>
            <a:rPr lang="pt-BR" sz="1100" baseline="0">
              <a:latin typeface="Arial" panose="020B0604020202020204" pitchFamily="34" charset="0"/>
              <a:cs typeface="Arial" panose="020B0604020202020204" pitchFamily="34" charset="0"/>
            </a:rPr>
            <a:t>ENGENHEIRO RESPONSÁVEL</a:t>
          </a:r>
        </a:p>
        <a:p>
          <a:pPr algn="ctr"/>
          <a:endParaRPr lang="pt-BR" sz="1100" baseline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817459</xdr:colOff>
      <xdr:row>42</xdr:row>
      <xdr:rowOff>161925</xdr:rowOff>
    </xdr:from>
    <xdr:to>
      <xdr:col>16</xdr:col>
      <xdr:colOff>636484</xdr:colOff>
      <xdr:row>49</xdr:row>
      <xdr:rowOff>57150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B67815B0-7AF0-485B-81CB-AC09F2ACB96F}"/>
            </a:ext>
          </a:extLst>
        </xdr:cNvPr>
        <xdr:cNvSpPr txBox="1"/>
      </xdr:nvSpPr>
      <xdr:spPr>
        <a:xfrm>
          <a:off x="16442269" y="7078980"/>
          <a:ext cx="2661285" cy="1765935"/>
        </a:xfrm>
        <a:prstGeom prst="rect">
          <a:avLst/>
        </a:prstGeom>
        <a:ln w="9525" cmpd="sng">
          <a:noFill/>
        </a:ln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Data: ___/____/_______</a:t>
          </a:r>
        </a:p>
        <a:p>
          <a:pPr algn="ctr"/>
          <a:endParaRPr lang="pt-BR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pt-BR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pt-BR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pt-BR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___________________________</a:t>
          </a:r>
        </a:p>
        <a:p>
          <a:pPr algn="ctr"/>
          <a:r>
            <a:rPr lang="pt-BR" sz="1100" baseline="0">
              <a:latin typeface="Arial" panose="020B0604020202020204" pitchFamily="34" charset="0"/>
              <a:cs typeface="Arial" panose="020B0604020202020204" pitchFamily="34" charset="0"/>
            </a:rPr>
            <a:t>DIRETORIA</a:t>
          </a:r>
        </a:p>
        <a:p>
          <a:pPr algn="ctr"/>
          <a:r>
            <a:rPr lang="pt-BR" sz="1100" baseline="0">
              <a:latin typeface="Arial" panose="020B0604020202020204" pitchFamily="34" charset="0"/>
              <a:cs typeface="Arial" panose="020B0604020202020204" pitchFamily="34" charset="0"/>
            </a:rPr>
            <a:t>GAISSLER MOREIRA ENG.</a:t>
          </a:r>
        </a:p>
        <a:p>
          <a:pPr algn="ctr"/>
          <a:endParaRPr lang="pt-BR" sz="1100" baseline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8964</xdr:colOff>
      <xdr:row>1</xdr:row>
      <xdr:rowOff>62753</xdr:rowOff>
    </xdr:from>
    <xdr:to>
      <xdr:col>4</xdr:col>
      <xdr:colOff>664733</xdr:colOff>
      <xdr:row>5</xdr:row>
      <xdr:rowOff>132006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497C1987-EFA0-4A2C-87AE-6BAEE0215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469" y="525668"/>
          <a:ext cx="1895924" cy="6159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165207</xdr:colOff>
      <xdr:row>0</xdr:row>
      <xdr:rowOff>184736</xdr:rowOff>
    </xdr:from>
    <xdr:ext cx="887700" cy="649483"/>
    <xdr:pic>
      <xdr:nvPicPr>
        <xdr:cNvPr id="2" name="Imagem 1">
          <a:extLst>
            <a:ext uri="{FF2B5EF4-FFF2-40B4-BE49-F238E27FC236}">
              <a16:creationId xmlns:a16="http://schemas.microsoft.com/office/drawing/2014/main" id="{BC753971-4DE0-46A2-9EE8-5D109A1AAF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191"/>
        <a:stretch/>
      </xdr:blipFill>
      <xdr:spPr>
        <a:xfrm>
          <a:off x="896727" y="184736"/>
          <a:ext cx="887700" cy="649483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149677</xdr:rowOff>
    </xdr:from>
    <xdr:to>
      <xdr:col>3</xdr:col>
      <xdr:colOff>55858</xdr:colOff>
      <xdr:row>3</xdr:row>
      <xdr:rowOff>94113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B41D732-9109-40CD-A2A4-470F80A81C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191"/>
        <a:stretch/>
      </xdr:blipFill>
      <xdr:spPr>
        <a:xfrm>
          <a:off x="731520" y="149677"/>
          <a:ext cx="888343" cy="6340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127000</xdr:rowOff>
    </xdr:from>
    <xdr:to>
      <xdr:col>1</xdr:col>
      <xdr:colOff>857046</xdr:colOff>
      <xdr:row>3</xdr:row>
      <xdr:rowOff>249780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6321D64-03A1-41DA-A0E6-A1F3F1AD06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191"/>
        <a:stretch/>
      </xdr:blipFill>
      <xdr:spPr>
        <a:xfrm>
          <a:off x="609600" y="127000"/>
          <a:ext cx="857046" cy="7247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27214</xdr:colOff>
      <xdr:row>1</xdr:row>
      <xdr:rowOff>40821</xdr:rowOff>
    </xdr:from>
    <xdr:to>
      <xdr:col>3</xdr:col>
      <xdr:colOff>1011276</xdr:colOff>
      <xdr:row>3</xdr:row>
      <xdr:rowOff>148948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90EC2CE-0B89-4523-A63B-38D9B2B89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285750"/>
          <a:ext cx="1895740" cy="61159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11205</xdr:colOff>
      <xdr:row>0</xdr:row>
      <xdr:rowOff>156882</xdr:rowOff>
    </xdr:from>
    <xdr:to>
      <xdr:col>2</xdr:col>
      <xdr:colOff>894606</xdr:colOff>
      <xdr:row>3</xdr:row>
      <xdr:rowOff>92534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A91927-51E1-4178-BDE4-D074EEDC1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0793" y="156882"/>
          <a:ext cx="1901455" cy="61540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</xdr:colOff>
      <xdr:row>0</xdr:row>
      <xdr:rowOff>171276</xdr:rowOff>
    </xdr:from>
    <xdr:to>
      <xdr:col>2</xdr:col>
      <xdr:colOff>346628</xdr:colOff>
      <xdr:row>3</xdr:row>
      <xdr:rowOff>172747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8C83FA1-8161-435C-B13E-AD2DBF5F8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946" y="171276"/>
          <a:ext cx="1901455" cy="6211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User%2001.LAPTOP-V63PNVRE\AppData\Local\Packages\5319275A.WhatsAppDesktop_cv1g1gvanyjgm\LocalState\sessions\511CF70F52DC38DCF533B14DC80DE9BA5372CD32\transfers\2026-16\GAMERI%20TRANSPORTE%20%20MEDI&#199;&#195;O%20POR%20PRODU&#199;&#195;O%20MAR&#199;O%20%20EVENTO.xlsx" TargetMode="External"/><Relationship Id="rId2" Type="http://schemas.microsoft.com/office/2019/04/relationships/externalLinkLongPath" Target="/Users/User%2001.LAPTOP-V63PNVRE/AppData/Local/Packages/5319275A.WhatsAppDesktop_cv1g1gvanyjgm/LocalState/sessions/511CF70F52DC38DCF533B14DC80DE9BA5372CD32/transfers/2026-16/GAMERI%20TRANSPORTE%20%20MEDI&#199;&#195;O%20POR%20PRODU&#199;&#195;O%20MAR&#199;O%20%20EVENTO.xlsx?C37A8AA7" TargetMode="External"/><Relationship Id="rId1" Type="http://schemas.openxmlformats.org/officeDocument/2006/relationships/externalLinkPath" Target="file:///\\C37A8AA7\GAMERI%20TRANSPORTE%20%20MEDI&#199;&#195;O%20POR%20PRODU&#199;&#195;O%20MAR&#199;O%20%20EVENTO.xlsx" TargetMode="External"/><Relationship Id="rId4" Type="http://schemas.openxmlformats.org/officeDocument/2006/relationships/externalLinkPath" Target="../../../../../../../User%2001.LAPTOP-V63PNVRE/AppData/Local/Packages/5319275A.WhatsAppDesktop_cv1g1gvanyjgm/LocalState/sessions/511CF70F52DC38DCF533B14DC80DE9BA5372CD32/transfers/2026-16/GAMERI%20TRANSPORTE%20%20MEDI&#199;&#195;O%20POR%20PRODU&#199;&#195;O%20MAR&#199;O%20%20EVEN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1ª MEDIÇÃO GM - WOLSKI"/>
      <sheetName val="REL. CAMIN. 1ª MED GM - WOLSKI"/>
      <sheetName val="DESCONTO MEDIÇÃO 1ª MED"/>
      <sheetName val="RELAÇÃO PEDÁGIO 1ª MED"/>
      <sheetName val="2ª MEDIÇÃO GM - WOLSKI"/>
      <sheetName val="REL. CAMIN. 2ª MED GM - WOLSKI"/>
      <sheetName val="DESCONTO MEDIÇÃO 2ª MED"/>
      <sheetName val="RELAÇÃO PEDÁGIO 2ª MED"/>
      <sheetName val="3ª MEDIÇÃO GM - WOLSKI"/>
      <sheetName val="REL. CAMIN. 3ª MED GM - WOLSKI"/>
      <sheetName val="DESCONTO MEDIÇÃO 3ª MED"/>
      <sheetName val="RELAÇÃO PEDÁGIO 3ª MED"/>
      <sheetName val="4ª MEDIÇÃO GM - WOLSKI"/>
      <sheetName val="REL. CAMIN. 4ª MED GM - WOLSKI"/>
      <sheetName val="DESCONTO MEDIÇÃO 4ª MED"/>
      <sheetName val="RELAÇÃO PEDÁGIO 4ª MED"/>
      <sheetName val="5ª MEDIÇÃO GM - WOLSKI"/>
      <sheetName val="REL. CAMIN. 5ª MED GM - WOLKI"/>
      <sheetName val="DESCONTO MEDIÇÃO 5ª MED"/>
      <sheetName val="RELAÇÃO PEDÁGIO 5ª MED"/>
      <sheetName val="6ª MEDIÇÃO GM - WOLSKI"/>
      <sheetName val="REL. CAMIN. 6ª MED GM - WOLKI"/>
      <sheetName val="DESCONTO MEDIÇÃO 6ª MED"/>
      <sheetName val="RELAÇÃO PEDÁGIO 6ª MED"/>
      <sheetName val="7ª MEDIÇÃO GM - WOLSKI"/>
      <sheetName val="REL. CAMIN. 7ª MED GM - WOLSKI"/>
      <sheetName val="DESCONTO MEDIÇÃO 7ª MED"/>
      <sheetName val="RELAÇÃO PEDÁGIO 7ª MED"/>
      <sheetName val="8ª MEDIÇÃO GM - WOLSKI"/>
      <sheetName val="DESCONTO MEDIÇÃO 8ª MED"/>
      <sheetName val="RELAÇÃO PEDÁGIO 8ª MED"/>
      <sheetName val="9ª MEDIÇÃO GM - WOLSKI"/>
      <sheetName val="RELAÇÃO PEDÁGIO 12ª MED"/>
      <sheetName val="DESCONTO MEDIÇÃO 12ª MED"/>
      <sheetName val="REL. CAMIN. 12ª MED GM - WOLSKI"/>
      <sheetName val="12ª MEDIÇÃO GM - WOLSKI "/>
      <sheetName val="REL. CAMIN. 13ª MED GM "/>
      <sheetName val="DESCONTO MEDIÇÃO 13ª MED"/>
      <sheetName val="15ª MEDIÇÃO GM - WOLSKI"/>
      <sheetName val="REL. CAMIN. 15ª MED GM"/>
      <sheetName val="DESCONTO MEDIÇÃO 15ª MED"/>
      <sheetName val="RELAÇÃO PEDÁGIO 15ª MED"/>
      <sheetName val="17ª MEDIÇÃO GM - WOLSKI"/>
      <sheetName val="14ª MEDIÇÃO GM - WOLSKI"/>
      <sheetName val="13ª MEDIÇÃO GM - WOLSKI"/>
      <sheetName val="REL. CAMIN. 17ª MED GM"/>
      <sheetName val="REL. CAMIN. 14ª MED GM "/>
      <sheetName val="DESCONTO MEDIÇÃO 14ª MED"/>
      <sheetName val="DIESEL "/>
      <sheetName val="RELAÇÃO PEDÁGIO 17ª MED"/>
      <sheetName val="RELAÇÃO PEDÁGIO 14ª MED"/>
      <sheetName val="RELAÇÃO PEDÁGIO 13ª MED"/>
      <sheetName val="DESCONTO MEDIÇÃO 9ª MED"/>
      <sheetName val="RELAÇÃO PEDÁGIO 9ª MED"/>
      <sheetName val="RELAÇÃO PEDÁGIO 11ª MED"/>
      <sheetName val="DESCONTO MEDIÇÃO 11ª MED"/>
      <sheetName val="10ª MEDIÇÃO GM - WOLSKI"/>
      <sheetName val="11ª MEDIÇÃO GM - WOLSKI "/>
      <sheetName val="RELAÇÃO DE PEDÁGIO 10ªMED"/>
      <sheetName val="DESCONTO MEDIÇÃO 10ª MED"/>
      <sheetName val="REL. CAMIN. 11ª MED GM - WOLSKI"/>
      <sheetName val="REL. CAMIN. 8ª MED GM - WOLSKI"/>
      <sheetName val="REL.CAMIN.10ªMED GM"/>
      <sheetName val="REL. CAMIN. 9ª MED GM - WOLSK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65">
          <cell r="O65">
            <v>56321.714570000004</v>
          </cell>
        </row>
      </sheetData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3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8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DFDEA-38FB-4E39-B397-28A2A5DE60B7}">
  <sheetPr>
    <tabColor rgb="FF0070C0"/>
    <pageSetUpPr fitToPage="1"/>
  </sheetPr>
  <dimension ref="A1:X51"/>
  <sheetViews>
    <sheetView showGridLines="0" view="pageBreakPreview" topLeftCell="I14" zoomScale="80" zoomScaleNormal="85" zoomScaleSheetLayoutView="80" workbookViewId="0">
      <selection activeCell="C28" sqref="C28:N28"/>
    </sheetView>
  </sheetViews>
  <sheetFormatPr defaultColWidth="10.88671875" defaultRowHeight="13.8" x14ac:dyDescent="0.25"/>
  <cols>
    <col min="1" max="1" width="8.109375" style="5" customWidth="1"/>
    <col min="2" max="2" width="6.33203125" style="1" customWidth="1"/>
    <col min="3" max="3" width="9.5546875" style="2" bestFit="1" customWidth="1"/>
    <col min="4" max="4" width="8.44140625" style="2" customWidth="1"/>
    <col min="5" max="5" width="18.44140625" style="3" customWidth="1"/>
    <col min="6" max="6" width="14.33203125" style="1" customWidth="1"/>
    <col min="7" max="7" width="41.5546875" style="1" customWidth="1"/>
    <col min="8" max="8" width="27.5546875" style="107" customWidth="1"/>
    <col min="9" max="9" width="15" style="107" bestFit="1" customWidth="1"/>
    <col min="10" max="10" width="14.6640625" style="107" bestFit="1" customWidth="1"/>
    <col min="11" max="11" width="13.6640625" style="107" bestFit="1" customWidth="1"/>
    <col min="12" max="12" width="17.44140625" style="107" customWidth="1"/>
    <col min="13" max="13" width="13.5546875" style="107" customWidth="1"/>
    <col min="14" max="14" width="19" style="107" customWidth="1"/>
    <col min="15" max="15" width="22.33203125" style="107" customWidth="1"/>
    <col min="16" max="16" width="19.109375" style="107" customWidth="1"/>
    <col min="17" max="17" width="26.44140625" style="107" bestFit="1" customWidth="1"/>
    <col min="18" max="18" width="7.33203125" style="5" customWidth="1"/>
    <col min="19" max="23" width="10.88671875" style="5"/>
    <col min="24" max="24" width="17" style="5" bestFit="1" customWidth="1"/>
    <col min="25" max="16384" width="10.88671875" style="5"/>
  </cols>
  <sheetData>
    <row r="1" spans="2:24" ht="36.75" customHeight="1" thickBot="1" x14ac:dyDescent="0.3">
      <c r="H1" s="4"/>
      <c r="I1" s="4"/>
      <c r="J1" s="4"/>
      <c r="K1" s="4"/>
      <c r="L1" s="4"/>
      <c r="M1" s="4"/>
      <c r="N1" s="4"/>
      <c r="O1" s="4"/>
      <c r="P1" s="4"/>
      <c r="Q1" s="4"/>
    </row>
    <row r="2" spans="2:24" ht="11.25" customHeight="1" x14ac:dyDescent="0.25">
      <c r="B2" s="721">
        <v>6</v>
      </c>
      <c r="C2" s="722"/>
      <c r="D2" s="722"/>
      <c r="E2" s="723"/>
      <c r="F2" s="610" t="s">
        <v>0</v>
      </c>
      <c r="G2" s="611"/>
      <c r="H2" s="611"/>
      <c r="I2" s="611"/>
      <c r="J2" s="611"/>
      <c r="K2" s="611"/>
      <c r="L2" s="611"/>
      <c r="M2" s="611"/>
      <c r="N2" s="611"/>
      <c r="O2" s="611"/>
      <c r="P2" s="611"/>
      <c r="Q2" s="612"/>
    </row>
    <row r="3" spans="2:24" ht="11.25" customHeight="1" x14ac:dyDescent="0.25">
      <c r="B3" s="724"/>
      <c r="C3" s="725"/>
      <c r="D3" s="725"/>
      <c r="E3" s="726"/>
      <c r="F3" s="613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615"/>
    </row>
    <row r="4" spans="2:24" ht="11.25" customHeight="1" x14ac:dyDescent="0.25">
      <c r="B4" s="724"/>
      <c r="C4" s="725"/>
      <c r="D4" s="725"/>
      <c r="E4" s="726"/>
      <c r="F4" s="613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615"/>
    </row>
    <row r="5" spans="2:24" ht="11.25" customHeight="1" x14ac:dyDescent="0.25">
      <c r="B5" s="724"/>
      <c r="C5" s="725"/>
      <c r="D5" s="725"/>
      <c r="E5" s="726"/>
      <c r="F5" s="613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615"/>
    </row>
    <row r="6" spans="2:24" ht="14.25" customHeight="1" x14ac:dyDescent="0.25">
      <c r="B6" s="727"/>
      <c r="C6" s="728"/>
      <c r="D6" s="728"/>
      <c r="E6" s="729"/>
      <c r="F6" s="616"/>
      <c r="G6" s="617"/>
      <c r="H6" s="617"/>
      <c r="I6" s="617"/>
      <c r="J6" s="617"/>
      <c r="K6" s="617"/>
      <c r="L6" s="617"/>
      <c r="M6" s="617"/>
      <c r="N6" s="617"/>
      <c r="O6" s="617"/>
      <c r="P6" s="617"/>
      <c r="Q6" s="618"/>
    </row>
    <row r="7" spans="2:24" ht="14.4" x14ac:dyDescent="0.25">
      <c r="B7" s="6"/>
      <c r="C7" s="7"/>
      <c r="D7" s="8"/>
      <c r="E7" s="9"/>
      <c r="F7" s="10"/>
      <c r="G7" s="10"/>
      <c r="H7" s="10"/>
      <c r="I7" s="10"/>
      <c r="J7" s="11"/>
      <c r="K7" s="11"/>
      <c r="L7" s="11"/>
      <c r="M7" s="11"/>
      <c r="N7" s="11"/>
      <c r="O7" s="11"/>
      <c r="P7" s="11"/>
      <c r="Q7" s="12"/>
    </row>
    <row r="8" spans="2:24" x14ac:dyDescent="0.25">
      <c r="B8" s="698" t="s">
        <v>1</v>
      </c>
      <c r="C8" s="699"/>
      <c r="D8" s="716" t="s">
        <v>2</v>
      </c>
      <c r="E8" s="717"/>
      <c r="F8" s="717"/>
      <c r="G8" s="717"/>
      <c r="H8" s="717"/>
      <c r="I8" s="718"/>
      <c r="J8" s="14" t="s">
        <v>3</v>
      </c>
      <c r="K8" s="730" t="s">
        <v>4</v>
      </c>
      <c r="L8" s="731"/>
      <c r="M8" s="731"/>
      <c r="N8" s="732"/>
      <c r="O8" s="15" t="s">
        <v>5</v>
      </c>
      <c r="P8" s="730" t="s">
        <v>6</v>
      </c>
      <c r="Q8" s="733"/>
    </row>
    <row r="9" spans="2:24" x14ac:dyDescent="0.25">
      <c r="B9" s="698" t="s">
        <v>7</v>
      </c>
      <c r="C9" s="699"/>
      <c r="D9" s="716" t="s">
        <v>8</v>
      </c>
      <c r="E9" s="717"/>
      <c r="F9" s="717"/>
      <c r="G9" s="717"/>
      <c r="H9" s="717"/>
      <c r="I9" s="718"/>
      <c r="J9" s="11"/>
      <c r="K9" s="11"/>
      <c r="L9" s="11"/>
      <c r="M9" s="16"/>
      <c r="N9" s="16"/>
      <c r="O9" s="15" t="s">
        <v>9</v>
      </c>
      <c r="P9" s="703" t="s">
        <v>10</v>
      </c>
      <c r="Q9" s="704"/>
    </row>
    <row r="10" spans="2:24" x14ac:dyDescent="0.25">
      <c r="B10" s="698" t="s">
        <v>11</v>
      </c>
      <c r="C10" s="699"/>
      <c r="D10" s="719" t="s">
        <v>12</v>
      </c>
      <c r="E10" s="720"/>
      <c r="F10" s="17"/>
      <c r="G10" s="18"/>
      <c r="H10" s="11"/>
      <c r="I10" s="19"/>
      <c r="J10" s="19"/>
      <c r="K10" s="19"/>
      <c r="L10" s="11"/>
      <c r="M10" s="702"/>
      <c r="N10" s="702"/>
      <c r="O10" s="15" t="s">
        <v>13</v>
      </c>
      <c r="P10" s="703">
        <v>46091</v>
      </c>
      <c r="Q10" s="704"/>
    </row>
    <row r="11" spans="2:24" x14ac:dyDescent="0.25">
      <c r="B11" s="698" t="s">
        <v>14</v>
      </c>
      <c r="C11" s="699"/>
      <c r="D11" s="700">
        <v>1</v>
      </c>
      <c r="E11" s="701"/>
      <c r="F11" s="20"/>
      <c r="G11" s="21"/>
      <c r="H11" s="21"/>
      <c r="I11" s="20" t="s">
        <v>15</v>
      </c>
      <c r="J11" s="22">
        <v>46055</v>
      </c>
      <c r="K11" s="19"/>
      <c r="L11" s="11"/>
      <c r="M11" s="702"/>
      <c r="N11" s="702"/>
      <c r="O11" s="15" t="s">
        <v>16</v>
      </c>
      <c r="P11" s="703">
        <v>46122</v>
      </c>
      <c r="Q11" s="704"/>
    </row>
    <row r="12" spans="2:24" ht="9" customHeight="1" x14ac:dyDescent="0.25">
      <c r="B12" s="13"/>
      <c r="C12" s="14"/>
      <c r="D12" s="14"/>
      <c r="E12" s="23"/>
      <c r="F12" s="24"/>
      <c r="G12" s="25"/>
      <c r="H12" s="11"/>
      <c r="I12" s="19"/>
      <c r="J12" s="19"/>
      <c r="K12" s="19"/>
      <c r="L12" s="11"/>
      <c r="M12" s="16"/>
      <c r="N12" s="16"/>
      <c r="O12" s="16"/>
      <c r="P12" s="16"/>
      <c r="Q12" s="26"/>
    </row>
    <row r="13" spans="2:24" x14ac:dyDescent="0.25">
      <c r="B13" s="705" t="s">
        <v>17</v>
      </c>
      <c r="C13" s="707" t="s">
        <v>18</v>
      </c>
      <c r="D13" s="708"/>
      <c r="E13" s="707" t="s">
        <v>19</v>
      </c>
      <c r="F13" s="711"/>
      <c r="G13" s="708"/>
      <c r="H13" s="713" t="s">
        <v>20</v>
      </c>
      <c r="I13" s="28" t="s">
        <v>21</v>
      </c>
      <c r="J13" s="27" t="s">
        <v>22</v>
      </c>
      <c r="K13" s="713" t="s">
        <v>23</v>
      </c>
      <c r="L13" s="697" t="s">
        <v>24</v>
      </c>
      <c r="M13" s="675"/>
      <c r="N13" s="715"/>
      <c r="O13" s="697" t="s">
        <v>25</v>
      </c>
      <c r="P13" s="675"/>
      <c r="Q13" s="676"/>
    </row>
    <row r="14" spans="2:24" x14ac:dyDescent="0.25">
      <c r="B14" s="706"/>
      <c r="C14" s="709"/>
      <c r="D14" s="710"/>
      <c r="E14" s="709"/>
      <c r="F14" s="712"/>
      <c r="G14" s="710"/>
      <c r="H14" s="714"/>
      <c r="I14" s="32" t="s">
        <v>26</v>
      </c>
      <c r="J14" s="32" t="s">
        <v>27</v>
      </c>
      <c r="K14" s="714"/>
      <c r="L14" s="33" t="s">
        <v>28</v>
      </c>
      <c r="M14" s="33" t="s">
        <v>29</v>
      </c>
      <c r="N14" s="30" t="s">
        <v>30</v>
      </c>
      <c r="O14" s="29" t="s">
        <v>28</v>
      </c>
      <c r="P14" s="33" t="s">
        <v>29</v>
      </c>
      <c r="Q14" s="31" t="s">
        <v>31</v>
      </c>
    </row>
    <row r="15" spans="2:24" ht="17.399999999999999" customHeight="1" x14ac:dyDescent="0.25">
      <c r="B15" s="34">
        <v>1</v>
      </c>
      <c r="C15" s="687" t="s">
        <v>33</v>
      </c>
      <c r="D15" s="688"/>
      <c r="E15" s="37" t="s">
        <v>34</v>
      </c>
      <c r="F15" s="38"/>
      <c r="G15" s="39"/>
      <c r="H15" s="40" t="s">
        <v>32</v>
      </c>
      <c r="I15" s="41">
        <f>'REL. CAMIN. 1ª MED EV - GAMERIM'!L35</f>
        <v>0.7</v>
      </c>
      <c r="J15" s="42">
        <f>'REL. CAMIN. 1ª MED EV - GAMERIM'!J35</f>
        <v>522.33000000000004</v>
      </c>
      <c r="K15" s="43">
        <f>'REL. CAMIN. 1ª MED EV - GAMERIM'!K35</f>
        <v>44.668772615013488</v>
      </c>
      <c r="L15" s="50">
        <f>J15</f>
        <v>522.33000000000004</v>
      </c>
      <c r="M15" s="45">
        <v>0</v>
      </c>
      <c r="N15" s="46">
        <f>L15+M15</f>
        <v>522.33000000000004</v>
      </c>
      <c r="O15" s="47">
        <f>J15*K15*I15</f>
        <v>16332.287999999997</v>
      </c>
      <c r="P15" s="48">
        <v>0</v>
      </c>
      <c r="Q15" s="49">
        <f>O15+P15</f>
        <v>16332.287999999997</v>
      </c>
      <c r="X15" s="51"/>
    </row>
    <row r="16" spans="2:24" ht="17.399999999999999" customHeight="1" x14ac:dyDescent="0.25">
      <c r="B16" s="34">
        <v>2</v>
      </c>
      <c r="C16" s="687" t="s">
        <v>33</v>
      </c>
      <c r="D16" s="688"/>
      <c r="E16" s="631" t="s">
        <v>35</v>
      </c>
      <c r="F16" s="632"/>
      <c r="G16" s="633"/>
      <c r="H16" s="40" t="s">
        <v>32</v>
      </c>
      <c r="I16" s="41">
        <f>'REL. CAMIN. 1ª MED EV - GAMERIM'!L71</f>
        <v>0.7</v>
      </c>
      <c r="J16" s="42">
        <f>'REL. CAMIN. 1ª MED EV - GAMERIM'!J71</f>
        <v>722.11</v>
      </c>
      <c r="K16" s="43">
        <f>'REL. CAMIN. 1ª MED EV - GAMERIM'!K71</f>
        <v>49.460025480882422</v>
      </c>
      <c r="L16" s="50">
        <f>J16</f>
        <v>722.11</v>
      </c>
      <c r="M16" s="45">
        <v>0</v>
      </c>
      <c r="N16" s="46">
        <f t="shared" ref="N16:N17" si="0">L16+M16</f>
        <v>722.11</v>
      </c>
      <c r="O16" s="47">
        <f t="shared" ref="O16" si="1">J16*K16*I16</f>
        <v>25000.905300000002</v>
      </c>
      <c r="P16" s="48">
        <v>0</v>
      </c>
      <c r="Q16" s="49">
        <f t="shared" ref="Q16:Q17" si="2">O16+P16</f>
        <v>25000.905300000002</v>
      </c>
      <c r="X16" s="51"/>
    </row>
    <row r="17" spans="1:24" ht="17.399999999999999" customHeight="1" x14ac:dyDescent="0.25">
      <c r="B17" s="34">
        <v>3</v>
      </c>
      <c r="C17" s="687" t="s">
        <v>36</v>
      </c>
      <c r="D17" s="688"/>
      <c r="E17" s="37" t="s">
        <v>37</v>
      </c>
      <c r="F17" s="38"/>
      <c r="G17" s="39"/>
      <c r="H17" s="40" t="s">
        <v>38</v>
      </c>
      <c r="I17" s="41">
        <f>'RELAÇÃO PEDÁGIO 1ª EV - GAMERIM'!K36</f>
        <v>12.100442477876106</v>
      </c>
      <c r="J17" s="42">
        <f>'RELAÇÃO PEDÁGIO 1ª EV - GAMERIM'!J36</f>
        <v>113</v>
      </c>
      <c r="K17" s="43"/>
      <c r="L17" s="52">
        <f>J17</f>
        <v>113</v>
      </c>
      <c r="M17" s="45">
        <v>0</v>
      </c>
      <c r="N17" s="46">
        <f t="shared" si="0"/>
        <v>113</v>
      </c>
      <c r="O17" s="47">
        <f>J17*I17</f>
        <v>1367.35</v>
      </c>
      <c r="P17" s="48">
        <v>0</v>
      </c>
      <c r="Q17" s="49">
        <f t="shared" si="2"/>
        <v>1367.35</v>
      </c>
      <c r="X17" s="51"/>
    </row>
    <row r="18" spans="1:24" ht="17.399999999999999" customHeight="1" x14ac:dyDescent="0.25">
      <c r="B18" s="34">
        <v>4</v>
      </c>
      <c r="C18" s="35"/>
      <c r="D18" s="36"/>
      <c r="E18" s="37"/>
      <c r="F18" s="38"/>
      <c r="G18" s="39"/>
      <c r="H18" s="40"/>
      <c r="I18" s="41"/>
      <c r="J18" s="42"/>
      <c r="K18" s="43"/>
      <c r="L18" s="50"/>
      <c r="M18" s="45"/>
      <c r="N18" s="46"/>
      <c r="O18" s="47"/>
      <c r="P18" s="48"/>
      <c r="Q18" s="49"/>
      <c r="X18" s="51"/>
    </row>
    <row r="19" spans="1:24" ht="17.399999999999999" customHeight="1" x14ac:dyDescent="0.25">
      <c r="B19" s="34">
        <v>5</v>
      </c>
      <c r="C19" s="35"/>
      <c r="D19" s="36"/>
      <c r="E19" s="37"/>
      <c r="F19" s="38"/>
      <c r="G19" s="39"/>
      <c r="H19" s="40"/>
      <c r="I19" s="41"/>
      <c r="J19" s="42"/>
      <c r="K19" s="43"/>
      <c r="L19" s="50"/>
      <c r="M19" s="45"/>
      <c r="N19" s="46"/>
      <c r="O19" s="47"/>
      <c r="P19" s="48"/>
      <c r="Q19" s="49"/>
      <c r="X19" s="51"/>
    </row>
    <row r="20" spans="1:24" ht="17.399999999999999" customHeight="1" x14ac:dyDescent="0.25">
      <c r="B20" s="34">
        <v>6</v>
      </c>
      <c r="C20" s="35"/>
      <c r="D20" s="36"/>
      <c r="E20" s="37"/>
      <c r="F20" s="38"/>
      <c r="G20" s="39"/>
      <c r="H20" s="40"/>
      <c r="I20" s="41"/>
      <c r="J20" s="42"/>
      <c r="K20" s="43"/>
      <c r="L20" s="50"/>
      <c r="M20" s="45"/>
      <c r="N20" s="46"/>
      <c r="O20" s="47"/>
      <c r="P20" s="48"/>
      <c r="Q20" s="49"/>
      <c r="X20" s="51"/>
    </row>
    <row r="21" spans="1:24" ht="17.399999999999999" customHeight="1" x14ac:dyDescent="0.25">
      <c r="B21" s="34">
        <v>7</v>
      </c>
      <c r="C21" s="687"/>
      <c r="D21" s="688"/>
      <c r="E21" s="37"/>
      <c r="F21" s="38"/>
      <c r="G21" s="39"/>
      <c r="H21" s="40"/>
      <c r="I21" s="41"/>
      <c r="J21" s="42"/>
      <c r="K21" s="43"/>
      <c r="L21" s="52"/>
      <c r="M21" s="45"/>
      <c r="N21" s="46"/>
      <c r="O21" s="47"/>
      <c r="P21" s="48"/>
      <c r="Q21" s="49"/>
    </row>
    <row r="22" spans="1:24" ht="12" customHeight="1" x14ac:dyDescent="0.25">
      <c r="A22" s="55"/>
      <c r="B22" s="62"/>
      <c r="C22" s="63"/>
      <c r="D22" s="64"/>
      <c r="E22" s="658"/>
      <c r="F22" s="658"/>
      <c r="G22" s="658"/>
      <c r="H22" s="65"/>
      <c r="I22" s="65"/>
      <c r="J22" s="65"/>
      <c r="K22" s="66"/>
      <c r="L22" s="67">
        <v>0</v>
      </c>
      <c r="M22" s="67"/>
      <c r="N22" s="67"/>
      <c r="O22" s="67"/>
      <c r="P22" s="67"/>
      <c r="Q22" s="68" t="str">
        <f>IF(J22=0,"",I22*L22)</f>
        <v/>
      </c>
    </row>
    <row r="23" spans="1:24" ht="13.5" customHeight="1" x14ac:dyDescent="0.25">
      <c r="B23" s="659" t="s">
        <v>39</v>
      </c>
      <c r="C23" s="660"/>
      <c r="D23" s="660"/>
      <c r="E23" s="660"/>
      <c r="F23" s="660"/>
      <c r="G23" s="660"/>
      <c r="H23" s="660"/>
      <c r="I23" s="660"/>
      <c r="J23" s="660"/>
      <c r="K23" s="660"/>
      <c r="L23" s="660"/>
      <c r="M23" s="660"/>
      <c r="N23" s="661"/>
      <c r="O23" s="69" t="s">
        <v>28</v>
      </c>
      <c r="P23" s="69" t="s">
        <v>29</v>
      </c>
      <c r="Q23" s="70" t="s">
        <v>31</v>
      </c>
    </row>
    <row r="24" spans="1:24" ht="14.25" customHeight="1" x14ac:dyDescent="0.25">
      <c r="B24" s="662"/>
      <c r="C24" s="663"/>
      <c r="D24" s="663"/>
      <c r="E24" s="663"/>
      <c r="F24" s="663"/>
      <c r="G24" s="663"/>
      <c r="H24" s="663"/>
      <c r="I24" s="663"/>
      <c r="J24" s="663"/>
      <c r="K24" s="663"/>
      <c r="L24" s="663"/>
      <c r="M24" s="663"/>
      <c r="N24" s="664"/>
      <c r="O24" s="71">
        <f>SUM(O15:O21)</f>
        <v>42700.543299999998</v>
      </c>
      <c r="P24" s="71">
        <f>SUM(P15:P21)</f>
        <v>0</v>
      </c>
      <c r="Q24" s="72">
        <f>SUM(Q15:Q21)</f>
        <v>42700.543299999998</v>
      </c>
      <c r="R24" s="73"/>
    </row>
    <row r="25" spans="1:24" ht="21.6" customHeight="1" x14ac:dyDescent="0.25">
      <c r="B25" s="665" t="s">
        <v>40</v>
      </c>
      <c r="C25" s="666"/>
      <c r="D25" s="666"/>
      <c r="E25" s="666"/>
      <c r="F25" s="666"/>
      <c r="G25" s="666"/>
      <c r="H25" s="666"/>
      <c r="I25" s="666"/>
      <c r="J25" s="666"/>
      <c r="K25" s="666"/>
      <c r="L25" s="666"/>
      <c r="M25" s="666"/>
      <c r="N25" s="666"/>
      <c r="O25" s="666"/>
      <c r="P25" s="666"/>
      <c r="Q25" s="667"/>
    </row>
    <row r="26" spans="1:24" s="79" customFormat="1" ht="28.5" customHeight="1" x14ac:dyDescent="0.25">
      <c r="A26" s="5"/>
      <c r="B26" s="76" t="s">
        <v>17</v>
      </c>
      <c r="C26" s="668" t="s">
        <v>41</v>
      </c>
      <c r="D26" s="669"/>
      <c r="E26" s="669"/>
      <c r="F26" s="669"/>
      <c r="G26" s="669"/>
      <c r="H26" s="669"/>
      <c r="I26" s="669"/>
      <c r="J26" s="669"/>
      <c r="K26" s="669"/>
      <c r="L26" s="669"/>
      <c r="M26" s="669"/>
      <c r="N26" s="670"/>
      <c r="O26" s="77" t="s">
        <v>42</v>
      </c>
      <c r="P26" s="77" t="s">
        <v>43</v>
      </c>
      <c r="Q26" s="78" t="s">
        <v>44</v>
      </c>
    </row>
    <row r="27" spans="1:24" ht="14.4" customHeight="1" x14ac:dyDescent="0.25">
      <c r="B27" s="80">
        <v>1</v>
      </c>
      <c r="C27" s="634" t="s">
        <v>45</v>
      </c>
      <c r="D27" s="635"/>
      <c r="E27" s="635"/>
      <c r="F27" s="635"/>
      <c r="G27" s="635"/>
      <c r="H27" s="635"/>
      <c r="I27" s="635"/>
      <c r="J27" s="635"/>
      <c r="K27" s="635"/>
      <c r="L27" s="635"/>
      <c r="M27" s="635"/>
      <c r="N27" s="636"/>
      <c r="O27" s="84">
        <f>'DESCONTO 1ª MEDIÇÃO EV- GAMERIM'!O72</f>
        <v>26072.540979999998</v>
      </c>
      <c r="P27" s="84">
        <v>0</v>
      </c>
      <c r="Q27" s="85">
        <f>P27+O27</f>
        <v>26072.540979999998</v>
      </c>
    </row>
    <row r="28" spans="1:24" ht="14.4" customHeight="1" x14ac:dyDescent="0.25">
      <c r="B28" s="80">
        <v>2</v>
      </c>
      <c r="C28" s="634" t="s">
        <v>46</v>
      </c>
      <c r="D28" s="635"/>
      <c r="E28" s="635"/>
      <c r="F28" s="635"/>
      <c r="G28" s="635"/>
      <c r="H28" s="635"/>
      <c r="I28" s="635"/>
      <c r="J28" s="635"/>
      <c r="K28" s="635"/>
      <c r="L28" s="635"/>
      <c r="M28" s="635"/>
      <c r="N28" s="636"/>
      <c r="O28" s="84">
        <f>'DESCONTO 1ª MEDIÇÃO EV- GAMERIM'!O70</f>
        <v>16299.249999999998</v>
      </c>
      <c r="P28" s="84">
        <v>0</v>
      </c>
      <c r="Q28" s="85">
        <f t="shared" ref="Q28" si="3">P28+O28</f>
        <v>16299.249999999998</v>
      </c>
    </row>
    <row r="29" spans="1:24" x14ac:dyDescent="0.25">
      <c r="B29" s="80"/>
      <c r="C29" s="81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3"/>
      <c r="O29" s="84"/>
      <c r="P29" s="84"/>
      <c r="Q29" s="85"/>
    </row>
    <row r="30" spans="1:24" x14ac:dyDescent="0.25">
      <c r="B30" s="671" t="s">
        <v>39</v>
      </c>
      <c r="C30" s="672"/>
      <c r="D30" s="672"/>
      <c r="E30" s="672"/>
      <c r="F30" s="672"/>
      <c r="G30" s="672"/>
      <c r="H30" s="672"/>
      <c r="I30" s="672"/>
      <c r="J30" s="672"/>
      <c r="K30" s="672"/>
      <c r="L30" s="672"/>
      <c r="M30" s="672"/>
      <c r="N30" s="673"/>
      <c r="O30" s="87">
        <f>SUM(O27:O29)</f>
        <v>42371.790979999998</v>
      </c>
      <c r="P30" s="87">
        <f>SUM(P27:P29)</f>
        <v>0</v>
      </c>
      <c r="Q30" s="88">
        <f>SUM(Q27:Q29)</f>
        <v>42371.790979999998</v>
      </c>
    </row>
    <row r="31" spans="1:24" x14ac:dyDescent="0.25">
      <c r="B31" s="665"/>
      <c r="C31" s="666"/>
      <c r="D31" s="666"/>
      <c r="E31" s="666"/>
      <c r="F31" s="666"/>
      <c r="G31" s="666"/>
      <c r="H31" s="666"/>
      <c r="I31" s="666"/>
      <c r="J31" s="666"/>
      <c r="K31" s="666"/>
      <c r="L31" s="666"/>
      <c r="M31" s="666"/>
      <c r="N31" s="666"/>
      <c r="O31" s="666"/>
      <c r="P31" s="666"/>
      <c r="Q31" s="667"/>
    </row>
    <row r="32" spans="1:24" x14ac:dyDescent="0.25">
      <c r="B32" s="74"/>
      <c r="C32" s="75"/>
      <c r="D32" s="75"/>
      <c r="E32" s="89"/>
      <c r="F32" s="75"/>
      <c r="G32" s="75"/>
      <c r="H32" s="75"/>
      <c r="I32" s="75"/>
      <c r="J32" s="75"/>
      <c r="K32" s="75"/>
      <c r="L32" s="75"/>
      <c r="M32" s="75"/>
      <c r="N32" s="86" t="s">
        <v>47</v>
      </c>
      <c r="O32" s="90">
        <f>O24-O30</f>
        <v>328.7523199999996</v>
      </c>
      <c r="P32" s="90">
        <f>P24-P30</f>
        <v>0</v>
      </c>
      <c r="Q32" s="91">
        <f>Q24-Q30</f>
        <v>328.7523199999996</v>
      </c>
    </row>
    <row r="33" spans="2:17" x14ac:dyDescent="0.25">
      <c r="B33" s="674" t="s">
        <v>48</v>
      </c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5"/>
      <c r="P33" s="675"/>
      <c r="Q33" s="676"/>
    </row>
    <row r="34" spans="2:17" x14ac:dyDescent="0.25">
      <c r="B34" s="92" t="s">
        <v>17</v>
      </c>
      <c r="C34" s="677" t="s">
        <v>19</v>
      </c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9"/>
      <c r="O34" s="677" t="s">
        <v>49</v>
      </c>
      <c r="P34" s="678"/>
      <c r="Q34" s="680"/>
    </row>
    <row r="35" spans="2:17" x14ac:dyDescent="0.25">
      <c r="B35" s="93"/>
      <c r="C35" s="681"/>
      <c r="D35" s="682"/>
      <c r="E35" s="682"/>
      <c r="F35" s="682"/>
      <c r="G35" s="682"/>
      <c r="H35" s="682"/>
      <c r="I35" s="682"/>
      <c r="J35" s="682"/>
      <c r="K35" s="682"/>
      <c r="L35" s="682"/>
      <c r="M35" s="682"/>
      <c r="N35" s="683"/>
      <c r="O35" s="684"/>
      <c r="P35" s="685"/>
      <c r="Q35" s="686"/>
    </row>
    <row r="36" spans="2:17" x14ac:dyDescent="0.25">
      <c r="B36" s="655" t="s">
        <v>39</v>
      </c>
      <c r="C36" s="656"/>
      <c r="D36" s="656"/>
      <c r="E36" s="656"/>
      <c r="F36" s="656"/>
      <c r="G36" s="656"/>
      <c r="H36" s="656"/>
      <c r="I36" s="656"/>
      <c r="J36" s="656"/>
      <c r="K36" s="656"/>
      <c r="L36" s="656"/>
      <c r="M36" s="656"/>
      <c r="N36" s="657"/>
      <c r="O36" s="643">
        <v>0</v>
      </c>
      <c r="P36" s="644"/>
      <c r="Q36" s="645"/>
    </row>
    <row r="37" spans="2:17" x14ac:dyDescent="0.25">
      <c r="B37" s="94" t="s">
        <v>50</v>
      </c>
      <c r="C37" s="7"/>
      <c r="D37" s="7"/>
      <c r="E37" s="7"/>
      <c r="F37" s="7"/>
      <c r="G37" s="7"/>
      <c r="H37" s="95"/>
      <c r="I37" s="637"/>
      <c r="J37" s="638"/>
      <c r="K37" s="638"/>
      <c r="L37" s="638"/>
      <c r="M37" s="638"/>
      <c r="N37" s="638"/>
      <c r="O37" s="638"/>
      <c r="P37" s="638"/>
      <c r="Q37" s="639"/>
    </row>
    <row r="38" spans="2:17" ht="15" customHeight="1" x14ac:dyDescent="0.25">
      <c r="B38" s="96" t="s">
        <v>51</v>
      </c>
      <c r="C38" s="97"/>
      <c r="D38" s="97"/>
      <c r="E38" s="97"/>
      <c r="F38" s="97"/>
      <c r="G38" s="97"/>
      <c r="H38" s="98"/>
      <c r="I38" s="640" t="s">
        <v>52</v>
      </c>
      <c r="J38" s="641"/>
      <c r="K38" s="641"/>
      <c r="L38" s="641"/>
      <c r="M38" s="641"/>
      <c r="N38" s="642"/>
      <c r="O38" s="643">
        <f>O32+O36</f>
        <v>328.7523199999996</v>
      </c>
      <c r="P38" s="644"/>
      <c r="Q38" s="645"/>
    </row>
    <row r="39" spans="2:17" ht="15" customHeight="1" x14ac:dyDescent="0.25">
      <c r="B39" s="96" t="s">
        <v>53</v>
      </c>
      <c r="C39" s="97"/>
      <c r="D39" s="97"/>
      <c r="E39" s="97"/>
      <c r="F39" s="97"/>
      <c r="G39" s="97"/>
      <c r="H39" s="98"/>
      <c r="I39" s="646" t="s">
        <v>54</v>
      </c>
      <c r="J39" s="100" t="s">
        <v>55</v>
      </c>
      <c r="K39" s="640"/>
      <c r="L39" s="641"/>
      <c r="M39" s="641"/>
      <c r="N39" s="642"/>
      <c r="O39" s="652"/>
      <c r="P39" s="653"/>
      <c r="Q39" s="654"/>
    </row>
    <row r="40" spans="2:17" ht="15" customHeight="1" x14ac:dyDescent="0.25">
      <c r="B40" s="96" t="s">
        <v>56</v>
      </c>
      <c r="C40" s="97"/>
      <c r="D40" s="97"/>
      <c r="E40" s="97"/>
      <c r="F40" s="97"/>
      <c r="G40" s="97"/>
      <c r="H40" s="98"/>
      <c r="I40" s="647"/>
      <c r="J40" s="11" t="s">
        <v>57</v>
      </c>
      <c r="K40" s="640"/>
      <c r="L40" s="641"/>
      <c r="M40" s="641"/>
      <c r="N40" s="642"/>
      <c r="O40" s="643"/>
      <c r="P40" s="644"/>
      <c r="Q40" s="645"/>
    </row>
    <row r="41" spans="2:17" x14ac:dyDescent="0.25">
      <c r="B41" s="101" t="s">
        <v>58</v>
      </c>
      <c r="C41" s="97"/>
      <c r="D41" s="97"/>
      <c r="E41" s="97"/>
      <c r="F41" s="97"/>
      <c r="G41" s="97"/>
      <c r="H41" s="98"/>
      <c r="I41" s="648"/>
      <c r="J41" s="100" t="s">
        <v>59</v>
      </c>
      <c r="K41" s="640"/>
      <c r="L41" s="641"/>
      <c r="M41" s="641"/>
      <c r="N41" s="642"/>
      <c r="O41" s="652"/>
      <c r="P41" s="653"/>
      <c r="Q41" s="654"/>
    </row>
    <row r="42" spans="2:17" ht="14.25" customHeight="1" thickBot="1" x14ac:dyDescent="0.3">
      <c r="B42" s="102"/>
      <c r="C42" s="103"/>
      <c r="D42" s="103"/>
      <c r="E42" s="103"/>
      <c r="F42" s="103"/>
      <c r="G42" s="103"/>
      <c r="H42" s="104"/>
      <c r="I42" s="625" t="s">
        <v>60</v>
      </c>
      <c r="J42" s="626"/>
      <c r="K42" s="626"/>
      <c r="L42" s="626"/>
      <c r="M42" s="626"/>
      <c r="N42" s="627"/>
      <c r="O42" s="628">
        <f>O38-O39-O40-O41</f>
        <v>328.7523199999996</v>
      </c>
      <c r="P42" s="629"/>
      <c r="Q42" s="630"/>
    </row>
    <row r="43" spans="2:17" ht="37.5" customHeight="1" x14ac:dyDescent="0.25">
      <c r="B43" s="105"/>
      <c r="F43" s="106"/>
      <c r="I43" s="106"/>
      <c r="J43" s="106"/>
      <c r="M43" s="106"/>
      <c r="N43" s="106"/>
      <c r="O43" s="106"/>
      <c r="P43" s="106"/>
      <c r="Q43" s="108"/>
    </row>
    <row r="44" spans="2:17" ht="35.25" customHeight="1" x14ac:dyDescent="0.25">
      <c r="B44" s="109"/>
      <c r="F44" s="106"/>
      <c r="I44" s="106"/>
      <c r="J44" s="106"/>
      <c r="M44" s="106"/>
      <c r="N44" s="106"/>
      <c r="O44" s="106"/>
      <c r="P44" s="106"/>
      <c r="Q44" s="108"/>
    </row>
    <row r="45" spans="2:17" ht="15" customHeight="1" x14ac:dyDescent="0.25">
      <c r="B45" s="105"/>
      <c r="F45" s="5"/>
      <c r="I45" s="106"/>
      <c r="J45" s="106"/>
      <c r="M45" s="106"/>
      <c r="N45" s="106"/>
      <c r="O45" s="106"/>
      <c r="P45" s="106"/>
      <c r="Q45" s="108"/>
    </row>
    <row r="46" spans="2:17" ht="15" customHeight="1" x14ac:dyDescent="0.25">
      <c r="B46" s="105"/>
      <c r="C46" s="110"/>
      <c r="D46" s="110"/>
      <c r="E46" s="110"/>
      <c r="G46" s="106"/>
      <c r="H46" s="106"/>
      <c r="I46" s="106"/>
      <c r="J46" s="106"/>
      <c r="K46" s="106"/>
      <c r="M46" s="106"/>
      <c r="N46" s="106"/>
      <c r="O46" s="106"/>
      <c r="P46" s="106"/>
      <c r="Q46" s="108"/>
    </row>
    <row r="47" spans="2:17" ht="15.75" customHeight="1" x14ac:dyDescent="0.25">
      <c r="B47" s="111"/>
      <c r="H47" s="112"/>
      <c r="I47" s="112"/>
      <c r="J47" s="112"/>
      <c r="K47" s="112"/>
      <c r="L47" s="112"/>
      <c r="M47" s="112"/>
      <c r="N47" s="112"/>
      <c r="O47" s="106"/>
      <c r="P47" s="106"/>
      <c r="Q47" s="108"/>
    </row>
    <row r="48" spans="2:17" ht="15" customHeight="1" x14ac:dyDescent="0.25">
      <c r="B48" s="111"/>
      <c r="Q48" s="108"/>
    </row>
    <row r="49" spans="2:17" ht="15" customHeight="1" x14ac:dyDescent="0.25">
      <c r="B49" s="111"/>
      <c r="C49" s="113"/>
      <c r="D49" s="113"/>
      <c r="E49" s="113"/>
      <c r="I49" s="112"/>
      <c r="J49" s="112"/>
      <c r="K49" s="112"/>
      <c r="N49" s="112"/>
      <c r="O49" s="106"/>
      <c r="P49" s="112"/>
      <c r="Q49" s="114"/>
    </row>
    <row r="50" spans="2:17" ht="15.75" customHeight="1" thickBot="1" x14ac:dyDescent="0.3">
      <c r="B50" s="115"/>
      <c r="C50" s="116"/>
      <c r="D50" s="116"/>
      <c r="E50" s="117"/>
      <c r="F50" s="118"/>
      <c r="G50" s="118"/>
      <c r="H50" s="119"/>
      <c r="I50" s="119"/>
      <c r="J50" s="119"/>
      <c r="K50" s="119"/>
      <c r="L50" s="119"/>
      <c r="M50" s="119"/>
      <c r="N50" s="119"/>
      <c r="O50" s="120"/>
      <c r="P50" s="120"/>
      <c r="Q50" s="121"/>
    </row>
    <row r="51" spans="2:17" ht="39" customHeight="1" x14ac:dyDescent="0.25"/>
  </sheetData>
  <mergeCells count="56">
    <mergeCell ref="B2:E6"/>
    <mergeCell ref="B8:C8"/>
    <mergeCell ref="D8:I8"/>
    <mergeCell ref="K8:N8"/>
    <mergeCell ref="P8:Q8"/>
    <mergeCell ref="B9:C9"/>
    <mergeCell ref="D9:I9"/>
    <mergeCell ref="P9:Q9"/>
    <mergeCell ref="B10:C10"/>
    <mergeCell ref="D10:E10"/>
    <mergeCell ref="M10:N10"/>
    <mergeCell ref="P10:Q10"/>
    <mergeCell ref="B11:C11"/>
    <mergeCell ref="D11:E11"/>
    <mergeCell ref="M11:N11"/>
    <mergeCell ref="P11:Q11"/>
    <mergeCell ref="B13:B14"/>
    <mergeCell ref="C13:D14"/>
    <mergeCell ref="E13:G14"/>
    <mergeCell ref="H13:H14"/>
    <mergeCell ref="K13:K14"/>
    <mergeCell ref="L13:N13"/>
    <mergeCell ref="C17:D17"/>
    <mergeCell ref="O13:Q13"/>
    <mergeCell ref="C15:D15"/>
    <mergeCell ref="C16:D16"/>
    <mergeCell ref="E16:G16"/>
    <mergeCell ref="B36:N36"/>
    <mergeCell ref="O36:Q36"/>
    <mergeCell ref="E22:G22"/>
    <mergeCell ref="B23:N24"/>
    <mergeCell ref="B25:Q25"/>
    <mergeCell ref="C26:N26"/>
    <mergeCell ref="B30:N30"/>
    <mergeCell ref="B31:Q31"/>
    <mergeCell ref="B33:Q33"/>
    <mergeCell ref="C34:N34"/>
    <mergeCell ref="O34:Q34"/>
    <mergeCell ref="C35:N35"/>
    <mergeCell ref="O35:Q35"/>
    <mergeCell ref="I42:N42"/>
    <mergeCell ref="O42:Q42"/>
    <mergeCell ref="F2:Q6"/>
    <mergeCell ref="C21:D21"/>
    <mergeCell ref="K39:N39"/>
    <mergeCell ref="K40:N40"/>
    <mergeCell ref="K41:N41"/>
    <mergeCell ref="C27:N27"/>
    <mergeCell ref="C28:N28"/>
    <mergeCell ref="I37:Q37"/>
    <mergeCell ref="I38:N38"/>
    <mergeCell ref="O38:Q38"/>
    <mergeCell ref="I39:I41"/>
    <mergeCell ref="O39:Q39"/>
    <mergeCell ref="O40:Q40"/>
    <mergeCell ref="O41:Q41"/>
  </mergeCells>
  <dataValidations count="1">
    <dataValidation type="date" operator="greaterThanOrEqual" allowBlank="1" showInputMessage="1" showErrorMessage="1" sqref="M65466:M65467 N982971:P982971 N917435:P917435 N851899:P851899 N786363:P786363 N720827:P720827 N655291:P655291 N589755:P589755 N524219:P524219 N458683:P458683 N393147:P393147 N327611:P327611 N262075:P262075 N196539:P196539 N131003:P131003 N65467:P65467 Q982970:Q982971 Q917434:Q917435 Q851898:Q851899 Q786362:Q786363 Q720826:Q720827 Q655290:Q655291 Q589754:Q589755 Q524218:Q524219 Q458682:Q458683 Q393146:Q393147 Q327610:Q327611 Q262074:Q262075 Q196538:Q196539 Q131002:Q131003 Q65466:Q65467 M982970:M982971 M917434:M917435 M851898:M851899 M786362:M786363 M720826:M720827 M655290:M655291 M589754:M589755 M524218:M524219 M458682:M458683 M393146:M393147 M327610:M327611 M262074:M262075 M196538:M196539 M131002:M131003 M12:Q12" xr:uid="{7E7F8DCB-760D-4EFE-9D84-E325C46C3AA8}">
      <formula1>TODAY()</formula1>
    </dataValidation>
  </dataValidations>
  <printOptions horizontalCentered="1"/>
  <pageMargins left="0.25" right="0.25" top="0.75" bottom="0.75" header="0.3" footer="0.3"/>
  <pageSetup paperSize="9" scale="47" orientation="landscape" r:id="rId1"/>
  <rowBreaks count="1" manualBreakCount="1">
    <brk id="42" max="16383" man="1"/>
  </row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AB3A3-AF2D-48AB-8416-073E7151A645}">
  <sheetPr>
    <tabColor rgb="FF00B0F0"/>
    <pageSetUpPr fitToPage="1"/>
  </sheetPr>
  <dimension ref="A1:Q78"/>
  <sheetViews>
    <sheetView showGridLines="0" view="pageBreakPreview" topLeftCell="B1" zoomScale="70" zoomScaleNormal="100" zoomScaleSheetLayoutView="70" workbookViewId="0">
      <pane ySplit="1" topLeftCell="A53" activePane="bottomLeft" state="frozen"/>
      <selection activeCell="E1" sqref="E1"/>
      <selection pane="bottomLeft" activeCell="N77" sqref="N77"/>
    </sheetView>
  </sheetViews>
  <sheetFormatPr defaultRowHeight="15.6" x14ac:dyDescent="0.3"/>
  <cols>
    <col min="1" max="1" width="7.6640625" style="122" customWidth="1"/>
    <col min="2" max="2" width="3" style="122" customWidth="1"/>
    <col min="3" max="3" width="13.33203125" style="278" customWidth="1"/>
    <col min="4" max="4" width="27.5546875" style="278" customWidth="1"/>
    <col min="5" max="5" width="25.6640625" style="278" customWidth="1"/>
    <col min="6" max="6" width="19.6640625" style="278" customWidth="1"/>
    <col min="7" max="7" width="30.88671875" style="122" customWidth="1"/>
    <col min="8" max="8" width="44.109375" style="122" customWidth="1"/>
    <col min="9" max="9" width="10.109375" style="278" customWidth="1"/>
    <col min="10" max="10" width="19.5546875" style="279" customWidth="1"/>
    <col min="11" max="11" width="23.33203125" style="280" bestFit="1" customWidth="1"/>
    <col min="12" max="12" width="15" style="278" bestFit="1" customWidth="1"/>
    <col min="13" max="13" width="25.109375" style="278" bestFit="1" customWidth="1"/>
    <col min="14" max="14" width="27.6640625" style="278" customWidth="1"/>
    <col min="15" max="15" width="3" style="281" customWidth="1"/>
    <col min="16" max="16" width="11.44140625" style="125" customWidth="1"/>
    <col min="17" max="17" width="11.44140625" style="126" customWidth="1"/>
    <col min="18" max="18" width="10.5546875" style="125" customWidth="1"/>
    <col min="19" max="19" width="8.88671875" style="125"/>
    <col min="20" max="20" width="12.5546875" style="125" bestFit="1" customWidth="1"/>
    <col min="21" max="251" width="8.88671875" style="125"/>
    <col min="252" max="252" width="9.6640625" style="125" customWidth="1"/>
    <col min="253" max="253" width="15.109375" style="125" bestFit="1" customWidth="1"/>
    <col min="254" max="254" width="14" style="125" bestFit="1" customWidth="1"/>
    <col min="255" max="255" width="17.109375" style="125" bestFit="1" customWidth="1"/>
    <col min="256" max="256" width="34.33203125" style="125" customWidth="1"/>
    <col min="257" max="257" width="5.6640625" style="125" customWidth="1"/>
    <col min="258" max="258" width="10.109375" style="125" bestFit="1" customWidth="1"/>
    <col min="259" max="259" width="9.6640625" style="125" customWidth="1"/>
    <col min="260" max="260" width="14.6640625" style="125" customWidth="1"/>
    <col min="261" max="261" width="8.6640625" style="125" customWidth="1"/>
    <col min="262" max="262" width="11.5546875" style="125" customWidth="1"/>
    <col min="263" max="263" width="14.6640625" style="125" customWidth="1"/>
    <col min="264" max="507" width="8.88671875" style="125"/>
    <col min="508" max="508" width="9.6640625" style="125" customWidth="1"/>
    <col min="509" max="509" width="15.109375" style="125" bestFit="1" customWidth="1"/>
    <col min="510" max="510" width="14" style="125" bestFit="1" customWidth="1"/>
    <col min="511" max="511" width="17.109375" style="125" bestFit="1" customWidth="1"/>
    <col min="512" max="512" width="34.33203125" style="125" customWidth="1"/>
    <col min="513" max="513" width="5.6640625" style="125" customWidth="1"/>
    <col min="514" max="514" width="10.109375" style="125" bestFit="1" customWidth="1"/>
    <col min="515" max="515" width="9.6640625" style="125" customWidth="1"/>
    <col min="516" max="516" width="14.6640625" style="125" customWidth="1"/>
    <col min="517" max="517" width="8.6640625" style="125" customWidth="1"/>
    <col min="518" max="518" width="11.5546875" style="125" customWidth="1"/>
    <col min="519" max="519" width="14.6640625" style="125" customWidth="1"/>
    <col min="520" max="763" width="8.88671875" style="125"/>
    <col min="764" max="764" width="9.6640625" style="125" customWidth="1"/>
    <col min="765" max="765" width="15.109375" style="125" bestFit="1" customWidth="1"/>
    <col min="766" max="766" width="14" style="125" bestFit="1" customWidth="1"/>
    <col min="767" max="767" width="17.109375" style="125" bestFit="1" customWidth="1"/>
    <col min="768" max="768" width="34.33203125" style="125" customWidth="1"/>
    <col min="769" max="769" width="5.6640625" style="125" customWidth="1"/>
    <col min="770" max="770" width="10.109375" style="125" bestFit="1" customWidth="1"/>
    <col min="771" max="771" width="9.6640625" style="125" customWidth="1"/>
    <col min="772" max="772" width="14.6640625" style="125" customWidth="1"/>
    <col min="773" max="773" width="8.6640625" style="125" customWidth="1"/>
    <col min="774" max="774" width="11.5546875" style="125" customWidth="1"/>
    <col min="775" max="775" width="14.6640625" style="125" customWidth="1"/>
    <col min="776" max="1019" width="8.88671875" style="125"/>
    <col min="1020" max="1020" width="9.6640625" style="125" customWidth="1"/>
    <col min="1021" max="1021" width="15.109375" style="125" bestFit="1" customWidth="1"/>
    <col min="1022" max="1022" width="14" style="125" bestFit="1" customWidth="1"/>
    <col min="1023" max="1023" width="17.109375" style="125" bestFit="1" customWidth="1"/>
    <col min="1024" max="1024" width="34.33203125" style="125" customWidth="1"/>
    <col min="1025" max="1025" width="5.6640625" style="125" customWidth="1"/>
    <col min="1026" max="1026" width="10.109375" style="125" bestFit="1" customWidth="1"/>
    <col min="1027" max="1027" width="9.6640625" style="125" customWidth="1"/>
    <col min="1028" max="1028" width="14.6640625" style="125" customWidth="1"/>
    <col min="1029" max="1029" width="8.6640625" style="125" customWidth="1"/>
    <col min="1030" max="1030" width="11.5546875" style="125" customWidth="1"/>
    <col min="1031" max="1031" width="14.6640625" style="125" customWidth="1"/>
    <col min="1032" max="1275" width="8.88671875" style="125"/>
    <col min="1276" max="1276" width="9.6640625" style="125" customWidth="1"/>
    <col min="1277" max="1277" width="15.109375" style="125" bestFit="1" customWidth="1"/>
    <col min="1278" max="1278" width="14" style="125" bestFit="1" customWidth="1"/>
    <col min="1279" max="1279" width="17.109375" style="125" bestFit="1" customWidth="1"/>
    <col min="1280" max="1280" width="34.33203125" style="125" customWidth="1"/>
    <col min="1281" max="1281" width="5.6640625" style="125" customWidth="1"/>
    <col min="1282" max="1282" width="10.109375" style="125" bestFit="1" customWidth="1"/>
    <col min="1283" max="1283" width="9.6640625" style="125" customWidth="1"/>
    <col min="1284" max="1284" width="14.6640625" style="125" customWidth="1"/>
    <col min="1285" max="1285" width="8.6640625" style="125" customWidth="1"/>
    <col min="1286" max="1286" width="11.5546875" style="125" customWidth="1"/>
    <col min="1287" max="1287" width="14.6640625" style="125" customWidth="1"/>
    <col min="1288" max="1531" width="8.88671875" style="125"/>
    <col min="1532" max="1532" width="9.6640625" style="125" customWidth="1"/>
    <col min="1533" max="1533" width="15.109375" style="125" bestFit="1" customWidth="1"/>
    <col min="1534" max="1534" width="14" style="125" bestFit="1" customWidth="1"/>
    <col min="1535" max="1535" width="17.109375" style="125" bestFit="1" customWidth="1"/>
    <col min="1536" max="1536" width="34.33203125" style="125" customWidth="1"/>
    <col min="1537" max="1537" width="5.6640625" style="125" customWidth="1"/>
    <col min="1538" max="1538" width="10.109375" style="125" bestFit="1" customWidth="1"/>
    <col min="1539" max="1539" width="9.6640625" style="125" customWidth="1"/>
    <col min="1540" max="1540" width="14.6640625" style="125" customWidth="1"/>
    <col min="1541" max="1541" width="8.6640625" style="125" customWidth="1"/>
    <col min="1542" max="1542" width="11.5546875" style="125" customWidth="1"/>
    <col min="1543" max="1543" width="14.6640625" style="125" customWidth="1"/>
    <col min="1544" max="1787" width="8.88671875" style="125"/>
    <col min="1788" max="1788" width="9.6640625" style="125" customWidth="1"/>
    <col min="1789" max="1789" width="15.109375" style="125" bestFit="1" customWidth="1"/>
    <col min="1790" max="1790" width="14" style="125" bestFit="1" customWidth="1"/>
    <col min="1791" max="1791" width="17.109375" style="125" bestFit="1" customWidth="1"/>
    <col min="1792" max="1792" width="34.33203125" style="125" customWidth="1"/>
    <col min="1793" max="1793" width="5.6640625" style="125" customWidth="1"/>
    <col min="1794" max="1794" width="10.109375" style="125" bestFit="1" customWidth="1"/>
    <col min="1795" max="1795" width="9.6640625" style="125" customWidth="1"/>
    <col min="1796" max="1796" width="14.6640625" style="125" customWidth="1"/>
    <col min="1797" max="1797" width="8.6640625" style="125" customWidth="1"/>
    <col min="1798" max="1798" width="11.5546875" style="125" customWidth="1"/>
    <col min="1799" max="1799" width="14.6640625" style="125" customWidth="1"/>
    <col min="1800" max="2043" width="8.88671875" style="125"/>
    <col min="2044" max="2044" width="9.6640625" style="125" customWidth="1"/>
    <col min="2045" max="2045" width="15.109375" style="125" bestFit="1" customWidth="1"/>
    <col min="2046" max="2046" width="14" style="125" bestFit="1" customWidth="1"/>
    <col min="2047" max="2047" width="17.109375" style="125" bestFit="1" customWidth="1"/>
    <col min="2048" max="2048" width="34.33203125" style="125" customWidth="1"/>
    <col min="2049" max="2049" width="5.6640625" style="125" customWidth="1"/>
    <col min="2050" max="2050" width="10.109375" style="125" bestFit="1" customWidth="1"/>
    <col min="2051" max="2051" width="9.6640625" style="125" customWidth="1"/>
    <col min="2052" max="2052" width="14.6640625" style="125" customWidth="1"/>
    <col min="2053" max="2053" width="8.6640625" style="125" customWidth="1"/>
    <col min="2054" max="2054" width="11.5546875" style="125" customWidth="1"/>
    <col min="2055" max="2055" width="14.6640625" style="125" customWidth="1"/>
    <col min="2056" max="2299" width="8.88671875" style="125"/>
    <col min="2300" max="2300" width="9.6640625" style="125" customWidth="1"/>
    <col min="2301" max="2301" width="15.109375" style="125" bestFit="1" customWidth="1"/>
    <col min="2302" max="2302" width="14" style="125" bestFit="1" customWidth="1"/>
    <col min="2303" max="2303" width="17.109375" style="125" bestFit="1" customWidth="1"/>
    <col min="2304" max="2304" width="34.33203125" style="125" customWidth="1"/>
    <col min="2305" max="2305" width="5.6640625" style="125" customWidth="1"/>
    <col min="2306" max="2306" width="10.109375" style="125" bestFit="1" customWidth="1"/>
    <col min="2307" max="2307" width="9.6640625" style="125" customWidth="1"/>
    <col min="2308" max="2308" width="14.6640625" style="125" customWidth="1"/>
    <col min="2309" max="2309" width="8.6640625" style="125" customWidth="1"/>
    <col min="2310" max="2310" width="11.5546875" style="125" customWidth="1"/>
    <col min="2311" max="2311" width="14.6640625" style="125" customWidth="1"/>
    <col min="2312" max="2555" width="8.88671875" style="125"/>
    <col min="2556" max="2556" width="9.6640625" style="125" customWidth="1"/>
    <col min="2557" max="2557" width="15.109375" style="125" bestFit="1" customWidth="1"/>
    <col min="2558" max="2558" width="14" style="125" bestFit="1" customWidth="1"/>
    <col min="2559" max="2559" width="17.109375" style="125" bestFit="1" customWidth="1"/>
    <col min="2560" max="2560" width="34.33203125" style="125" customWidth="1"/>
    <col min="2561" max="2561" width="5.6640625" style="125" customWidth="1"/>
    <col min="2562" max="2562" width="10.109375" style="125" bestFit="1" customWidth="1"/>
    <col min="2563" max="2563" width="9.6640625" style="125" customWidth="1"/>
    <col min="2564" max="2564" width="14.6640625" style="125" customWidth="1"/>
    <col min="2565" max="2565" width="8.6640625" style="125" customWidth="1"/>
    <col min="2566" max="2566" width="11.5546875" style="125" customWidth="1"/>
    <col min="2567" max="2567" width="14.6640625" style="125" customWidth="1"/>
    <col min="2568" max="2811" width="8.88671875" style="125"/>
    <col min="2812" max="2812" width="9.6640625" style="125" customWidth="1"/>
    <col min="2813" max="2813" width="15.109375" style="125" bestFit="1" customWidth="1"/>
    <col min="2814" max="2814" width="14" style="125" bestFit="1" customWidth="1"/>
    <col min="2815" max="2815" width="17.109375" style="125" bestFit="1" customWidth="1"/>
    <col min="2816" max="2816" width="34.33203125" style="125" customWidth="1"/>
    <col min="2817" max="2817" width="5.6640625" style="125" customWidth="1"/>
    <col min="2818" max="2818" width="10.109375" style="125" bestFit="1" customWidth="1"/>
    <col min="2819" max="2819" width="9.6640625" style="125" customWidth="1"/>
    <col min="2820" max="2820" width="14.6640625" style="125" customWidth="1"/>
    <col min="2821" max="2821" width="8.6640625" style="125" customWidth="1"/>
    <col min="2822" max="2822" width="11.5546875" style="125" customWidth="1"/>
    <col min="2823" max="2823" width="14.6640625" style="125" customWidth="1"/>
    <col min="2824" max="3067" width="8.88671875" style="125"/>
    <col min="3068" max="3068" width="9.6640625" style="125" customWidth="1"/>
    <col min="3069" max="3069" width="15.109375" style="125" bestFit="1" customWidth="1"/>
    <col min="3070" max="3070" width="14" style="125" bestFit="1" customWidth="1"/>
    <col min="3071" max="3071" width="17.109375" style="125" bestFit="1" customWidth="1"/>
    <col min="3072" max="3072" width="34.33203125" style="125" customWidth="1"/>
    <col min="3073" max="3073" width="5.6640625" style="125" customWidth="1"/>
    <col min="3074" max="3074" width="10.109375" style="125" bestFit="1" customWidth="1"/>
    <col min="3075" max="3075" width="9.6640625" style="125" customWidth="1"/>
    <col min="3076" max="3076" width="14.6640625" style="125" customWidth="1"/>
    <col min="3077" max="3077" width="8.6640625" style="125" customWidth="1"/>
    <col min="3078" max="3078" width="11.5546875" style="125" customWidth="1"/>
    <col min="3079" max="3079" width="14.6640625" style="125" customWidth="1"/>
    <col min="3080" max="3323" width="8.88671875" style="125"/>
    <col min="3324" max="3324" width="9.6640625" style="125" customWidth="1"/>
    <col min="3325" max="3325" width="15.109375" style="125" bestFit="1" customWidth="1"/>
    <col min="3326" max="3326" width="14" style="125" bestFit="1" customWidth="1"/>
    <col min="3327" max="3327" width="17.109375" style="125" bestFit="1" customWidth="1"/>
    <col min="3328" max="3328" width="34.33203125" style="125" customWidth="1"/>
    <col min="3329" max="3329" width="5.6640625" style="125" customWidth="1"/>
    <col min="3330" max="3330" width="10.109375" style="125" bestFit="1" customWidth="1"/>
    <col min="3331" max="3331" width="9.6640625" style="125" customWidth="1"/>
    <col min="3332" max="3332" width="14.6640625" style="125" customWidth="1"/>
    <col min="3333" max="3333" width="8.6640625" style="125" customWidth="1"/>
    <col min="3334" max="3334" width="11.5546875" style="125" customWidth="1"/>
    <col min="3335" max="3335" width="14.6640625" style="125" customWidth="1"/>
    <col min="3336" max="3579" width="8.88671875" style="125"/>
    <col min="3580" max="3580" width="9.6640625" style="125" customWidth="1"/>
    <col min="3581" max="3581" width="15.109375" style="125" bestFit="1" customWidth="1"/>
    <col min="3582" max="3582" width="14" style="125" bestFit="1" customWidth="1"/>
    <col min="3583" max="3583" width="17.109375" style="125" bestFit="1" customWidth="1"/>
    <col min="3584" max="3584" width="34.33203125" style="125" customWidth="1"/>
    <col min="3585" max="3585" width="5.6640625" style="125" customWidth="1"/>
    <col min="3586" max="3586" width="10.109375" style="125" bestFit="1" customWidth="1"/>
    <col min="3587" max="3587" width="9.6640625" style="125" customWidth="1"/>
    <col min="3588" max="3588" width="14.6640625" style="125" customWidth="1"/>
    <col min="3589" max="3589" width="8.6640625" style="125" customWidth="1"/>
    <col min="3590" max="3590" width="11.5546875" style="125" customWidth="1"/>
    <col min="3591" max="3591" width="14.6640625" style="125" customWidth="1"/>
    <col min="3592" max="3835" width="8.88671875" style="125"/>
    <col min="3836" max="3836" width="9.6640625" style="125" customWidth="1"/>
    <col min="3837" max="3837" width="15.109375" style="125" bestFit="1" customWidth="1"/>
    <col min="3838" max="3838" width="14" style="125" bestFit="1" customWidth="1"/>
    <col min="3839" max="3839" width="17.109375" style="125" bestFit="1" customWidth="1"/>
    <col min="3840" max="3840" width="34.33203125" style="125" customWidth="1"/>
    <col min="3841" max="3841" width="5.6640625" style="125" customWidth="1"/>
    <col min="3842" max="3842" width="10.109375" style="125" bestFit="1" customWidth="1"/>
    <col min="3843" max="3843" width="9.6640625" style="125" customWidth="1"/>
    <col min="3844" max="3844" width="14.6640625" style="125" customWidth="1"/>
    <col min="3845" max="3845" width="8.6640625" style="125" customWidth="1"/>
    <col min="3846" max="3846" width="11.5546875" style="125" customWidth="1"/>
    <col min="3847" max="3847" width="14.6640625" style="125" customWidth="1"/>
    <col min="3848" max="4091" width="8.88671875" style="125"/>
    <col min="4092" max="4092" width="9.6640625" style="125" customWidth="1"/>
    <col min="4093" max="4093" width="15.109375" style="125" bestFit="1" customWidth="1"/>
    <col min="4094" max="4094" width="14" style="125" bestFit="1" customWidth="1"/>
    <col min="4095" max="4095" width="17.109375" style="125" bestFit="1" customWidth="1"/>
    <col min="4096" max="4096" width="34.33203125" style="125" customWidth="1"/>
    <col min="4097" max="4097" width="5.6640625" style="125" customWidth="1"/>
    <col min="4098" max="4098" width="10.109375" style="125" bestFit="1" customWidth="1"/>
    <col min="4099" max="4099" width="9.6640625" style="125" customWidth="1"/>
    <col min="4100" max="4100" width="14.6640625" style="125" customWidth="1"/>
    <col min="4101" max="4101" width="8.6640625" style="125" customWidth="1"/>
    <col min="4102" max="4102" width="11.5546875" style="125" customWidth="1"/>
    <col min="4103" max="4103" width="14.6640625" style="125" customWidth="1"/>
    <col min="4104" max="4347" width="8.88671875" style="125"/>
    <col min="4348" max="4348" width="9.6640625" style="125" customWidth="1"/>
    <col min="4349" max="4349" width="15.109375" style="125" bestFit="1" customWidth="1"/>
    <col min="4350" max="4350" width="14" style="125" bestFit="1" customWidth="1"/>
    <col min="4351" max="4351" width="17.109375" style="125" bestFit="1" customWidth="1"/>
    <col min="4352" max="4352" width="34.33203125" style="125" customWidth="1"/>
    <col min="4353" max="4353" width="5.6640625" style="125" customWidth="1"/>
    <col min="4354" max="4354" width="10.109375" style="125" bestFit="1" customWidth="1"/>
    <col min="4355" max="4355" width="9.6640625" style="125" customWidth="1"/>
    <col min="4356" max="4356" width="14.6640625" style="125" customWidth="1"/>
    <col min="4357" max="4357" width="8.6640625" style="125" customWidth="1"/>
    <col min="4358" max="4358" width="11.5546875" style="125" customWidth="1"/>
    <col min="4359" max="4359" width="14.6640625" style="125" customWidth="1"/>
    <col min="4360" max="4603" width="8.88671875" style="125"/>
    <col min="4604" max="4604" width="9.6640625" style="125" customWidth="1"/>
    <col min="4605" max="4605" width="15.109375" style="125" bestFit="1" customWidth="1"/>
    <col min="4606" max="4606" width="14" style="125" bestFit="1" customWidth="1"/>
    <col min="4607" max="4607" width="17.109375" style="125" bestFit="1" customWidth="1"/>
    <col min="4608" max="4608" width="34.33203125" style="125" customWidth="1"/>
    <col min="4609" max="4609" width="5.6640625" style="125" customWidth="1"/>
    <col min="4610" max="4610" width="10.109375" style="125" bestFit="1" customWidth="1"/>
    <col min="4611" max="4611" width="9.6640625" style="125" customWidth="1"/>
    <col min="4612" max="4612" width="14.6640625" style="125" customWidth="1"/>
    <col min="4613" max="4613" width="8.6640625" style="125" customWidth="1"/>
    <col min="4614" max="4614" width="11.5546875" style="125" customWidth="1"/>
    <col min="4615" max="4615" width="14.6640625" style="125" customWidth="1"/>
    <col min="4616" max="4859" width="8.88671875" style="125"/>
    <col min="4860" max="4860" width="9.6640625" style="125" customWidth="1"/>
    <col min="4861" max="4861" width="15.109375" style="125" bestFit="1" customWidth="1"/>
    <col min="4862" max="4862" width="14" style="125" bestFit="1" customWidth="1"/>
    <col min="4863" max="4863" width="17.109375" style="125" bestFit="1" customWidth="1"/>
    <col min="4864" max="4864" width="34.33203125" style="125" customWidth="1"/>
    <col min="4865" max="4865" width="5.6640625" style="125" customWidth="1"/>
    <col min="4866" max="4866" width="10.109375" style="125" bestFit="1" customWidth="1"/>
    <col min="4867" max="4867" width="9.6640625" style="125" customWidth="1"/>
    <col min="4868" max="4868" width="14.6640625" style="125" customWidth="1"/>
    <col min="4869" max="4869" width="8.6640625" style="125" customWidth="1"/>
    <col min="4870" max="4870" width="11.5546875" style="125" customWidth="1"/>
    <col min="4871" max="4871" width="14.6640625" style="125" customWidth="1"/>
    <col min="4872" max="5115" width="8.88671875" style="125"/>
    <col min="5116" max="5116" width="9.6640625" style="125" customWidth="1"/>
    <col min="5117" max="5117" width="15.109375" style="125" bestFit="1" customWidth="1"/>
    <col min="5118" max="5118" width="14" style="125" bestFit="1" customWidth="1"/>
    <col min="5119" max="5119" width="17.109375" style="125" bestFit="1" customWidth="1"/>
    <col min="5120" max="5120" width="34.33203125" style="125" customWidth="1"/>
    <col min="5121" max="5121" width="5.6640625" style="125" customWidth="1"/>
    <col min="5122" max="5122" width="10.109375" style="125" bestFit="1" customWidth="1"/>
    <col min="5123" max="5123" width="9.6640625" style="125" customWidth="1"/>
    <col min="5124" max="5124" width="14.6640625" style="125" customWidth="1"/>
    <col min="5125" max="5125" width="8.6640625" style="125" customWidth="1"/>
    <col min="5126" max="5126" width="11.5546875" style="125" customWidth="1"/>
    <col min="5127" max="5127" width="14.6640625" style="125" customWidth="1"/>
    <col min="5128" max="5371" width="8.88671875" style="125"/>
    <col min="5372" max="5372" width="9.6640625" style="125" customWidth="1"/>
    <col min="5373" max="5373" width="15.109375" style="125" bestFit="1" customWidth="1"/>
    <col min="5374" max="5374" width="14" style="125" bestFit="1" customWidth="1"/>
    <col min="5375" max="5375" width="17.109375" style="125" bestFit="1" customWidth="1"/>
    <col min="5376" max="5376" width="34.33203125" style="125" customWidth="1"/>
    <col min="5377" max="5377" width="5.6640625" style="125" customWidth="1"/>
    <col min="5378" max="5378" width="10.109375" style="125" bestFit="1" customWidth="1"/>
    <col min="5379" max="5379" width="9.6640625" style="125" customWidth="1"/>
    <col min="5380" max="5380" width="14.6640625" style="125" customWidth="1"/>
    <col min="5381" max="5381" width="8.6640625" style="125" customWidth="1"/>
    <col min="5382" max="5382" width="11.5546875" style="125" customWidth="1"/>
    <col min="5383" max="5383" width="14.6640625" style="125" customWidth="1"/>
    <col min="5384" max="5627" width="8.88671875" style="125"/>
    <col min="5628" max="5628" width="9.6640625" style="125" customWidth="1"/>
    <col min="5629" max="5629" width="15.109375" style="125" bestFit="1" customWidth="1"/>
    <col min="5630" max="5630" width="14" style="125" bestFit="1" customWidth="1"/>
    <col min="5631" max="5631" width="17.109375" style="125" bestFit="1" customWidth="1"/>
    <col min="5632" max="5632" width="34.33203125" style="125" customWidth="1"/>
    <col min="5633" max="5633" width="5.6640625" style="125" customWidth="1"/>
    <col min="5634" max="5634" width="10.109375" style="125" bestFit="1" customWidth="1"/>
    <col min="5635" max="5635" width="9.6640625" style="125" customWidth="1"/>
    <col min="5636" max="5636" width="14.6640625" style="125" customWidth="1"/>
    <col min="5637" max="5637" width="8.6640625" style="125" customWidth="1"/>
    <col min="5638" max="5638" width="11.5546875" style="125" customWidth="1"/>
    <col min="5639" max="5639" width="14.6640625" style="125" customWidth="1"/>
    <col min="5640" max="5883" width="8.88671875" style="125"/>
    <col min="5884" max="5884" width="9.6640625" style="125" customWidth="1"/>
    <col min="5885" max="5885" width="15.109375" style="125" bestFit="1" customWidth="1"/>
    <col min="5886" max="5886" width="14" style="125" bestFit="1" customWidth="1"/>
    <col min="5887" max="5887" width="17.109375" style="125" bestFit="1" customWidth="1"/>
    <col min="5888" max="5888" width="34.33203125" style="125" customWidth="1"/>
    <col min="5889" max="5889" width="5.6640625" style="125" customWidth="1"/>
    <col min="5890" max="5890" width="10.109375" style="125" bestFit="1" customWidth="1"/>
    <col min="5891" max="5891" width="9.6640625" style="125" customWidth="1"/>
    <col min="5892" max="5892" width="14.6640625" style="125" customWidth="1"/>
    <col min="5893" max="5893" width="8.6640625" style="125" customWidth="1"/>
    <col min="5894" max="5894" width="11.5546875" style="125" customWidth="1"/>
    <col min="5895" max="5895" width="14.6640625" style="125" customWidth="1"/>
    <col min="5896" max="6139" width="8.88671875" style="125"/>
    <col min="6140" max="6140" width="9.6640625" style="125" customWidth="1"/>
    <col min="6141" max="6141" width="15.109375" style="125" bestFit="1" customWidth="1"/>
    <col min="6142" max="6142" width="14" style="125" bestFit="1" customWidth="1"/>
    <col min="6143" max="6143" width="17.109375" style="125" bestFit="1" customWidth="1"/>
    <col min="6144" max="6144" width="34.33203125" style="125" customWidth="1"/>
    <col min="6145" max="6145" width="5.6640625" style="125" customWidth="1"/>
    <col min="6146" max="6146" width="10.109375" style="125" bestFit="1" customWidth="1"/>
    <col min="6147" max="6147" width="9.6640625" style="125" customWidth="1"/>
    <col min="6148" max="6148" width="14.6640625" style="125" customWidth="1"/>
    <col min="6149" max="6149" width="8.6640625" style="125" customWidth="1"/>
    <col min="6150" max="6150" width="11.5546875" style="125" customWidth="1"/>
    <col min="6151" max="6151" width="14.6640625" style="125" customWidth="1"/>
    <col min="6152" max="6395" width="8.88671875" style="125"/>
    <col min="6396" max="6396" width="9.6640625" style="125" customWidth="1"/>
    <col min="6397" max="6397" width="15.109375" style="125" bestFit="1" customWidth="1"/>
    <col min="6398" max="6398" width="14" style="125" bestFit="1" customWidth="1"/>
    <col min="6399" max="6399" width="17.109375" style="125" bestFit="1" customWidth="1"/>
    <col min="6400" max="6400" width="34.33203125" style="125" customWidth="1"/>
    <col min="6401" max="6401" width="5.6640625" style="125" customWidth="1"/>
    <col min="6402" max="6402" width="10.109375" style="125" bestFit="1" customWidth="1"/>
    <col min="6403" max="6403" width="9.6640625" style="125" customWidth="1"/>
    <col min="6404" max="6404" width="14.6640625" style="125" customWidth="1"/>
    <col min="6405" max="6405" width="8.6640625" style="125" customWidth="1"/>
    <col min="6406" max="6406" width="11.5546875" style="125" customWidth="1"/>
    <col min="6407" max="6407" width="14.6640625" style="125" customWidth="1"/>
    <col min="6408" max="6651" width="8.88671875" style="125"/>
    <col min="6652" max="6652" width="9.6640625" style="125" customWidth="1"/>
    <col min="6653" max="6653" width="15.109375" style="125" bestFit="1" customWidth="1"/>
    <col min="6654" max="6654" width="14" style="125" bestFit="1" customWidth="1"/>
    <col min="6655" max="6655" width="17.109375" style="125" bestFit="1" customWidth="1"/>
    <col min="6656" max="6656" width="34.33203125" style="125" customWidth="1"/>
    <col min="6657" max="6657" width="5.6640625" style="125" customWidth="1"/>
    <col min="6658" max="6658" width="10.109375" style="125" bestFit="1" customWidth="1"/>
    <col min="6659" max="6659" width="9.6640625" style="125" customWidth="1"/>
    <col min="6660" max="6660" width="14.6640625" style="125" customWidth="1"/>
    <col min="6661" max="6661" width="8.6640625" style="125" customWidth="1"/>
    <col min="6662" max="6662" width="11.5546875" style="125" customWidth="1"/>
    <col min="6663" max="6663" width="14.6640625" style="125" customWidth="1"/>
    <col min="6664" max="6907" width="8.88671875" style="125"/>
    <col min="6908" max="6908" width="9.6640625" style="125" customWidth="1"/>
    <col min="6909" max="6909" width="15.109375" style="125" bestFit="1" customWidth="1"/>
    <col min="6910" max="6910" width="14" style="125" bestFit="1" customWidth="1"/>
    <col min="6911" max="6911" width="17.109375" style="125" bestFit="1" customWidth="1"/>
    <col min="6912" max="6912" width="34.33203125" style="125" customWidth="1"/>
    <col min="6913" max="6913" width="5.6640625" style="125" customWidth="1"/>
    <col min="6914" max="6914" width="10.109375" style="125" bestFit="1" customWidth="1"/>
    <col min="6915" max="6915" width="9.6640625" style="125" customWidth="1"/>
    <col min="6916" max="6916" width="14.6640625" style="125" customWidth="1"/>
    <col min="6917" max="6917" width="8.6640625" style="125" customWidth="1"/>
    <col min="6918" max="6918" width="11.5546875" style="125" customWidth="1"/>
    <col min="6919" max="6919" width="14.6640625" style="125" customWidth="1"/>
    <col min="6920" max="7163" width="8.88671875" style="125"/>
    <col min="7164" max="7164" width="9.6640625" style="125" customWidth="1"/>
    <col min="7165" max="7165" width="15.109375" style="125" bestFit="1" customWidth="1"/>
    <col min="7166" max="7166" width="14" style="125" bestFit="1" customWidth="1"/>
    <col min="7167" max="7167" width="17.109375" style="125" bestFit="1" customWidth="1"/>
    <col min="7168" max="7168" width="34.33203125" style="125" customWidth="1"/>
    <col min="7169" max="7169" width="5.6640625" style="125" customWidth="1"/>
    <col min="7170" max="7170" width="10.109375" style="125" bestFit="1" customWidth="1"/>
    <col min="7171" max="7171" width="9.6640625" style="125" customWidth="1"/>
    <col min="7172" max="7172" width="14.6640625" style="125" customWidth="1"/>
    <col min="7173" max="7173" width="8.6640625" style="125" customWidth="1"/>
    <col min="7174" max="7174" width="11.5546875" style="125" customWidth="1"/>
    <col min="7175" max="7175" width="14.6640625" style="125" customWidth="1"/>
    <col min="7176" max="7419" width="8.88671875" style="125"/>
    <col min="7420" max="7420" width="9.6640625" style="125" customWidth="1"/>
    <col min="7421" max="7421" width="15.109375" style="125" bestFit="1" customWidth="1"/>
    <col min="7422" max="7422" width="14" style="125" bestFit="1" customWidth="1"/>
    <col min="7423" max="7423" width="17.109375" style="125" bestFit="1" customWidth="1"/>
    <col min="7424" max="7424" width="34.33203125" style="125" customWidth="1"/>
    <col min="7425" max="7425" width="5.6640625" style="125" customWidth="1"/>
    <col min="7426" max="7426" width="10.109375" style="125" bestFit="1" customWidth="1"/>
    <col min="7427" max="7427" width="9.6640625" style="125" customWidth="1"/>
    <col min="7428" max="7428" width="14.6640625" style="125" customWidth="1"/>
    <col min="7429" max="7429" width="8.6640625" style="125" customWidth="1"/>
    <col min="7430" max="7430" width="11.5546875" style="125" customWidth="1"/>
    <col min="7431" max="7431" width="14.6640625" style="125" customWidth="1"/>
    <col min="7432" max="7675" width="8.88671875" style="125"/>
    <col min="7676" max="7676" width="9.6640625" style="125" customWidth="1"/>
    <col min="7677" max="7677" width="15.109375" style="125" bestFit="1" customWidth="1"/>
    <col min="7678" max="7678" width="14" style="125" bestFit="1" customWidth="1"/>
    <col min="7679" max="7679" width="17.109375" style="125" bestFit="1" customWidth="1"/>
    <col min="7680" max="7680" width="34.33203125" style="125" customWidth="1"/>
    <col min="7681" max="7681" width="5.6640625" style="125" customWidth="1"/>
    <col min="7682" max="7682" width="10.109375" style="125" bestFit="1" customWidth="1"/>
    <col min="7683" max="7683" width="9.6640625" style="125" customWidth="1"/>
    <col min="7684" max="7684" width="14.6640625" style="125" customWidth="1"/>
    <col min="7685" max="7685" width="8.6640625" style="125" customWidth="1"/>
    <col min="7686" max="7686" width="11.5546875" style="125" customWidth="1"/>
    <col min="7687" max="7687" width="14.6640625" style="125" customWidth="1"/>
    <col min="7688" max="7931" width="8.88671875" style="125"/>
    <col min="7932" max="7932" width="9.6640625" style="125" customWidth="1"/>
    <col min="7933" max="7933" width="15.109375" style="125" bestFit="1" customWidth="1"/>
    <col min="7934" max="7934" width="14" style="125" bestFit="1" customWidth="1"/>
    <col min="7935" max="7935" width="17.109375" style="125" bestFit="1" customWidth="1"/>
    <col min="7936" max="7936" width="34.33203125" style="125" customWidth="1"/>
    <col min="7937" max="7937" width="5.6640625" style="125" customWidth="1"/>
    <col min="7938" max="7938" width="10.109375" style="125" bestFit="1" customWidth="1"/>
    <col min="7939" max="7939" width="9.6640625" style="125" customWidth="1"/>
    <col min="7940" max="7940" width="14.6640625" style="125" customWidth="1"/>
    <col min="7941" max="7941" width="8.6640625" style="125" customWidth="1"/>
    <col min="7942" max="7942" width="11.5546875" style="125" customWidth="1"/>
    <col min="7943" max="7943" width="14.6640625" style="125" customWidth="1"/>
    <col min="7944" max="8187" width="8.88671875" style="125"/>
    <col min="8188" max="8188" width="9.6640625" style="125" customWidth="1"/>
    <col min="8189" max="8189" width="15.109375" style="125" bestFit="1" customWidth="1"/>
    <col min="8190" max="8190" width="14" style="125" bestFit="1" customWidth="1"/>
    <col min="8191" max="8191" width="17.109375" style="125" bestFit="1" customWidth="1"/>
    <col min="8192" max="8192" width="34.33203125" style="125" customWidth="1"/>
    <col min="8193" max="8193" width="5.6640625" style="125" customWidth="1"/>
    <col min="8194" max="8194" width="10.109375" style="125" bestFit="1" customWidth="1"/>
    <col min="8195" max="8195" width="9.6640625" style="125" customWidth="1"/>
    <col min="8196" max="8196" width="14.6640625" style="125" customWidth="1"/>
    <col min="8197" max="8197" width="8.6640625" style="125" customWidth="1"/>
    <col min="8198" max="8198" width="11.5546875" style="125" customWidth="1"/>
    <col min="8199" max="8199" width="14.6640625" style="125" customWidth="1"/>
    <col min="8200" max="8443" width="8.88671875" style="125"/>
    <col min="8444" max="8444" width="9.6640625" style="125" customWidth="1"/>
    <col min="8445" max="8445" width="15.109375" style="125" bestFit="1" customWidth="1"/>
    <col min="8446" max="8446" width="14" style="125" bestFit="1" customWidth="1"/>
    <col min="8447" max="8447" width="17.109375" style="125" bestFit="1" customWidth="1"/>
    <col min="8448" max="8448" width="34.33203125" style="125" customWidth="1"/>
    <col min="8449" max="8449" width="5.6640625" style="125" customWidth="1"/>
    <col min="8450" max="8450" width="10.109375" style="125" bestFit="1" customWidth="1"/>
    <col min="8451" max="8451" width="9.6640625" style="125" customWidth="1"/>
    <col min="8452" max="8452" width="14.6640625" style="125" customWidth="1"/>
    <col min="8453" max="8453" width="8.6640625" style="125" customWidth="1"/>
    <col min="8454" max="8454" width="11.5546875" style="125" customWidth="1"/>
    <col min="8455" max="8455" width="14.6640625" style="125" customWidth="1"/>
    <col min="8456" max="8699" width="8.88671875" style="125"/>
    <col min="8700" max="8700" width="9.6640625" style="125" customWidth="1"/>
    <col min="8701" max="8701" width="15.109375" style="125" bestFit="1" customWidth="1"/>
    <col min="8702" max="8702" width="14" style="125" bestFit="1" customWidth="1"/>
    <col min="8703" max="8703" width="17.109375" style="125" bestFit="1" customWidth="1"/>
    <col min="8704" max="8704" width="34.33203125" style="125" customWidth="1"/>
    <col min="8705" max="8705" width="5.6640625" style="125" customWidth="1"/>
    <col min="8706" max="8706" width="10.109375" style="125" bestFit="1" customWidth="1"/>
    <col min="8707" max="8707" width="9.6640625" style="125" customWidth="1"/>
    <col min="8708" max="8708" width="14.6640625" style="125" customWidth="1"/>
    <col min="8709" max="8709" width="8.6640625" style="125" customWidth="1"/>
    <col min="8710" max="8710" width="11.5546875" style="125" customWidth="1"/>
    <col min="8711" max="8711" width="14.6640625" style="125" customWidth="1"/>
    <col min="8712" max="8955" width="8.88671875" style="125"/>
    <col min="8956" max="8956" width="9.6640625" style="125" customWidth="1"/>
    <col min="8957" max="8957" width="15.109375" style="125" bestFit="1" customWidth="1"/>
    <col min="8958" max="8958" width="14" style="125" bestFit="1" customWidth="1"/>
    <col min="8959" max="8959" width="17.109375" style="125" bestFit="1" customWidth="1"/>
    <col min="8960" max="8960" width="34.33203125" style="125" customWidth="1"/>
    <col min="8961" max="8961" width="5.6640625" style="125" customWidth="1"/>
    <col min="8962" max="8962" width="10.109375" style="125" bestFit="1" customWidth="1"/>
    <col min="8963" max="8963" width="9.6640625" style="125" customWidth="1"/>
    <col min="8964" max="8964" width="14.6640625" style="125" customWidth="1"/>
    <col min="8965" max="8965" width="8.6640625" style="125" customWidth="1"/>
    <col min="8966" max="8966" width="11.5546875" style="125" customWidth="1"/>
    <col min="8967" max="8967" width="14.6640625" style="125" customWidth="1"/>
    <col min="8968" max="9211" width="8.88671875" style="125"/>
    <col min="9212" max="9212" width="9.6640625" style="125" customWidth="1"/>
    <col min="9213" max="9213" width="15.109375" style="125" bestFit="1" customWidth="1"/>
    <col min="9214" max="9214" width="14" style="125" bestFit="1" customWidth="1"/>
    <col min="9215" max="9215" width="17.109375" style="125" bestFit="1" customWidth="1"/>
    <col min="9216" max="9216" width="34.33203125" style="125" customWidth="1"/>
    <col min="9217" max="9217" width="5.6640625" style="125" customWidth="1"/>
    <col min="9218" max="9218" width="10.109375" style="125" bestFit="1" customWidth="1"/>
    <col min="9219" max="9219" width="9.6640625" style="125" customWidth="1"/>
    <col min="9220" max="9220" width="14.6640625" style="125" customWidth="1"/>
    <col min="9221" max="9221" width="8.6640625" style="125" customWidth="1"/>
    <col min="9222" max="9222" width="11.5546875" style="125" customWidth="1"/>
    <col min="9223" max="9223" width="14.6640625" style="125" customWidth="1"/>
    <col min="9224" max="9467" width="8.88671875" style="125"/>
    <col min="9468" max="9468" width="9.6640625" style="125" customWidth="1"/>
    <col min="9469" max="9469" width="15.109375" style="125" bestFit="1" customWidth="1"/>
    <col min="9470" max="9470" width="14" style="125" bestFit="1" customWidth="1"/>
    <col min="9471" max="9471" width="17.109375" style="125" bestFit="1" customWidth="1"/>
    <col min="9472" max="9472" width="34.33203125" style="125" customWidth="1"/>
    <col min="9473" max="9473" width="5.6640625" style="125" customWidth="1"/>
    <col min="9474" max="9474" width="10.109375" style="125" bestFit="1" customWidth="1"/>
    <col min="9475" max="9475" width="9.6640625" style="125" customWidth="1"/>
    <col min="9476" max="9476" width="14.6640625" style="125" customWidth="1"/>
    <col min="9477" max="9477" width="8.6640625" style="125" customWidth="1"/>
    <col min="9478" max="9478" width="11.5546875" style="125" customWidth="1"/>
    <col min="9479" max="9479" width="14.6640625" style="125" customWidth="1"/>
    <col min="9480" max="9723" width="8.88671875" style="125"/>
    <col min="9724" max="9724" width="9.6640625" style="125" customWidth="1"/>
    <col min="9725" max="9725" width="15.109375" style="125" bestFit="1" customWidth="1"/>
    <col min="9726" max="9726" width="14" style="125" bestFit="1" customWidth="1"/>
    <col min="9727" max="9727" width="17.109375" style="125" bestFit="1" customWidth="1"/>
    <col min="9728" max="9728" width="34.33203125" style="125" customWidth="1"/>
    <col min="9729" max="9729" width="5.6640625" style="125" customWidth="1"/>
    <col min="9730" max="9730" width="10.109375" style="125" bestFit="1" customWidth="1"/>
    <col min="9731" max="9731" width="9.6640625" style="125" customWidth="1"/>
    <col min="9732" max="9732" width="14.6640625" style="125" customWidth="1"/>
    <col min="9733" max="9733" width="8.6640625" style="125" customWidth="1"/>
    <col min="9734" max="9734" width="11.5546875" style="125" customWidth="1"/>
    <col min="9735" max="9735" width="14.6640625" style="125" customWidth="1"/>
    <col min="9736" max="9979" width="8.88671875" style="125"/>
    <col min="9980" max="9980" width="9.6640625" style="125" customWidth="1"/>
    <col min="9981" max="9981" width="15.109375" style="125" bestFit="1" customWidth="1"/>
    <col min="9982" max="9982" width="14" style="125" bestFit="1" customWidth="1"/>
    <col min="9983" max="9983" width="17.109375" style="125" bestFit="1" customWidth="1"/>
    <col min="9984" max="9984" width="34.33203125" style="125" customWidth="1"/>
    <col min="9985" max="9985" width="5.6640625" style="125" customWidth="1"/>
    <col min="9986" max="9986" width="10.109375" style="125" bestFit="1" customWidth="1"/>
    <col min="9987" max="9987" width="9.6640625" style="125" customWidth="1"/>
    <col min="9988" max="9988" width="14.6640625" style="125" customWidth="1"/>
    <col min="9989" max="9989" width="8.6640625" style="125" customWidth="1"/>
    <col min="9990" max="9990" width="11.5546875" style="125" customWidth="1"/>
    <col min="9991" max="9991" width="14.6640625" style="125" customWidth="1"/>
    <col min="9992" max="10235" width="8.88671875" style="125"/>
    <col min="10236" max="10236" width="9.6640625" style="125" customWidth="1"/>
    <col min="10237" max="10237" width="15.109375" style="125" bestFit="1" customWidth="1"/>
    <col min="10238" max="10238" width="14" style="125" bestFit="1" customWidth="1"/>
    <col min="10239" max="10239" width="17.109375" style="125" bestFit="1" customWidth="1"/>
    <col min="10240" max="10240" width="34.33203125" style="125" customWidth="1"/>
    <col min="10241" max="10241" width="5.6640625" style="125" customWidth="1"/>
    <col min="10242" max="10242" width="10.109375" style="125" bestFit="1" customWidth="1"/>
    <col min="10243" max="10243" width="9.6640625" style="125" customWidth="1"/>
    <col min="10244" max="10244" width="14.6640625" style="125" customWidth="1"/>
    <col min="10245" max="10245" width="8.6640625" style="125" customWidth="1"/>
    <col min="10246" max="10246" width="11.5546875" style="125" customWidth="1"/>
    <col min="10247" max="10247" width="14.6640625" style="125" customWidth="1"/>
    <col min="10248" max="10491" width="8.88671875" style="125"/>
    <col min="10492" max="10492" width="9.6640625" style="125" customWidth="1"/>
    <col min="10493" max="10493" width="15.109375" style="125" bestFit="1" customWidth="1"/>
    <col min="10494" max="10494" width="14" style="125" bestFit="1" customWidth="1"/>
    <col min="10495" max="10495" width="17.109375" style="125" bestFit="1" customWidth="1"/>
    <col min="10496" max="10496" width="34.33203125" style="125" customWidth="1"/>
    <col min="10497" max="10497" width="5.6640625" style="125" customWidth="1"/>
    <col min="10498" max="10498" width="10.109375" style="125" bestFit="1" customWidth="1"/>
    <col min="10499" max="10499" width="9.6640625" style="125" customWidth="1"/>
    <col min="10500" max="10500" width="14.6640625" style="125" customWidth="1"/>
    <col min="10501" max="10501" width="8.6640625" style="125" customWidth="1"/>
    <col min="10502" max="10502" width="11.5546875" style="125" customWidth="1"/>
    <col min="10503" max="10503" width="14.6640625" style="125" customWidth="1"/>
    <col min="10504" max="10747" width="8.88671875" style="125"/>
    <col min="10748" max="10748" width="9.6640625" style="125" customWidth="1"/>
    <col min="10749" max="10749" width="15.109375" style="125" bestFit="1" customWidth="1"/>
    <col min="10750" max="10750" width="14" style="125" bestFit="1" customWidth="1"/>
    <col min="10751" max="10751" width="17.109375" style="125" bestFit="1" customWidth="1"/>
    <col min="10752" max="10752" width="34.33203125" style="125" customWidth="1"/>
    <col min="10753" max="10753" width="5.6640625" style="125" customWidth="1"/>
    <col min="10754" max="10754" width="10.109375" style="125" bestFit="1" customWidth="1"/>
    <col min="10755" max="10755" width="9.6640625" style="125" customWidth="1"/>
    <col min="10756" max="10756" width="14.6640625" style="125" customWidth="1"/>
    <col min="10757" max="10757" width="8.6640625" style="125" customWidth="1"/>
    <col min="10758" max="10758" width="11.5546875" style="125" customWidth="1"/>
    <col min="10759" max="10759" width="14.6640625" style="125" customWidth="1"/>
    <col min="10760" max="11003" width="8.88671875" style="125"/>
    <col min="11004" max="11004" width="9.6640625" style="125" customWidth="1"/>
    <col min="11005" max="11005" width="15.109375" style="125" bestFit="1" customWidth="1"/>
    <col min="11006" max="11006" width="14" style="125" bestFit="1" customWidth="1"/>
    <col min="11007" max="11007" width="17.109375" style="125" bestFit="1" customWidth="1"/>
    <col min="11008" max="11008" width="34.33203125" style="125" customWidth="1"/>
    <col min="11009" max="11009" width="5.6640625" style="125" customWidth="1"/>
    <col min="11010" max="11010" width="10.109375" style="125" bestFit="1" customWidth="1"/>
    <col min="11011" max="11011" width="9.6640625" style="125" customWidth="1"/>
    <col min="11012" max="11012" width="14.6640625" style="125" customWidth="1"/>
    <col min="11013" max="11013" width="8.6640625" style="125" customWidth="1"/>
    <col min="11014" max="11014" width="11.5546875" style="125" customWidth="1"/>
    <col min="11015" max="11015" width="14.6640625" style="125" customWidth="1"/>
    <col min="11016" max="11259" width="8.88671875" style="125"/>
    <col min="11260" max="11260" width="9.6640625" style="125" customWidth="1"/>
    <col min="11261" max="11261" width="15.109375" style="125" bestFit="1" customWidth="1"/>
    <col min="11262" max="11262" width="14" style="125" bestFit="1" customWidth="1"/>
    <col min="11263" max="11263" width="17.109375" style="125" bestFit="1" customWidth="1"/>
    <col min="11264" max="11264" width="34.33203125" style="125" customWidth="1"/>
    <col min="11265" max="11265" width="5.6640625" style="125" customWidth="1"/>
    <col min="11266" max="11266" width="10.109375" style="125" bestFit="1" customWidth="1"/>
    <col min="11267" max="11267" width="9.6640625" style="125" customWidth="1"/>
    <col min="11268" max="11268" width="14.6640625" style="125" customWidth="1"/>
    <col min="11269" max="11269" width="8.6640625" style="125" customWidth="1"/>
    <col min="11270" max="11270" width="11.5546875" style="125" customWidth="1"/>
    <col min="11271" max="11271" width="14.6640625" style="125" customWidth="1"/>
    <col min="11272" max="11515" width="8.88671875" style="125"/>
    <col min="11516" max="11516" width="9.6640625" style="125" customWidth="1"/>
    <col min="11517" max="11517" width="15.109375" style="125" bestFit="1" customWidth="1"/>
    <col min="11518" max="11518" width="14" style="125" bestFit="1" customWidth="1"/>
    <col min="11519" max="11519" width="17.109375" style="125" bestFit="1" customWidth="1"/>
    <col min="11520" max="11520" width="34.33203125" style="125" customWidth="1"/>
    <col min="11521" max="11521" width="5.6640625" style="125" customWidth="1"/>
    <col min="11522" max="11522" width="10.109375" style="125" bestFit="1" customWidth="1"/>
    <col min="11523" max="11523" width="9.6640625" style="125" customWidth="1"/>
    <col min="11524" max="11524" width="14.6640625" style="125" customWidth="1"/>
    <col min="11525" max="11525" width="8.6640625" style="125" customWidth="1"/>
    <col min="11526" max="11526" width="11.5546875" style="125" customWidth="1"/>
    <col min="11527" max="11527" width="14.6640625" style="125" customWidth="1"/>
    <col min="11528" max="11771" width="8.88671875" style="125"/>
    <col min="11772" max="11772" width="9.6640625" style="125" customWidth="1"/>
    <col min="11773" max="11773" width="15.109375" style="125" bestFit="1" customWidth="1"/>
    <col min="11774" max="11774" width="14" style="125" bestFit="1" customWidth="1"/>
    <col min="11775" max="11775" width="17.109375" style="125" bestFit="1" customWidth="1"/>
    <col min="11776" max="11776" width="34.33203125" style="125" customWidth="1"/>
    <col min="11777" max="11777" width="5.6640625" style="125" customWidth="1"/>
    <col min="11778" max="11778" width="10.109375" style="125" bestFit="1" customWidth="1"/>
    <col min="11779" max="11779" width="9.6640625" style="125" customWidth="1"/>
    <col min="11780" max="11780" width="14.6640625" style="125" customWidth="1"/>
    <col min="11781" max="11781" width="8.6640625" style="125" customWidth="1"/>
    <col min="11782" max="11782" width="11.5546875" style="125" customWidth="1"/>
    <col min="11783" max="11783" width="14.6640625" style="125" customWidth="1"/>
    <col min="11784" max="12027" width="8.88671875" style="125"/>
    <col min="12028" max="12028" width="9.6640625" style="125" customWidth="1"/>
    <col min="12029" max="12029" width="15.109375" style="125" bestFit="1" customWidth="1"/>
    <col min="12030" max="12030" width="14" style="125" bestFit="1" customWidth="1"/>
    <col min="12031" max="12031" width="17.109375" style="125" bestFit="1" customWidth="1"/>
    <col min="12032" max="12032" width="34.33203125" style="125" customWidth="1"/>
    <col min="12033" max="12033" width="5.6640625" style="125" customWidth="1"/>
    <col min="12034" max="12034" width="10.109375" style="125" bestFit="1" customWidth="1"/>
    <col min="12035" max="12035" width="9.6640625" style="125" customWidth="1"/>
    <col min="12036" max="12036" width="14.6640625" style="125" customWidth="1"/>
    <col min="12037" max="12037" width="8.6640625" style="125" customWidth="1"/>
    <col min="12038" max="12038" width="11.5546875" style="125" customWidth="1"/>
    <col min="12039" max="12039" width="14.6640625" style="125" customWidth="1"/>
    <col min="12040" max="12283" width="8.88671875" style="125"/>
    <col min="12284" max="12284" width="9.6640625" style="125" customWidth="1"/>
    <col min="12285" max="12285" width="15.109375" style="125" bestFit="1" customWidth="1"/>
    <col min="12286" max="12286" width="14" style="125" bestFit="1" customWidth="1"/>
    <col min="12287" max="12287" width="17.109375" style="125" bestFit="1" customWidth="1"/>
    <col min="12288" max="12288" width="34.33203125" style="125" customWidth="1"/>
    <col min="12289" max="12289" width="5.6640625" style="125" customWidth="1"/>
    <col min="12290" max="12290" width="10.109375" style="125" bestFit="1" customWidth="1"/>
    <col min="12291" max="12291" width="9.6640625" style="125" customWidth="1"/>
    <col min="12292" max="12292" width="14.6640625" style="125" customWidth="1"/>
    <col min="12293" max="12293" width="8.6640625" style="125" customWidth="1"/>
    <col min="12294" max="12294" width="11.5546875" style="125" customWidth="1"/>
    <col min="12295" max="12295" width="14.6640625" style="125" customWidth="1"/>
    <col min="12296" max="12539" width="8.88671875" style="125"/>
    <col min="12540" max="12540" width="9.6640625" style="125" customWidth="1"/>
    <col min="12541" max="12541" width="15.109375" style="125" bestFit="1" customWidth="1"/>
    <col min="12542" max="12542" width="14" style="125" bestFit="1" customWidth="1"/>
    <col min="12543" max="12543" width="17.109375" style="125" bestFit="1" customWidth="1"/>
    <col min="12544" max="12544" width="34.33203125" style="125" customWidth="1"/>
    <col min="12545" max="12545" width="5.6640625" style="125" customWidth="1"/>
    <col min="12546" max="12546" width="10.109375" style="125" bestFit="1" customWidth="1"/>
    <col min="12547" max="12547" width="9.6640625" style="125" customWidth="1"/>
    <col min="12548" max="12548" width="14.6640625" style="125" customWidth="1"/>
    <col min="12549" max="12549" width="8.6640625" style="125" customWidth="1"/>
    <col min="12550" max="12550" width="11.5546875" style="125" customWidth="1"/>
    <col min="12551" max="12551" width="14.6640625" style="125" customWidth="1"/>
    <col min="12552" max="12795" width="8.88671875" style="125"/>
    <col min="12796" max="12796" width="9.6640625" style="125" customWidth="1"/>
    <col min="12797" max="12797" width="15.109375" style="125" bestFit="1" customWidth="1"/>
    <col min="12798" max="12798" width="14" style="125" bestFit="1" customWidth="1"/>
    <col min="12799" max="12799" width="17.109375" style="125" bestFit="1" customWidth="1"/>
    <col min="12800" max="12800" width="34.33203125" style="125" customWidth="1"/>
    <col min="12801" max="12801" width="5.6640625" style="125" customWidth="1"/>
    <col min="12802" max="12802" width="10.109375" style="125" bestFit="1" customWidth="1"/>
    <col min="12803" max="12803" width="9.6640625" style="125" customWidth="1"/>
    <col min="12804" max="12804" width="14.6640625" style="125" customWidth="1"/>
    <col min="12805" max="12805" width="8.6640625" style="125" customWidth="1"/>
    <col min="12806" max="12806" width="11.5546875" style="125" customWidth="1"/>
    <col min="12807" max="12807" width="14.6640625" style="125" customWidth="1"/>
    <col min="12808" max="13051" width="8.88671875" style="125"/>
    <col min="13052" max="13052" width="9.6640625" style="125" customWidth="1"/>
    <col min="13053" max="13053" width="15.109375" style="125" bestFit="1" customWidth="1"/>
    <col min="13054" max="13054" width="14" style="125" bestFit="1" customWidth="1"/>
    <col min="13055" max="13055" width="17.109375" style="125" bestFit="1" customWidth="1"/>
    <col min="13056" max="13056" width="34.33203125" style="125" customWidth="1"/>
    <col min="13057" max="13057" width="5.6640625" style="125" customWidth="1"/>
    <col min="13058" max="13058" width="10.109375" style="125" bestFit="1" customWidth="1"/>
    <col min="13059" max="13059" width="9.6640625" style="125" customWidth="1"/>
    <col min="13060" max="13060" width="14.6640625" style="125" customWidth="1"/>
    <col min="13061" max="13061" width="8.6640625" style="125" customWidth="1"/>
    <col min="13062" max="13062" width="11.5546875" style="125" customWidth="1"/>
    <col min="13063" max="13063" width="14.6640625" style="125" customWidth="1"/>
    <col min="13064" max="13307" width="8.88671875" style="125"/>
    <col min="13308" max="13308" width="9.6640625" style="125" customWidth="1"/>
    <col min="13309" max="13309" width="15.109375" style="125" bestFit="1" customWidth="1"/>
    <col min="13310" max="13310" width="14" style="125" bestFit="1" customWidth="1"/>
    <col min="13311" max="13311" width="17.109375" style="125" bestFit="1" customWidth="1"/>
    <col min="13312" max="13312" width="34.33203125" style="125" customWidth="1"/>
    <col min="13313" max="13313" width="5.6640625" style="125" customWidth="1"/>
    <col min="13314" max="13314" width="10.109375" style="125" bestFit="1" customWidth="1"/>
    <col min="13315" max="13315" width="9.6640625" style="125" customWidth="1"/>
    <col min="13316" max="13316" width="14.6640625" style="125" customWidth="1"/>
    <col min="13317" max="13317" width="8.6640625" style="125" customWidth="1"/>
    <col min="13318" max="13318" width="11.5546875" style="125" customWidth="1"/>
    <col min="13319" max="13319" width="14.6640625" style="125" customWidth="1"/>
    <col min="13320" max="13563" width="8.88671875" style="125"/>
    <col min="13564" max="13564" width="9.6640625" style="125" customWidth="1"/>
    <col min="13565" max="13565" width="15.109375" style="125" bestFit="1" customWidth="1"/>
    <col min="13566" max="13566" width="14" style="125" bestFit="1" customWidth="1"/>
    <col min="13567" max="13567" width="17.109375" style="125" bestFit="1" customWidth="1"/>
    <col min="13568" max="13568" width="34.33203125" style="125" customWidth="1"/>
    <col min="13569" max="13569" width="5.6640625" style="125" customWidth="1"/>
    <col min="13570" max="13570" width="10.109375" style="125" bestFit="1" customWidth="1"/>
    <col min="13571" max="13571" width="9.6640625" style="125" customWidth="1"/>
    <col min="13572" max="13572" width="14.6640625" style="125" customWidth="1"/>
    <col min="13573" max="13573" width="8.6640625" style="125" customWidth="1"/>
    <col min="13574" max="13574" width="11.5546875" style="125" customWidth="1"/>
    <col min="13575" max="13575" width="14.6640625" style="125" customWidth="1"/>
    <col min="13576" max="13819" width="8.88671875" style="125"/>
    <col min="13820" max="13820" width="9.6640625" style="125" customWidth="1"/>
    <col min="13821" max="13821" width="15.109375" style="125" bestFit="1" customWidth="1"/>
    <col min="13822" max="13822" width="14" style="125" bestFit="1" customWidth="1"/>
    <col min="13823" max="13823" width="17.109375" style="125" bestFit="1" customWidth="1"/>
    <col min="13824" max="13824" width="34.33203125" style="125" customWidth="1"/>
    <col min="13825" max="13825" width="5.6640625" style="125" customWidth="1"/>
    <col min="13826" max="13826" width="10.109375" style="125" bestFit="1" customWidth="1"/>
    <col min="13827" max="13827" width="9.6640625" style="125" customWidth="1"/>
    <col min="13828" max="13828" width="14.6640625" style="125" customWidth="1"/>
    <col min="13829" max="13829" width="8.6640625" style="125" customWidth="1"/>
    <col min="13830" max="13830" width="11.5546875" style="125" customWidth="1"/>
    <col min="13831" max="13831" width="14.6640625" style="125" customWidth="1"/>
    <col min="13832" max="14075" width="8.88671875" style="125"/>
    <col min="14076" max="14076" width="9.6640625" style="125" customWidth="1"/>
    <col min="14077" max="14077" width="15.109375" style="125" bestFit="1" customWidth="1"/>
    <col min="14078" max="14078" width="14" style="125" bestFit="1" customWidth="1"/>
    <col min="14079" max="14079" width="17.109375" style="125" bestFit="1" customWidth="1"/>
    <col min="14080" max="14080" width="34.33203125" style="125" customWidth="1"/>
    <col min="14081" max="14081" width="5.6640625" style="125" customWidth="1"/>
    <col min="14082" max="14082" width="10.109375" style="125" bestFit="1" customWidth="1"/>
    <col min="14083" max="14083" width="9.6640625" style="125" customWidth="1"/>
    <col min="14084" max="14084" width="14.6640625" style="125" customWidth="1"/>
    <col min="14085" max="14085" width="8.6640625" style="125" customWidth="1"/>
    <col min="14086" max="14086" width="11.5546875" style="125" customWidth="1"/>
    <col min="14087" max="14087" width="14.6640625" style="125" customWidth="1"/>
    <col min="14088" max="14331" width="8.88671875" style="125"/>
    <col min="14332" max="14332" width="9.6640625" style="125" customWidth="1"/>
    <col min="14333" max="14333" width="15.109375" style="125" bestFit="1" customWidth="1"/>
    <col min="14334" max="14334" width="14" style="125" bestFit="1" customWidth="1"/>
    <col min="14335" max="14335" width="17.109375" style="125" bestFit="1" customWidth="1"/>
    <col min="14336" max="14336" width="34.33203125" style="125" customWidth="1"/>
    <col min="14337" max="14337" width="5.6640625" style="125" customWidth="1"/>
    <col min="14338" max="14338" width="10.109375" style="125" bestFit="1" customWidth="1"/>
    <col min="14339" max="14339" width="9.6640625" style="125" customWidth="1"/>
    <col min="14340" max="14340" width="14.6640625" style="125" customWidth="1"/>
    <col min="14341" max="14341" width="8.6640625" style="125" customWidth="1"/>
    <col min="14342" max="14342" width="11.5546875" style="125" customWidth="1"/>
    <col min="14343" max="14343" width="14.6640625" style="125" customWidth="1"/>
    <col min="14344" max="14587" width="8.88671875" style="125"/>
    <col min="14588" max="14588" width="9.6640625" style="125" customWidth="1"/>
    <col min="14589" max="14589" width="15.109375" style="125" bestFit="1" customWidth="1"/>
    <col min="14590" max="14590" width="14" style="125" bestFit="1" customWidth="1"/>
    <col min="14591" max="14591" width="17.109375" style="125" bestFit="1" customWidth="1"/>
    <col min="14592" max="14592" width="34.33203125" style="125" customWidth="1"/>
    <col min="14593" max="14593" width="5.6640625" style="125" customWidth="1"/>
    <col min="14594" max="14594" width="10.109375" style="125" bestFit="1" customWidth="1"/>
    <col min="14595" max="14595" width="9.6640625" style="125" customWidth="1"/>
    <col min="14596" max="14596" width="14.6640625" style="125" customWidth="1"/>
    <col min="14597" max="14597" width="8.6640625" style="125" customWidth="1"/>
    <col min="14598" max="14598" width="11.5546875" style="125" customWidth="1"/>
    <col min="14599" max="14599" width="14.6640625" style="125" customWidth="1"/>
    <col min="14600" max="14843" width="8.88671875" style="125"/>
    <col min="14844" max="14844" width="9.6640625" style="125" customWidth="1"/>
    <col min="14845" max="14845" width="15.109375" style="125" bestFit="1" customWidth="1"/>
    <col min="14846" max="14846" width="14" style="125" bestFit="1" customWidth="1"/>
    <col min="14847" max="14847" width="17.109375" style="125" bestFit="1" customWidth="1"/>
    <col min="14848" max="14848" width="34.33203125" style="125" customWidth="1"/>
    <col min="14849" max="14849" width="5.6640625" style="125" customWidth="1"/>
    <col min="14850" max="14850" width="10.109375" style="125" bestFit="1" customWidth="1"/>
    <col min="14851" max="14851" width="9.6640625" style="125" customWidth="1"/>
    <col min="14852" max="14852" width="14.6640625" style="125" customWidth="1"/>
    <col min="14853" max="14853" width="8.6640625" style="125" customWidth="1"/>
    <col min="14854" max="14854" width="11.5546875" style="125" customWidth="1"/>
    <col min="14855" max="14855" width="14.6640625" style="125" customWidth="1"/>
    <col min="14856" max="15099" width="8.88671875" style="125"/>
    <col min="15100" max="15100" width="9.6640625" style="125" customWidth="1"/>
    <col min="15101" max="15101" width="15.109375" style="125" bestFit="1" customWidth="1"/>
    <col min="15102" max="15102" width="14" style="125" bestFit="1" customWidth="1"/>
    <col min="15103" max="15103" width="17.109375" style="125" bestFit="1" customWidth="1"/>
    <col min="15104" max="15104" width="34.33203125" style="125" customWidth="1"/>
    <col min="15105" max="15105" width="5.6640625" style="125" customWidth="1"/>
    <col min="15106" max="15106" width="10.109375" style="125" bestFit="1" customWidth="1"/>
    <col min="15107" max="15107" width="9.6640625" style="125" customWidth="1"/>
    <col min="15108" max="15108" width="14.6640625" style="125" customWidth="1"/>
    <col min="15109" max="15109" width="8.6640625" style="125" customWidth="1"/>
    <col min="15110" max="15110" width="11.5546875" style="125" customWidth="1"/>
    <col min="15111" max="15111" width="14.6640625" style="125" customWidth="1"/>
    <col min="15112" max="15355" width="8.88671875" style="125"/>
    <col min="15356" max="15356" width="9.6640625" style="125" customWidth="1"/>
    <col min="15357" max="15357" width="15.109375" style="125" bestFit="1" customWidth="1"/>
    <col min="15358" max="15358" width="14" style="125" bestFit="1" customWidth="1"/>
    <col min="15359" max="15359" width="17.109375" style="125" bestFit="1" customWidth="1"/>
    <col min="15360" max="15360" width="34.33203125" style="125" customWidth="1"/>
    <col min="15361" max="15361" width="5.6640625" style="125" customWidth="1"/>
    <col min="15362" max="15362" width="10.109375" style="125" bestFit="1" customWidth="1"/>
    <col min="15363" max="15363" width="9.6640625" style="125" customWidth="1"/>
    <col min="15364" max="15364" width="14.6640625" style="125" customWidth="1"/>
    <col min="15365" max="15365" width="8.6640625" style="125" customWidth="1"/>
    <col min="15366" max="15366" width="11.5546875" style="125" customWidth="1"/>
    <col min="15367" max="15367" width="14.6640625" style="125" customWidth="1"/>
    <col min="15368" max="15611" width="8.88671875" style="125"/>
    <col min="15612" max="15612" width="9.6640625" style="125" customWidth="1"/>
    <col min="15613" max="15613" width="15.109375" style="125" bestFit="1" customWidth="1"/>
    <col min="15614" max="15614" width="14" style="125" bestFit="1" customWidth="1"/>
    <col min="15615" max="15615" width="17.109375" style="125" bestFit="1" customWidth="1"/>
    <col min="15616" max="15616" width="34.33203125" style="125" customWidth="1"/>
    <col min="15617" max="15617" width="5.6640625" style="125" customWidth="1"/>
    <col min="15618" max="15618" width="10.109375" style="125" bestFit="1" customWidth="1"/>
    <col min="15619" max="15619" width="9.6640625" style="125" customWidth="1"/>
    <col min="15620" max="15620" width="14.6640625" style="125" customWidth="1"/>
    <col min="15621" max="15621" width="8.6640625" style="125" customWidth="1"/>
    <col min="15622" max="15622" width="11.5546875" style="125" customWidth="1"/>
    <col min="15623" max="15623" width="14.6640625" style="125" customWidth="1"/>
    <col min="15624" max="15867" width="8.88671875" style="125"/>
    <col min="15868" max="15868" width="9.6640625" style="125" customWidth="1"/>
    <col min="15869" max="15869" width="15.109375" style="125" bestFit="1" customWidth="1"/>
    <col min="15870" max="15870" width="14" style="125" bestFit="1" customWidth="1"/>
    <col min="15871" max="15871" width="17.109375" style="125" bestFit="1" customWidth="1"/>
    <col min="15872" max="15872" width="34.33203125" style="125" customWidth="1"/>
    <col min="15873" max="15873" width="5.6640625" style="125" customWidth="1"/>
    <col min="15874" max="15874" width="10.109375" style="125" bestFit="1" customWidth="1"/>
    <col min="15875" max="15875" width="9.6640625" style="125" customWidth="1"/>
    <col min="15876" max="15876" width="14.6640625" style="125" customWidth="1"/>
    <col min="15877" max="15877" width="8.6640625" style="125" customWidth="1"/>
    <col min="15878" max="15878" width="11.5546875" style="125" customWidth="1"/>
    <col min="15879" max="15879" width="14.6640625" style="125" customWidth="1"/>
    <col min="15880" max="16123" width="8.88671875" style="125"/>
    <col min="16124" max="16124" width="9.6640625" style="125" customWidth="1"/>
    <col min="16125" max="16125" width="15.109375" style="125" bestFit="1" customWidth="1"/>
    <col min="16126" max="16126" width="14" style="125" bestFit="1" customWidth="1"/>
    <col min="16127" max="16127" width="17.109375" style="125" bestFit="1" customWidth="1"/>
    <col min="16128" max="16128" width="34.33203125" style="125" customWidth="1"/>
    <col min="16129" max="16129" width="5.6640625" style="125" customWidth="1"/>
    <col min="16130" max="16130" width="10.109375" style="125" bestFit="1" customWidth="1"/>
    <col min="16131" max="16131" width="9.6640625" style="125" customWidth="1"/>
    <col min="16132" max="16132" width="14.6640625" style="125" customWidth="1"/>
    <col min="16133" max="16133" width="8.6640625" style="125" customWidth="1"/>
    <col min="16134" max="16134" width="11.5546875" style="125" customWidth="1"/>
    <col min="16135" max="16135" width="14.6640625" style="125" customWidth="1"/>
    <col min="16136" max="16374" width="8.88671875" style="125"/>
    <col min="16375" max="16383" width="9.109375" style="125" customWidth="1"/>
    <col min="16384" max="16384" width="8.88671875" style="125"/>
  </cols>
  <sheetData>
    <row r="1" spans="1:17" ht="20.25" customHeight="1" x14ac:dyDescent="0.3">
      <c r="B1" s="123"/>
      <c r="C1" s="742" t="s">
        <v>61</v>
      </c>
      <c r="D1" s="743"/>
      <c r="E1" s="743"/>
      <c r="F1" s="743"/>
      <c r="G1" s="743"/>
      <c r="H1" s="743"/>
      <c r="I1" s="743"/>
      <c r="J1" s="743"/>
      <c r="K1" s="743"/>
      <c r="L1" s="743"/>
      <c r="M1" s="743"/>
      <c r="N1" s="743"/>
      <c r="O1" s="124"/>
    </row>
    <row r="2" spans="1:17" ht="21" x14ac:dyDescent="0.3">
      <c r="B2" s="127"/>
      <c r="C2" s="744"/>
      <c r="D2" s="744"/>
      <c r="E2" s="744"/>
      <c r="F2" s="744"/>
      <c r="G2" s="744"/>
      <c r="H2" s="744"/>
      <c r="I2" s="744"/>
      <c r="J2" s="744"/>
      <c r="K2" s="744"/>
      <c r="L2" s="744"/>
      <c r="M2" s="744"/>
      <c r="N2" s="744"/>
      <c r="O2" s="129"/>
    </row>
    <row r="3" spans="1:17" ht="18" customHeight="1" x14ac:dyDescent="0.3">
      <c r="B3" s="127"/>
      <c r="C3" s="744"/>
      <c r="D3" s="744"/>
      <c r="E3" s="744"/>
      <c r="F3" s="744"/>
      <c r="G3" s="744"/>
      <c r="H3" s="744"/>
      <c r="I3" s="744"/>
      <c r="J3" s="744"/>
      <c r="K3" s="744"/>
      <c r="L3" s="744"/>
      <c r="M3" s="744"/>
      <c r="N3" s="744"/>
      <c r="O3" s="130"/>
    </row>
    <row r="4" spans="1:17" thickBot="1" x14ac:dyDescent="0.35">
      <c r="B4" s="127"/>
      <c r="C4" s="744"/>
      <c r="D4" s="744"/>
      <c r="E4" s="744"/>
      <c r="F4" s="744"/>
      <c r="G4" s="744"/>
      <c r="H4" s="744"/>
      <c r="I4" s="744"/>
      <c r="J4" s="744"/>
      <c r="K4" s="744"/>
      <c r="L4" s="744"/>
      <c r="M4" s="744"/>
      <c r="N4" s="744"/>
      <c r="O4" s="131"/>
    </row>
    <row r="5" spans="1:17" s="136" customFormat="1" ht="15.75" customHeight="1" x14ac:dyDescent="0.3">
      <c r="A5" s="750"/>
      <c r="B5" s="133"/>
      <c r="C5" s="751" t="s">
        <v>62</v>
      </c>
      <c r="D5" s="745" t="s">
        <v>63</v>
      </c>
      <c r="E5" s="745" t="s">
        <v>64</v>
      </c>
      <c r="F5" s="753" t="s">
        <v>65</v>
      </c>
      <c r="G5" s="745" t="s">
        <v>66</v>
      </c>
      <c r="H5" s="745" t="s">
        <v>18</v>
      </c>
      <c r="I5" s="745" t="s">
        <v>67</v>
      </c>
      <c r="J5" s="745" t="s">
        <v>68</v>
      </c>
      <c r="K5" s="747" t="s">
        <v>69</v>
      </c>
      <c r="L5" s="745" t="s">
        <v>70</v>
      </c>
      <c r="M5" s="749"/>
      <c r="N5" s="134" t="s">
        <v>39</v>
      </c>
      <c r="O5" s="135"/>
      <c r="Q5" s="137"/>
    </row>
    <row r="6" spans="1:17" s="137" customFormat="1" ht="18.75" customHeight="1" thickBot="1" x14ac:dyDescent="0.35">
      <c r="A6" s="750"/>
      <c r="B6" s="133"/>
      <c r="C6" s="752"/>
      <c r="D6" s="746"/>
      <c r="E6" s="746"/>
      <c r="F6" s="754"/>
      <c r="G6" s="746"/>
      <c r="H6" s="746"/>
      <c r="I6" s="746"/>
      <c r="J6" s="746"/>
      <c r="K6" s="748"/>
      <c r="L6" s="138" t="s">
        <v>71</v>
      </c>
      <c r="M6" s="139" t="s">
        <v>72</v>
      </c>
      <c r="N6" s="140" t="s">
        <v>72</v>
      </c>
      <c r="O6" s="135"/>
    </row>
    <row r="7" spans="1:17" s="137" customFormat="1" ht="18.75" customHeight="1" thickBot="1" x14ac:dyDescent="0.35">
      <c r="A7" s="132"/>
      <c r="B7" s="133"/>
      <c r="C7" s="141"/>
      <c r="D7" s="142"/>
      <c r="E7" s="142"/>
      <c r="F7" s="142"/>
      <c r="G7" s="143"/>
      <c r="H7" s="144"/>
      <c r="I7" s="126"/>
      <c r="J7" s="145"/>
      <c r="K7" s="145"/>
      <c r="L7" s="146"/>
      <c r="M7" s="145"/>
      <c r="N7" s="145"/>
      <c r="O7" s="135"/>
    </row>
    <row r="8" spans="1:17" s="137" customFormat="1" ht="18.75" customHeight="1" thickBot="1" x14ac:dyDescent="0.35">
      <c r="A8" s="132"/>
      <c r="B8" s="133"/>
      <c r="C8" s="147" t="s">
        <v>73</v>
      </c>
      <c r="D8" s="148"/>
      <c r="E8" s="148"/>
      <c r="F8" s="148"/>
      <c r="G8" s="148"/>
      <c r="H8" s="149"/>
      <c r="I8" s="149"/>
      <c r="J8" s="149"/>
      <c r="K8" s="150"/>
      <c r="L8" s="151"/>
      <c r="M8" s="152"/>
      <c r="N8" s="152"/>
      <c r="O8" s="135"/>
    </row>
    <row r="9" spans="1:17" s="137" customFormat="1" ht="18.75" customHeight="1" thickBot="1" x14ac:dyDescent="0.35">
      <c r="A9" s="132"/>
      <c r="B9" s="133"/>
      <c r="C9" s="153"/>
      <c r="D9" s="154" t="s">
        <v>74</v>
      </c>
      <c r="E9" s="155"/>
      <c r="F9" s="155"/>
      <c r="G9" s="156"/>
      <c r="H9" s="157"/>
      <c r="I9" s="158"/>
      <c r="J9" s="159"/>
      <c r="K9" s="160"/>
      <c r="L9" s="161"/>
      <c r="M9" s="162"/>
      <c r="N9" s="163"/>
      <c r="O9" s="135"/>
    </row>
    <row r="10" spans="1:17" s="137" customFormat="1" ht="18.75" customHeight="1" x14ac:dyDescent="0.3">
      <c r="A10" s="132"/>
      <c r="B10" s="133"/>
      <c r="C10" s="164">
        <v>46064</v>
      </c>
      <c r="D10" s="165" t="s">
        <v>75</v>
      </c>
      <c r="E10" s="166" t="s">
        <v>76</v>
      </c>
      <c r="F10" s="431" t="s">
        <v>77</v>
      </c>
      <c r="G10" s="432" t="s">
        <v>78</v>
      </c>
      <c r="H10" s="169" t="s">
        <v>79</v>
      </c>
      <c r="I10" s="170"/>
      <c r="J10" s="171">
        <v>21.4</v>
      </c>
      <c r="K10" s="172">
        <v>47</v>
      </c>
      <c r="L10" s="173">
        <v>0.7</v>
      </c>
      <c r="M10" s="173">
        <f>J10*K10*L10</f>
        <v>704.06</v>
      </c>
      <c r="N10" s="174">
        <f>M10</f>
        <v>704.06</v>
      </c>
      <c r="O10" s="135"/>
    </row>
    <row r="11" spans="1:17" s="137" customFormat="1" ht="18.75" customHeight="1" x14ac:dyDescent="0.3">
      <c r="A11" s="132"/>
      <c r="B11" s="133"/>
      <c r="C11" s="433">
        <v>46064</v>
      </c>
      <c r="D11" s="175" t="s">
        <v>80</v>
      </c>
      <c r="E11" s="176" t="s">
        <v>76</v>
      </c>
      <c r="F11" s="430" t="s">
        <v>81</v>
      </c>
      <c r="G11" s="168" t="s">
        <v>78</v>
      </c>
      <c r="H11" s="177" t="s">
        <v>79</v>
      </c>
      <c r="I11" s="178"/>
      <c r="J11" s="179">
        <v>20.2</v>
      </c>
      <c r="K11" s="190">
        <v>47</v>
      </c>
      <c r="L11" s="180">
        <v>0.7</v>
      </c>
      <c r="M11" s="180">
        <f t="shared" ref="M11:M31" si="0">J11*K11*L11</f>
        <v>664.57999999999993</v>
      </c>
      <c r="N11" s="181">
        <f t="shared" ref="N11:N31" si="1">M11</f>
        <v>664.57999999999993</v>
      </c>
      <c r="O11" s="135"/>
    </row>
    <row r="12" spans="1:17" s="137" customFormat="1" ht="18.75" customHeight="1" x14ac:dyDescent="0.3">
      <c r="A12" s="132"/>
      <c r="B12" s="133"/>
      <c r="C12" s="433">
        <v>46064</v>
      </c>
      <c r="D12" s="175" t="s">
        <v>82</v>
      </c>
      <c r="E12" s="176" t="s">
        <v>76</v>
      </c>
      <c r="F12" s="167" t="s">
        <v>83</v>
      </c>
      <c r="G12" s="168" t="s">
        <v>78</v>
      </c>
      <c r="H12" s="177" t="s">
        <v>79</v>
      </c>
      <c r="I12" s="178"/>
      <c r="J12" s="179">
        <v>21.06</v>
      </c>
      <c r="K12" s="190">
        <v>47</v>
      </c>
      <c r="L12" s="180">
        <v>0.7</v>
      </c>
      <c r="M12" s="180">
        <f t="shared" si="0"/>
        <v>692.87399999999991</v>
      </c>
      <c r="N12" s="181">
        <f t="shared" si="1"/>
        <v>692.87399999999991</v>
      </c>
      <c r="O12" s="135"/>
    </row>
    <row r="13" spans="1:17" s="137" customFormat="1" ht="18.75" customHeight="1" x14ac:dyDescent="0.3">
      <c r="A13" s="132"/>
      <c r="B13" s="133"/>
      <c r="C13" s="433">
        <v>46064</v>
      </c>
      <c r="D13" s="175" t="s">
        <v>84</v>
      </c>
      <c r="E13" s="176" t="s">
        <v>76</v>
      </c>
      <c r="F13" s="167" t="s">
        <v>85</v>
      </c>
      <c r="G13" s="168" t="s">
        <v>78</v>
      </c>
      <c r="H13" s="177" t="s">
        <v>79</v>
      </c>
      <c r="I13" s="178"/>
      <c r="J13" s="179">
        <v>21.15</v>
      </c>
      <c r="K13" s="190">
        <v>47</v>
      </c>
      <c r="L13" s="180">
        <v>0.7</v>
      </c>
      <c r="M13" s="180">
        <f t="shared" si="0"/>
        <v>695.83499999999992</v>
      </c>
      <c r="N13" s="181">
        <f t="shared" si="1"/>
        <v>695.83499999999992</v>
      </c>
      <c r="O13" s="135"/>
    </row>
    <row r="14" spans="1:17" s="137" customFormat="1" ht="18.75" customHeight="1" x14ac:dyDescent="0.3">
      <c r="A14" s="132"/>
      <c r="B14" s="133"/>
      <c r="C14" s="433">
        <v>46064</v>
      </c>
      <c r="D14" s="175" t="s">
        <v>86</v>
      </c>
      <c r="E14" s="176" t="s">
        <v>76</v>
      </c>
      <c r="F14" s="167" t="s">
        <v>81</v>
      </c>
      <c r="G14" s="168" t="s">
        <v>78</v>
      </c>
      <c r="H14" s="177" t="s">
        <v>79</v>
      </c>
      <c r="I14" s="178"/>
      <c r="J14" s="179">
        <v>21.55</v>
      </c>
      <c r="K14" s="190">
        <v>47</v>
      </c>
      <c r="L14" s="180">
        <v>0.7</v>
      </c>
      <c r="M14" s="180">
        <f t="shared" si="0"/>
        <v>708.995</v>
      </c>
      <c r="N14" s="181">
        <f t="shared" si="1"/>
        <v>708.995</v>
      </c>
      <c r="O14" s="135"/>
    </row>
    <row r="15" spans="1:17" s="137" customFormat="1" ht="18.75" customHeight="1" x14ac:dyDescent="0.3">
      <c r="A15" s="132"/>
      <c r="B15" s="133"/>
      <c r="C15" s="183">
        <v>46064</v>
      </c>
      <c r="D15" s="184" t="s">
        <v>87</v>
      </c>
      <c r="E15" s="176" t="s">
        <v>76</v>
      </c>
      <c r="F15" s="185" t="s">
        <v>77</v>
      </c>
      <c r="G15" s="168" t="s">
        <v>78</v>
      </c>
      <c r="H15" s="177" t="s">
        <v>79</v>
      </c>
      <c r="I15" s="178"/>
      <c r="J15" s="186">
        <v>22.05</v>
      </c>
      <c r="K15" s="190">
        <v>47</v>
      </c>
      <c r="L15" s="180">
        <v>0.7</v>
      </c>
      <c r="M15" s="180">
        <f t="shared" si="0"/>
        <v>725.44500000000005</v>
      </c>
      <c r="N15" s="181">
        <f t="shared" si="1"/>
        <v>725.44500000000005</v>
      </c>
      <c r="O15" s="135"/>
    </row>
    <row r="16" spans="1:17" s="137" customFormat="1" ht="18.75" customHeight="1" x14ac:dyDescent="0.3">
      <c r="A16" s="132"/>
      <c r="B16" s="133"/>
      <c r="C16" s="183">
        <v>46064</v>
      </c>
      <c r="D16" s="184" t="s">
        <v>88</v>
      </c>
      <c r="E16" s="176" t="s">
        <v>76</v>
      </c>
      <c r="F16" s="185" t="s">
        <v>89</v>
      </c>
      <c r="G16" s="168" t="s">
        <v>78</v>
      </c>
      <c r="H16" s="177" t="s">
        <v>79</v>
      </c>
      <c r="I16" s="178"/>
      <c r="J16" s="186">
        <v>22.27</v>
      </c>
      <c r="K16" s="190">
        <v>47</v>
      </c>
      <c r="L16" s="180">
        <v>0.7</v>
      </c>
      <c r="M16" s="180">
        <f t="shared" si="0"/>
        <v>732.68299999999999</v>
      </c>
      <c r="N16" s="181">
        <f t="shared" si="1"/>
        <v>732.68299999999999</v>
      </c>
      <c r="O16" s="135"/>
    </row>
    <row r="17" spans="1:15" s="187" customFormat="1" ht="18.75" customHeight="1" x14ac:dyDescent="0.3">
      <c r="B17" s="133"/>
      <c r="C17" s="183">
        <v>46065</v>
      </c>
      <c r="D17" s="184" t="s">
        <v>90</v>
      </c>
      <c r="E17" s="167" t="s">
        <v>76</v>
      </c>
      <c r="F17" s="184" t="s">
        <v>77</v>
      </c>
      <c r="G17" s="188" t="s">
        <v>78</v>
      </c>
      <c r="H17" s="177" t="s">
        <v>79</v>
      </c>
      <c r="I17" s="178"/>
      <c r="J17" s="189">
        <v>23</v>
      </c>
      <c r="K17" s="190">
        <v>47</v>
      </c>
      <c r="L17" s="180">
        <v>0.7</v>
      </c>
      <c r="M17" s="180">
        <f t="shared" si="0"/>
        <v>756.69999999999993</v>
      </c>
      <c r="N17" s="181">
        <f t="shared" si="1"/>
        <v>756.69999999999993</v>
      </c>
      <c r="O17" s="191"/>
    </row>
    <row r="18" spans="1:15" s="137" customFormat="1" ht="18.75" customHeight="1" x14ac:dyDescent="0.3">
      <c r="A18" s="132"/>
      <c r="B18" s="133"/>
      <c r="C18" s="183">
        <v>46069</v>
      </c>
      <c r="D18" s="184" t="s">
        <v>91</v>
      </c>
      <c r="E18" s="176" t="s">
        <v>76</v>
      </c>
      <c r="F18" s="185" t="s">
        <v>77</v>
      </c>
      <c r="G18" s="168" t="s">
        <v>78</v>
      </c>
      <c r="H18" s="177" t="s">
        <v>79</v>
      </c>
      <c r="I18" s="178"/>
      <c r="J18" s="186">
        <v>22.5</v>
      </c>
      <c r="K18" s="190">
        <v>47</v>
      </c>
      <c r="L18" s="180">
        <v>0.7</v>
      </c>
      <c r="M18" s="180">
        <f t="shared" si="0"/>
        <v>740.25</v>
      </c>
      <c r="N18" s="181">
        <f t="shared" si="1"/>
        <v>740.25</v>
      </c>
      <c r="O18" s="135"/>
    </row>
    <row r="19" spans="1:15" s="137" customFormat="1" ht="18.75" customHeight="1" x14ac:dyDescent="0.3">
      <c r="A19" s="132"/>
      <c r="B19" s="133"/>
      <c r="C19" s="183">
        <v>46069</v>
      </c>
      <c r="D19" s="184" t="s">
        <v>92</v>
      </c>
      <c r="E19" s="176" t="s">
        <v>76</v>
      </c>
      <c r="F19" s="185" t="s">
        <v>93</v>
      </c>
      <c r="G19" s="168" t="s">
        <v>78</v>
      </c>
      <c r="H19" s="177" t="s">
        <v>94</v>
      </c>
      <c r="I19" s="178"/>
      <c r="J19" s="186">
        <v>23.3</v>
      </c>
      <c r="K19" s="190">
        <v>47</v>
      </c>
      <c r="L19" s="180">
        <v>0.7</v>
      </c>
      <c r="M19" s="180">
        <f t="shared" si="0"/>
        <v>766.57</v>
      </c>
      <c r="N19" s="181">
        <f t="shared" si="1"/>
        <v>766.57</v>
      </c>
      <c r="O19" s="135"/>
    </row>
    <row r="20" spans="1:15" s="137" customFormat="1" ht="18.75" customHeight="1" x14ac:dyDescent="0.3">
      <c r="A20" s="132"/>
      <c r="B20" s="133"/>
      <c r="C20" s="183">
        <v>46071</v>
      </c>
      <c r="D20" s="184" t="s">
        <v>95</v>
      </c>
      <c r="E20" s="176" t="s">
        <v>76</v>
      </c>
      <c r="F20" s="185" t="s">
        <v>77</v>
      </c>
      <c r="G20" s="168" t="s">
        <v>78</v>
      </c>
      <c r="H20" s="177" t="s">
        <v>94</v>
      </c>
      <c r="I20" s="178"/>
      <c r="J20" s="186">
        <v>21.4</v>
      </c>
      <c r="K20" s="190">
        <v>43</v>
      </c>
      <c r="L20" s="180">
        <v>0.7</v>
      </c>
      <c r="M20" s="180">
        <f t="shared" si="0"/>
        <v>644.13999999999987</v>
      </c>
      <c r="N20" s="181">
        <f t="shared" si="1"/>
        <v>644.13999999999987</v>
      </c>
      <c r="O20" s="135"/>
    </row>
    <row r="21" spans="1:15" s="137" customFormat="1" ht="18.75" customHeight="1" x14ac:dyDescent="0.3">
      <c r="A21" s="132"/>
      <c r="B21" s="133"/>
      <c r="C21" s="183">
        <v>46071</v>
      </c>
      <c r="D21" s="184" t="s">
        <v>96</v>
      </c>
      <c r="E21" s="176" t="s">
        <v>76</v>
      </c>
      <c r="F21" s="185" t="s">
        <v>97</v>
      </c>
      <c r="G21" s="168" t="s">
        <v>78</v>
      </c>
      <c r="H21" s="177" t="s">
        <v>94</v>
      </c>
      <c r="I21" s="178"/>
      <c r="J21" s="186">
        <v>23.65</v>
      </c>
      <c r="K21" s="190">
        <v>43</v>
      </c>
      <c r="L21" s="180">
        <v>0.7</v>
      </c>
      <c r="M21" s="180">
        <f t="shared" si="0"/>
        <v>711.8649999999999</v>
      </c>
      <c r="N21" s="181">
        <f t="shared" si="1"/>
        <v>711.8649999999999</v>
      </c>
      <c r="O21" s="135"/>
    </row>
    <row r="22" spans="1:15" s="137" customFormat="1" ht="18.75" customHeight="1" x14ac:dyDescent="0.3">
      <c r="A22" s="132"/>
      <c r="B22" s="133"/>
      <c r="C22" s="183">
        <v>46071</v>
      </c>
      <c r="D22" s="184" t="s">
        <v>98</v>
      </c>
      <c r="E22" s="176" t="s">
        <v>76</v>
      </c>
      <c r="F22" s="185" t="s">
        <v>99</v>
      </c>
      <c r="G22" s="168" t="s">
        <v>78</v>
      </c>
      <c r="H22" s="177" t="s">
        <v>94</v>
      </c>
      <c r="I22" s="178"/>
      <c r="J22" s="186">
        <v>25</v>
      </c>
      <c r="K22" s="190">
        <v>43</v>
      </c>
      <c r="L22" s="180">
        <v>0.7</v>
      </c>
      <c r="M22" s="180">
        <f t="shared" si="0"/>
        <v>752.5</v>
      </c>
      <c r="N22" s="181">
        <f t="shared" si="1"/>
        <v>752.5</v>
      </c>
      <c r="O22" s="135"/>
    </row>
    <row r="23" spans="1:15" s="137" customFormat="1" ht="18.75" customHeight="1" x14ac:dyDescent="0.3">
      <c r="A23" s="132"/>
      <c r="B23" s="133"/>
      <c r="C23" s="183">
        <v>46071</v>
      </c>
      <c r="D23" s="184" t="s">
        <v>100</v>
      </c>
      <c r="E23" s="176" t="s">
        <v>76</v>
      </c>
      <c r="F23" s="185" t="s">
        <v>101</v>
      </c>
      <c r="G23" s="168" t="s">
        <v>78</v>
      </c>
      <c r="H23" s="177" t="s">
        <v>94</v>
      </c>
      <c r="I23" s="178"/>
      <c r="J23" s="186">
        <v>30.8</v>
      </c>
      <c r="K23" s="190">
        <v>43</v>
      </c>
      <c r="L23" s="180">
        <v>0.7</v>
      </c>
      <c r="M23" s="180">
        <f t="shared" si="0"/>
        <v>927.08</v>
      </c>
      <c r="N23" s="181">
        <f t="shared" si="1"/>
        <v>927.08</v>
      </c>
      <c r="O23" s="135"/>
    </row>
    <row r="24" spans="1:15" s="137" customFormat="1" ht="18.75" customHeight="1" x14ac:dyDescent="0.3">
      <c r="A24" s="132"/>
      <c r="B24" s="133"/>
      <c r="C24" s="183">
        <v>46071</v>
      </c>
      <c r="D24" s="184" t="s">
        <v>102</v>
      </c>
      <c r="E24" s="176" t="s">
        <v>76</v>
      </c>
      <c r="F24" s="185" t="s">
        <v>77</v>
      </c>
      <c r="G24" s="168" t="s">
        <v>78</v>
      </c>
      <c r="H24" s="177" t="s">
        <v>94</v>
      </c>
      <c r="I24" s="178"/>
      <c r="J24" s="186">
        <v>21.95</v>
      </c>
      <c r="K24" s="190">
        <v>43</v>
      </c>
      <c r="L24" s="180">
        <v>0.7</v>
      </c>
      <c r="M24" s="180">
        <f t="shared" si="0"/>
        <v>660.69499999999994</v>
      </c>
      <c r="N24" s="181">
        <f t="shared" si="1"/>
        <v>660.69499999999994</v>
      </c>
      <c r="O24" s="135"/>
    </row>
    <row r="25" spans="1:15" s="137" customFormat="1" ht="18.75" customHeight="1" x14ac:dyDescent="0.3">
      <c r="A25" s="132"/>
      <c r="B25" s="133"/>
      <c r="C25" s="183">
        <v>46071</v>
      </c>
      <c r="D25" s="184" t="s">
        <v>103</v>
      </c>
      <c r="E25" s="176" t="s">
        <v>76</v>
      </c>
      <c r="F25" s="185" t="s">
        <v>93</v>
      </c>
      <c r="G25" s="168" t="s">
        <v>78</v>
      </c>
      <c r="H25" s="177" t="s">
        <v>94</v>
      </c>
      <c r="I25" s="178"/>
      <c r="J25" s="186">
        <v>22.8</v>
      </c>
      <c r="K25" s="190">
        <v>43</v>
      </c>
      <c r="L25" s="180">
        <v>0.7</v>
      </c>
      <c r="M25" s="180">
        <f t="shared" si="0"/>
        <v>686.28</v>
      </c>
      <c r="N25" s="181">
        <f t="shared" si="1"/>
        <v>686.28</v>
      </c>
      <c r="O25" s="135"/>
    </row>
    <row r="26" spans="1:15" s="137" customFormat="1" ht="18.75" customHeight="1" x14ac:dyDescent="0.3">
      <c r="A26" s="132"/>
      <c r="B26" s="133"/>
      <c r="C26" s="192">
        <v>46071</v>
      </c>
      <c r="D26" s="184" t="s">
        <v>104</v>
      </c>
      <c r="E26" s="176" t="s">
        <v>76</v>
      </c>
      <c r="F26" s="185" t="s">
        <v>97</v>
      </c>
      <c r="G26" s="168" t="s">
        <v>78</v>
      </c>
      <c r="H26" s="177" t="s">
        <v>94</v>
      </c>
      <c r="I26" s="178"/>
      <c r="J26" s="186">
        <v>23.75</v>
      </c>
      <c r="K26" s="190">
        <v>43</v>
      </c>
      <c r="L26" s="180">
        <v>0.7</v>
      </c>
      <c r="M26" s="180">
        <f t="shared" si="0"/>
        <v>714.875</v>
      </c>
      <c r="N26" s="181">
        <f t="shared" si="1"/>
        <v>714.875</v>
      </c>
      <c r="O26" s="135"/>
    </row>
    <row r="27" spans="1:15" s="137" customFormat="1" ht="18.75" customHeight="1" x14ac:dyDescent="0.3">
      <c r="A27" s="132"/>
      <c r="B27" s="133"/>
      <c r="C27" s="192">
        <v>46071</v>
      </c>
      <c r="D27" s="184" t="s">
        <v>105</v>
      </c>
      <c r="E27" s="176" t="s">
        <v>76</v>
      </c>
      <c r="F27" s="185" t="s">
        <v>99</v>
      </c>
      <c r="G27" s="168" t="s">
        <v>78</v>
      </c>
      <c r="H27" s="177" t="s">
        <v>94</v>
      </c>
      <c r="I27" s="178"/>
      <c r="J27" s="186">
        <v>25.27</v>
      </c>
      <c r="K27" s="190">
        <v>43</v>
      </c>
      <c r="L27" s="180">
        <v>0.7</v>
      </c>
      <c r="M27" s="180">
        <f t="shared" si="0"/>
        <v>760.62699999999984</v>
      </c>
      <c r="N27" s="181">
        <f t="shared" si="1"/>
        <v>760.62699999999984</v>
      </c>
      <c r="O27" s="135"/>
    </row>
    <row r="28" spans="1:15" s="137" customFormat="1" ht="18.75" customHeight="1" x14ac:dyDescent="0.3">
      <c r="A28" s="132"/>
      <c r="B28" s="133"/>
      <c r="C28" s="192">
        <v>46071</v>
      </c>
      <c r="D28" s="184" t="s">
        <v>106</v>
      </c>
      <c r="E28" s="176" t="s">
        <v>76</v>
      </c>
      <c r="F28" s="185" t="s">
        <v>107</v>
      </c>
      <c r="G28" s="168" t="s">
        <v>78</v>
      </c>
      <c r="H28" s="177" t="s">
        <v>94</v>
      </c>
      <c r="I28" s="178"/>
      <c r="J28" s="186">
        <v>26.85</v>
      </c>
      <c r="K28" s="190">
        <v>43</v>
      </c>
      <c r="L28" s="180">
        <v>0.7</v>
      </c>
      <c r="M28" s="180">
        <f t="shared" si="0"/>
        <v>808.18499999999995</v>
      </c>
      <c r="N28" s="181">
        <f t="shared" si="1"/>
        <v>808.18499999999995</v>
      </c>
      <c r="O28" s="135"/>
    </row>
    <row r="29" spans="1:15" s="137" customFormat="1" ht="18.75" customHeight="1" x14ac:dyDescent="0.3">
      <c r="A29" s="132"/>
      <c r="B29" s="133"/>
      <c r="C29" s="192">
        <v>46071</v>
      </c>
      <c r="D29" s="184" t="s">
        <v>108</v>
      </c>
      <c r="E29" s="176" t="s">
        <v>76</v>
      </c>
      <c r="F29" s="185" t="s">
        <v>107</v>
      </c>
      <c r="G29" s="168" t="s">
        <v>78</v>
      </c>
      <c r="H29" s="177" t="s">
        <v>94</v>
      </c>
      <c r="I29" s="178"/>
      <c r="J29" s="186">
        <v>27.06</v>
      </c>
      <c r="K29" s="190">
        <v>43</v>
      </c>
      <c r="L29" s="180">
        <v>0.7</v>
      </c>
      <c r="M29" s="180">
        <f t="shared" si="0"/>
        <v>814.50599999999986</v>
      </c>
      <c r="N29" s="181">
        <f t="shared" si="1"/>
        <v>814.50599999999986</v>
      </c>
      <c r="O29" s="135"/>
    </row>
    <row r="30" spans="1:15" s="137" customFormat="1" ht="18.75" customHeight="1" x14ac:dyDescent="0.3">
      <c r="A30" s="132"/>
      <c r="B30" s="133"/>
      <c r="C30" s="192">
        <v>46071</v>
      </c>
      <c r="D30" s="184" t="s">
        <v>109</v>
      </c>
      <c r="E30" s="176" t="s">
        <v>76</v>
      </c>
      <c r="F30" s="185" t="s">
        <v>101</v>
      </c>
      <c r="G30" s="168" t="s">
        <v>78</v>
      </c>
      <c r="H30" s="177" t="s">
        <v>94</v>
      </c>
      <c r="I30" s="178"/>
      <c r="J30" s="186">
        <v>32.619999999999997</v>
      </c>
      <c r="K30" s="190">
        <v>43</v>
      </c>
      <c r="L30" s="180">
        <v>0.7</v>
      </c>
      <c r="M30" s="180">
        <f t="shared" si="0"/>
        <v>981.86199999999985</v>
      </c>
      <c r="N30" s="181">
        <f t="shared" si="1"/>
        <v>981.86199999999985</v>
      </c>
      <c r="O30" s="135"/>
    </row>
    <row r="31" spans="1:15" s="137" customFormat="1" ht="18.75" customHeight="1" x14ac:dyDescent="0.3">
      <c r="A31" s="132"/>
      <c r="B31" s="133"/>
      <c r="C31" s="192">
        <v>46072</v>
      </c>
      <c r="D31" s="184" t="s">
        <v>110</v>
      </c>
      <c r="E31" s="176" t="s">
        <v>76</v>
      </c>
      <c r="F31" s="184" t="s">
        <v>93</v>
      </c>
      <c r="G31" s="168" t="s">
        <v>78</v>
      </c>
      <c r="H31" s="177" t="s">
        <v>94</v>
      </c>
      <c r="I31" s="178"/>
      <c r="J31" s="189">
        <v>22.7</v>
      </c>
      <c r="K31" s="190">
        <v>42.9</v>
      </c>
      <c r="L31" s="180">
        <v>0.7</v>
      </c>
      <c r="M31" s="180">
        <f t="shared" si="0"/>
        <v>681.68099999999993</v>
      </c>
      <c r="N31" s="181">
        <f t="shared" si="1"/>
        <v>681.68099999999993</v>
      </c>
      <c r="O31" s="135"/>
    </row>
    <row r="32" spans="1:15" s="137" customFormat="1" ht="18.75" customHeight="1" x14ac:dyDescent="0.3">
      <c r="A32" s="132"/>
      <c r="B32" s="133"/>
      <c r="C32" s="192"/>
      <c r="D32" s="184"/>
      <c r="E32" s="176"/>
      <c r="F32" s="184"/>
      <c r="G32" s="168"/>
      <c r="H32" s="177"/>
      <c r="I32" s="178"/>
      <c r="J32" s="189"/>
      <c r="K32" s="190"/>
      <c r="L32" s="180"/>
      <c r="M32" s="180"/>
      <c r="N32" s="181"/>
      <c r="O32" s="135"/>
    </row>
    <row r="33" spans="1:15" s="137" customFormat="1" ht="18.75" customHeight="1" x14ac:dyDescent="0.3">
      <c r="A33" s="132"/>
      <c r="B33" s="133"/>
      <c r="C33" s="192"/>
      <c r="D33" s="184"/>
      <c r="E33" s="176"/>
      <c r="F33" s="184"/>
      <c r="G33" s="168"/>
      <c r="H33" s="177"/>
      <c r="I33" s="178"/>
      <c r="J33" s="189"/>
      <c r="K33" s="190"/>
      <c r="L33" s="180"/>
      <c r="M33" s="180"/>
      <c r="N33" s="181"/>
      <c r="O33" s="135"/>
    </row>
    <row r="34" spans="1:15" s="137" customFormat="1" ht="18.75" customHeight="1" thickBot="1" x14ac:dyDescent="0.35">
      <c r="A34" s="132"/>
      <c r="B34" s="133"/>
      <c r="C34" s="194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6"/>
      <c r="O34" s="135"/>
    </row>
    <row r="35" spans="1:15" s="137" customFormat="1" ht="18.75" customHeight="1" thickBot="1" x14ac:dyDescent="0.35">
      <c r="A35" s="132"/>
      <c r="B35" s="133"/>
      <c r="C35" s="197"/>
      <c r="D35" s="198"/>
      <c r="E35" s="199"/>
      <c r="F35" s="198"/>
      <c r="G35" s="200"/>
      <c r="H35" s="201"/>
      <c r="I35" s="202"/>
      <c r="J35" s="203">
        <f>SUM(J10:J34)</f>
        <v>522.33000000000004</v>
      </c>
      <c r="K35" s="204">
        <f>M35/J35/L35</f>
        <v>44.668772615013488</v>
      </c>
      <c r="L35" s="205">
        <v>0.7</v>
      </c>
      <c r="M35" s="206">
        <f>SUM(M10:M34)</f>
        <v>16332.287999999999</v>
      </c>
      <c r="N35" s="207">
        <f>J35*K35*L35</f>
        <v>16332.287999999997</v>
      </c>
      <c r="O35" s="135"/>
    </row>
    <row r="36" spans="1:15" s="137" customFormat="1" ht="18.75" customHeight="1" thickBot="1" x14ac:dyDescent="0.3">
      <c r="A36" s="132"/>
      <c r="B36" s="133"/>
      <c r="C36" s="739"/>
      <c r="D36" s="740"/>
      <c r="E36" s="740"/>
      <c r="F36" s="740"/>
      <c r="G36" s="740"/>
      <c r="H36" s="740"/>
      <c r="I36" s="740"/>
      <c r="J36" s="740"/>
      <c r="K36" s="740"/>
      <c r="L36" s="740"/>
      <c r="M36" s="740"/>
      <c r="N36" s="741"/>
      <c r="O36" s="135"/>
    </row>
    <row r="37" spans="1:15" s="137" customFormat="1" ht="18.75" customHeight="1" thickBot="1" x14ac:dyDescent="0.35">
      <c r="A37" s="132"/>
      <c r="B37" s="133"/>
      <c r="C37" s="216" t="s">
        <v>111</v>
      </c>
      <c r="D37" s="217"/>
      <c r="E37" s="217"/>
      <c r="F37" s="217"/>
      <c r="G37" s="217"/>
      <c r="H37" s="218"/>
      <c r="I37" s="218"/>
      <c r="J37" s="218"/>
      <c r="K37" s="219"/>
      <c r="L37" s="220"/>
      <c r="M37" s="221"/>
      <c r="N37" s="221"/>
      <c r="O37" s="135"/>
    </row>
    <row r="38" spans="1:15" s="137" customFormat="1" ht="18.75" customHeight="1" thickBot="1" x14ac:dyDescent="0.35">
      <c r="A38" s="132"/>
      <c r="B38" s="133"/>
      <c r="C38" s="222"/>
      <c r="D38" s="223" t="s">
        <v>74</v>
      </c>
      <c r="E38" s="224"/>
      <c r="F38" s="224"/>
      <c r="G38" s="225"/>
      <c r="H38" s="226"/>
      <c r="I38" s="227"/>
      <c r="J38" s="228"/>
      <c r="K38" s="229"/>
      <c r="L38" s="230"/>
      <c r="M38" s="231"/>
      <c r="N38" s="232"/>
      <c r="O38" s="135"/>
    </row>
    <row r="39" spans="1:15" s="137" customFormat="1" ht="18.75" customHeight="1" x14ac:dyDescent="0.3">
      <c r="A39" s="132"/>
      <c r="B39" s="133"/>
      <c r="C39" s="233">
        <v>46076</v>
      </c>
      <c r="D39" s="208" t="s">
        <v>112</v>
      </c>
      <c r="E39" s="209" t="s">
        <v>113</v>
      </c>
      <c r="F39" s="234" t="s">
        <v>83</v>
      </c>
      <c r="G39" s="210" t="s">
        <v>78</v>
      </c>
      <c r="H39" s="211" t="s">
        <v>94</v>
      </c>
      <c r="I39" s="212"/>
      <c r="J39" s="213">
        <v>20.85</v>
      </c>
      <c r="K39" s="214">
        <v>62.6</v>
      </c>
      <c r="L39" s="235">
        <v>0.7</v>
      </c>
      <c r="M39" s="215">
        <f>J39*K39*L39</f>
        <v>913.64699999999993</v>
      </c>
      <c r="N39" s="236">
        <f>M39</f>
        <v>913.64699999999993</v>
      </c>
      <c r="O39" s="135"/>
    </row>
    <row r="40" spans="1:15" s="137" customFormat="1" ht="18.75" customHeight="1" x14ac:dyDescent="0.35">
      <c r="A40" s="132"/>
      <c r="B40" s="133"/>
      <c r="C40" s="237">
        <v>46076</v>
      </c>
      <c r="D40" s="238" t="s">
        <v>114</v>
      </c>
      <c r="E40" s="176" t="s">
        <v>113</v>
      </c>
      <c r="F40" s="239" t="s">
        <v>89</v>
      </c>
      <c r="G40" s="168" t="s">
        <v>78</v>
      </c>
      <c r="H40" s="177" t="s">
        <v>94</v>
      </c>
      <c r="I40" s="178"/>
      <c r="J40" s="189">
        <v>21.65</v>
      </c>
      <c r="K40" s="240">
        <v>31.5</v>
      </c>
      <c r="L40" s="241">
        <v>0.7</v>
      </c>
      <c r="M40" s="181">
        <f t="shared" ref="M40:M69" si="2">J40*K40*L40</f>
        <v>477.38249999999988</v>
      </c>
      <c r="N40" s="242">
        <f>M40</f>
        <v>477.38249999999988</v>
      </c>
      <c r="O40" s="135"/>
    </row>
    <row r="41" spans="1:15" s="137" customFormat="1" ht="18.75" customHeight="1" x14ac:dyDescent="0.35">
      <c r="A41" s="132"/>
      <c r="B41" s="133"/>
      <c r="C41" s="237">
        <v>46076</v>
      </c>
      <c r="D41" s="238" t="s">
        <v>115</v>
      </c>
      <c r="E41" s="176" t="s">
        <v>113</v>
      </c>
      <c r="F41" s="239" t="s">
        <v>85</v>
      </c>
      <c r="G41" s="168" t="s">
        <v>78</v>
      </c>
      <c r="H41" s="177" t="s">
        <v>94</v>
      </c>
      <c r="I41" s="178"/>
      <c r="J41" s="189">
        <v>21.88</v>
      </c>
      <c r="K41" s="190">
        <v>62.6</v>
      </c>
      <c r="L41" s="241">
        <v>0.7</v>
      </c>
      <c r="M41" s="181">
        <f t="shared" si="2"/>
        <v>958.7815999999998</v>
      </c>
      <c r="N41" s="242">
        <f t="shared" ref="N41:N69" si="3">M41</f>
        <v>958.7815999999998</v>
      </c>
      <c r="O41" s="135"/>
    </row>
    <row r="42" spans="1:15" s="137" customFormat="1" ht="18.75" customHeight="1" x14ac:dyDescent="0.35">
      <c r="A42" s="132"/>
      <c r="B42" s="133"/>
      <c r="C42" s="237">
        <v>46076</v>
      </c>
      <c r="D42" s="238" t="s">
        <v>116</v>
      </c>
      <c r="E42" s="176" t="s">
        <v>113</v>
      </c>
      <c r="F42" s="239" t="s">
        <v>117</v>
      </c>
      <c r="G42" s="168" t="s">
        <v>78</v>
      </c>
      <c r="H42" s="177" t="s">
        <v>94</v>
      </c>
      <c r="I42" s="178"/>
      <c r="J42" s="189">
        <v>22.05</v>
      </c>
      <c r="K42" s="190">
        <v>31.5</v>
      </c>
      <c r="L42" s="241">
        <v>0.7</v>
      </c>
      <c r="M42" s="181">
        <f t="shared" si="2"/>
        <v>486.20249999999999</v>
      </c>
      <c r="N42" s="242">
        <f t="shared" si="3"/>
        <v>486.20249999999999</v>
      </c>
      <c r="O42" s="135"/>
    </row>
    <row r="43" spans="1:15" s="137" customFormat="1" ht="18.75" customHeight="1" x14ac:dyDescent="0.35">
      <c r="A43" s="132"/>
      <c r="B43" s="133"/>
      <c r="C43" s="237">
        <v>46076</v>
      </c>
      <c r="D43" s="238" t="s">
        <v>118</v>
      </c>
      <c r="E43" s="176" t="s">
        <v>113</v>
      </c>
      <c r="F43" s="239" t="s">
        <v>77</v>
      </c>
      <c r="G43" s="168" t="s">
        <v>78</v>
      </c>
      <c r="H43" s="177" t="s">
        <v>94</v>
      </c>
      <c r="I43" s="178"/>
      <c r="J43" s="189">
        <v>23.15</v>
      </c>
      <c r="K43" s="190">
        <v>31.5</v>
      </c>
      <c r="L43" s="241">
        <v>0.7</v>
      </c>
      <c r="M43" s="181">
        <f t="shared" si="2"/>
        <v>510.45749999999992</v>
      </c>
      <c r="N43" s="242">
        <f t="shared" si="3"/>
        <v>510.45749999999992</v>
      </c>
      <c r="O43" s="135"/>
    </row>
    <row r="44" spans="1:15" s="137" customFormat="1" ht="18.75" customHeight="1" x14ac:dyDescent="0.35">
      <c r="A44" s="132"/>
      <c r="B44" s="133"/>
      <c r="C44" s="237">
        <v>46076</v>
      </c>
      <c r="D44" s="238" t="s">
        <v>119</v>
      </c>
      <c r="E44" s="176" t="s">
        <v>113</v>
      </c>
      <c r="F44" s="239" t="s">
        <v>120</v>
      </c>
      <c r="G44" s="168" t="s">
        <v>78</v>
      </c>
      <c r="H44" s="177" t="s">
        <v>94</v>
      </c>
      <c r="I44" s="178"/>
      <c r="J44" s="189">
        <v>23.25</v>
      </c>
      <c r="K44" s="190">
        <v>62.6</v>
      </c>
      <c r="L44" s="241">
        <v>0.7</v>
      </c>
      <c r="M44" s="181">
        <f t="shared" si="2"/>
        <v>1018.8149999999999</v>
      </c>
      <c r="N44" s="242">
        <f t="shared" si="3"/>
        <v>1018.8149999999999</v>
      </c>
      <c r="O44" s="135"/>
    </row>
    <row r="45" spans="1:15" s="137" customFormat="1" ht="18.75" customHeight="1" x14ac:dyDescent="0.35">
      <c r="A45" s="132"/>
      <c r="B45" s="133"/>
      <c r="C45" s="237">
        <v>46076</v>
      </c>
      <c r="D45" s="238" t="s">
        <v>121</v>
      </c>
      <c r="E45" s="176" t="s">
        <v>113</v>
      </c>
      <c r="F45" s="239" t="s">
        <v>122</v>
      </c>
      <c r="G45" s="168" t="s">
        <v>78</v>
      </c>
      <c r="H45" s="177" t="s">
        <v>94</v>
      </c>
      <c r="I45" s="178"/>
      <c r="J45" s="189">
        <v>23.85</v>
      </c>
      <c r="K45" s="190">
        <v>62.6</v>
      </c>
      <c r="L45" s="241">
        <v>0.7</v>
      </c>
      <c r="M45" s="181">
        <f t="shared" si="2"/>
        <v>1045.1070000000002</v>
      </c>
      <c r="N45" s="242">
        <f t="shared" si="3"/>
        <v>1045.1070000000002</v>
      </c>
      <c r="O45" s="135"/>
    </row>
    <row r="46" spans="1:15" s="137" customFormat="1" ht="18.75" customHeight="1" x14ac:dyDescent="0.35">
      <c r="A46" s="132"/>
      <c r="B46" s="133"/>
      <c r="C46" s="237">
        <v>46077</v>
      </c>
      <c r="D46" s="238" t="s">
        <v>123</v>
      </c>
      <c r="E46" s="176" t="s">
        <v>113</v>
      </c>
      <c r="F46" s="239" t="s">
        <v>124</v>
      </c>
      <c r="G46" s="168" t="s">
        <v>78</v>
      </c>
      <c r="H46" s="177" t="s">
        <v>94</v>
      </c>
      <c r="I46" s="178"/>
      <c r="J46" s="189">
        <v>21.1</v>
      </c>
      <c r="K46" s="190">
        <v>32.5</v>
      </c>
      <c r="L46" s="241">
        <v>0.7</v>
      </c>
      <c r="M46" s="181">
        <f t="shared" si="2"/>
        <v>480.02499999999998</v>
      </c>
      <c r="N46" s="242">
        <f t="shared" si="3"/>
        <v>480.02499999999998</v>
      </c>
      <c r="O46" s="135"/>
    </row>
    <row r="47" spans="1:15" s="137" customFormat="1" ht="18.75" customHeight="1" x14ac:dyDescent="0.35">
      <c r="A47" s="132"/>
      <c r="B47" s="133"/>
      <c r="C47" s="237">
        <v>46077</v>
      </c>
      <c r="D47" s="238" t="s">
        <v>125</v>
      </c>
      <c r="E47" s="176" t="s">
        <v>113</v>
      </c>
      <c r="F47" s="239" t="s">
        <v>77</v>
      </c>
      <c r="G47" s="168" t="s">
        <v>78</v>
      </c>
      <c r="H47" s="177" t="s">
        <v>94</v>
      </c>
      <c r="I47" s="178"/>
      <c r="J47" s="189">
        <v>22.85</v>
      </c>
      <c r="K47" s="190">
        <v>32.5</v>
      </c>
      <c r="L47" s="241">
        <v>0.7</v>
      </c>
      <c r="M47" s="181">
        <f t="shared" si="2"/>
        <v>519.83749999999998</v>
      </c>
      <c r="N47" s="242">
        <f t="shared" si="3"/>
        <v>519.83749999999998</v>
      </c>
      <c r="O47" s="135"/>
    </row>
    <row r="48" spans="1:15" s="137" customFormat="1" ht="18.75" customHeight="1" x14ac:dyDescent="0.35">
      <c r="A48" s="132"/>
      <c r="B48" s="133"/>
      <c r="C48" s="237">
        <v>46077</v>
      </c>
      <c r="D48" s="238" t="s">
        <v>126</v>
      </c>
      <c r="E48" s="176" t="s">
        <v>113</v>
      </c>
      <c r="F48" s="239" t="s">
        <v>127</v>
      </c>
      <c r="G48" s="168" t="s">
        <v>78</v>
      </c>
      <c r="H48" s="177" t="s">
        <v>94</v>
      </c>
      <c r="I48" s="178"/>
      <c r="J48" s="189">
        <v>23.02</v>
      </c>
      <c r="K48" s="190">
        <v>63.5</v>
      </c>
      <c r="L48" s="241">
        <v>0.7</v>
      </c>
      <c r="M48" s="181">
        <f t="shared" si="2"/>
        <v>1023.2389999999999</v>
      </c>
      <c r="N48" s="242">
        <f t="shared" si="3"/>
        <v>1023.2389999999999</v>
      </c>
      <c r="O48" s="135"/>
    </row>
    <row r="49" spans="1:15" s="137" customFormat="1" ht="18.75" customHeight="1" x14ac:dyDescent="0.35">
      <c r="A49" s="132"/>
      <c r="B49" s="133"/>
      <c r="C49" s="237">
        <v>46077</v>
      </c>
      <c r="D49" s="238" t="s">
        <v>128</v>
      </c>
      <c r="E49" s="176" t="s">
        <v>113</v>
      </c>
      <c r="F49" s="239" t="s">
        <v>97</v>
      </c>
      <c r="G49" s="168" t="s">
        <v>78</v>
      </c>
      <c r="H49" s="177" t="s">
        <v>94</v>
      </c>
      <c r="I49" s="178"/>
      <c r="J49" s="189">
        <v>24.15</v>
      </c>
      <c r="K49" s="190">
        <v>32.5</v>
      </c>
      <c r="L49" s="241">
        <v>0.7</v>
      </c>
      <c r="M49" s="181">
        <f t="shared" si="2"/>
        <v>549.41249999999991</v>
      </c>
      <c r="N49" s="242">
        <f t="shared" si="3"/>
        <v>549.41249999999991</v>
      </c>
      <c r="O49" s="135"/>
    </row>
    <row r="50" spans="1:15" s="137" customFormat="1" ht="18.75" customHeight="1" x14ac:dyDescent="0.35">
      <c r="A50" s="132"/>
      <c r="B50" s="133"/>
      <c r="C50" s="237">
        <v>46077</v>
      </c>
      <c r="D50" s="238" t="s">
        <v>129</v>
      </c>
      <c r="E50" s="176" t="s">
        <v>113</v>
      </c>
      <c r="F50" s="239" t="s">
        <v>99</v>
      </c>
      <c r="G50" s="168" t="s">
        <v>78</v>
      </c>
      <c r="H50" s="177" t="s">
        <v>94</v>
      </c>
      <c r="I50" s="178"/>
      <c r="J50" s="189">
        <v>25.65</v>
      </c>
      <c r="K50" s="190">
        <v>63.5</v>
      </c>
      <c r="L50" s="241">
        <v>0.7</v>
      </c>
      <c r="M50" s="181">
        <f t="shared" si="2"/>
        <v>1140.1424999999999</v>
      </c>
      <c r="N50" s="242">
        <f t="shared" si="3"/>
        <v>1140.1424999999999</v>
      </c>
      <c r="O50" s="135"/>
    </row>
    <row r="51" spans="1:15" s="137" customFormat="1" ht="18.75" customHeight="1" x14ac:dyDescent="0.35">
      <c r="A51" s="132"/>
      <c r="B51" s="133"/>
      <c r="C51" s="237">
        <v>46077</v>
      </c>
      <c r="D51" s="238" t="s">
        <v>130</v>
      </c>
      <c r="E51" s="176" t="s">
        <v>113</v>
      </c>
      <c r="F51" s="239" t="s">
        <v>131</v>
      </c>
      <c r="G51" s="168" t="s">
        <v>78</v>
      </c>
      <c r="H51" s="177" t="s">
        <v>94</v>
      </c>
      <c r="I51" s="178"/>
      <c r="J51" s="189">
        <v>26.6</v>
      </c>
      <c r="K51" s="190">
        <v>63.5</v>
      </c>
      <c r="L51" s="241">
        <v>0.7</v>
      </c>
      <c r="M51" s="181">
        <f t="shared" si="2"/>
        <v>1182.3700000000001</v>
      </c>
      <c r="N51" s="242">
        <f t="shared" si="3"/>
        <v>1182.3700000000001</v>
      </c>
      <c r="O51" s="135"/>
    </row>
    <row r="52" spans="1:15" s="137" customFormat="1" ht="18.75" customHeight="1" x14ac:dyDescent="0.35">
      <c r="A52" s="132"/>
      <c r="B52" s="133"/>
      <c r="C52" s="237">
        <v>46078</v>
      </c>
      <c r="D52" s="238" t="s">
        <v>132</v>
      </c>
      <c r="E52" s="176" t="s">
        <v>113</v>
      </c>
      <c r="F52" s="239" t="s">
        <v>133</v>
      </c>
      <c r="G52" s="168" t="s">
        <v>78</v>
      </c>
      <c r="H52" s="177" t="s">
        <v>94</v>
      </c>
      <c r="I52" s="178"/>
      <c r="J52" s="189">
        <v>22.9</v>
      </c>
      <c r="K52" s="190">
        <v>33</v>
      </c>
      <c r="L52" s="241">
        <v>0.7</v>
      </c>
      <c r="M52" s="181">
        <f t="shared" si="2"/>
        <v>528.9899999999999</v>
      </c>
      <c r="N52" s="242">
        <f t="shared" si="3"/>
        <v>528.9899999999999</v>
      </c>
      <c r="O52" s="135"/>
    </row>
    <row r="53" spans="1:15" s="137" customFormat="1" ht="18.75" customHeight="1" x14ac:dyDescent="0.35">
      <c r="A53" s="132"/>
      <c r="B53" s="133"/>
      <c r="C53" s="237">
        <v>46078</v>
      </c>
      <c r="D53" s="238" t="s">
        <v>134</v>
      </c>
      <c r="E53" s="176" t="s">
        <v>113</v>
      </c>
      <c r="F53" s="239" t="s">
        <v>101</v>
      </c>
      <c r="G53" s="168" t="s">
        <v>78</v>
      </c>
      <c r="H53" s="177" t="s">
        <v>94</v>
      </c>
      <c r="I53" s="178"/>
      <c r="J53" s="189">
        <v>31.8</v>
      </c>
      <c r="K53" s="190">
        <v>33</v>
      </c>
      <c r="L53" s="241">
        <v>0.7</v>
      </c>
      <c r="M53" s="181">
        <f t="shared" si="2"/>
        <v>734.58</v>
      </c>
      <c r="N53" s="242">
        <f t="shared" si="3"/>
        <v>734.58</v>
      </c>
      <c r="O53" s="135"/>
    </row>
    <row r="54" spans="1:15" s="137" customFormat="1" ht="18.75" customHeight="1" x14ac:dyDescent="0.35">
      <c r="A54" s="132"/>
      <c r="B54" s="133"/>
      <c r="C54" s="237">
        <v>46078</v>
      </c>
      <c r="D54" s="238" t="s">
        <v>135</v>
      </c>
      <c r="E54" s="176" t="s">
        <v>113</v>
      </c>
      <c r="F54" s="239" t="s">
        <v>136</v>
      </c>
      <c r="G54" s="168" t="s">
        <v>78</v>
      </c>
      <c r="H54" s="177" t="s">
        <v>94</v>
      </c>
      <c r="I54" s="178"/>
      <c r="J54" s="189">
        <v>19.850000000000001</v>
      </c>
      <c r="K54" s="190">
        <v>33</v>
      </c>
      <c r="L54" s="241">
        <v>0.7</v>
      </c>
      <c r="M54" s="181">
        <f t="shared" si="2"/>
        <v>458.53500000000003</v>
      </c>
      <c r="N54" s="242">
        <f t="shared" si="3"/>
        <v>458.53500000000003</v>
      </c>
      <c r="O54" s="135"/>
    </row>
    <row r="55" spans="1:15" s="137" customFormat="1" ht="18.75" customHeight="1" x14ac:dyDescent="0.35">
      <c r="A55" s="132"/>
      <c r="B55" s="133"/>
      <c r="C55" s="237">
        <v>46078</v>
      </c>
      <c r="D55" s="238" t="s">
        <v>137</v>
      </c>
      <c r="E55" s="176" t="s">
        <v>113</v>
      </c>
      <c r="F55" s="239" t="s">
        <v>138</v>
      </c>
      <c r="G55" s="168" t="s">
        <v>78</v>
      </c>
      <c r="H55" s="177" t="s">
        <v>94</v>
      </c>
      <c r="I55" s="178"/>
      <c r="J55" s="189">
        <v>22.7</v>
      </c>
      <c r="K55" s="190">
        <v>33</v>
      </c>
      <c r="L55" s="241">
        <v>0.7</v>
      </c>
      <c r="M55" s="181">
        <f t="shared" si="2"/>
        <v>524.37</v>
      </c>
      <c r="N55" s="242">
        <f t="shared" si="3"/>
        <v>524.37</v>
      </c>
      <c r="O55" s="135"/>
    </row>
    <row r="56" spans="1:15" s="137" customFormat="1" ht="18.75" customHeight="1" x14ac:dyDescent="0.35">
      <c r="A56" s="132"/>
      <c r="B56" s="133"/>
      <c r="C56" s="237">
        <v>46079</v>
      </c>
      <c r="D56" s="238" t="s">
        <v>139</v>
      </c>
      <c r="E56" s="176" t="s">
        <v>113</v>
      </c>
      <c r="F56" s="239" t="s">
        <v>85</v>
      </c>
      <c r="G56" s="168" t="s">
        <v>78</v>
      </c>
      <c r="H56" s="177" t="s">
        <v>94</v>
      </c>
      <c r="I56" s="178"/>
      <c r="J56" s="189">
        <v>20.27</v>
      </c>
      <c r="K56" s="190">
        <v>65.7</v>
      </c>
      <c r="L56" s="241">
        <v>0.7</v>
      </c>
      <c r="M56" s="181">
        <f t="shared" si="2"/>
        <v>932.21729999999991</v>
      </c>
      <c r="N56" s="242">
        <f t="shared" si="3"/>
        <v>932.21729999999991</v>
      </c>
      <c r="O56" s="135"/>
    </row>
    <row r="57" spans="1:15" s="137" customFormat="1" ht="18.75" customHeight="1" x14ac:dyDescent="0.35">
      <c r="A57" s="132"/>
      <c r="B57" s="133"/>
      <c r="C57" s="237">
        <v>46079</v>
      </c>
      <c r="D57" s="238" t="s">
        <v>140</v>
      </c>
      <c r="E57" s="176" t="s">
        <v>113</v>
      </c>
      <c r="F57" s="239" t="s">
        <v>117</v>
      </c>
      <c r="G57" s="168" t="s">
        <v>78</v>
      </c>
      <c r="H57" s="177" t="s">
        <v>94</v>
      </c>
      <c r="I57" s="178"/>
      <c r="J57" s="189">
        <v>20.75</v>
      </c>
      <c r="K57" s="190">
        <v>65.7</v>
      </c>
      <c r="L57" s="241">
        <v>0.7</v>
      </c>
      <c r="M57" s="181">
        <f t="shared" si="2"/>
        <v>954.29250000000002</v>
      </c>
      <c r="N57" s="242">
        <f t="shared" si="3"/>
        <v>954.29250000000002</v>
      </c>
      <c r="O57" s="135"/>
    </row>
    <row r="58" spans="1:15" s="137" customFormat="1" ht="18.75" customHeight="1" x14ac:dyDescent="0.35">
      <c r="A58" s="132"/>
      <c r="B58" s="133"/>
      <c r="C58" s="237">
        <v>46079</v>
      </c>
      <c r="D58" s="238" t="s">
        <v>141</v>
      </c>
      <c r="E58" s="176" t="s">
        <v>113</v>
      </c>
      <c r="F58" s="243" t="s">
        <v>83</v>
      </c>
      <c r="G58" s="168" t="s">
        <v>78</v>
      </c>
      <c r="H58" s="177" t="s">
        <v>94</v>
      </c>
      <c r="I58" s="178"/>
      <c r="J58" s="189">
        <v>20.85</v>
      </c>
      <c r="K58" s="190">
        <v>65.7</v>
      </c>
      <c r="L58" s="241">
        <v>0.7</v>
      </c>
      <c r="M58" s="181">
        <f t="shared" si="2"/>
        <v>958.89150000000006</v>
      </c>
      <c r="N58" s="242">
        <f t="shared" si="3"/>
        <v>958.89150000000006</v>
      </c>
      <c r="O58" s="135"/>
    </row>
    <row r="59" spans="1:15" s="137" customFormat="1" ht="18.75" customHeight="1" x14ac:dyDescent="0.35">
      <c r="A59" s="132"/>
      <c r="B59" s="133"/>
      <c r="C59" s="237">
        <v>46079</v>
      </c>
      <c r="D59" s="238" t="s">
        <v>142</v>
      </c>
      <c r="E59" s="176" t="s">
        <v>113</v>
      </c>
      <c r="F59" s="239" t="s">
        <v>77</v>
      </c>
      <c r="G59" s="168" t="s">
        <v>78</v>
      </c>
      <c r="H59" s="177" t="s">
        <v>94</v>
      </c>
      <c r="I59" s="178"/>
      <c r="J59" s="189">
        <v>22.55</v>
      </c>
      <c r="K59" s="190">
        <v>33.5</v>
      </c>
      <c r="L59" s="241">
        <v>0.7</v>
      </c>
      <c r="M59" s="181">
        <f t="shared" si="2"/>
        <v>528.79750000000001</v>
      </c>
      <c r="N59" s="242">
        <f t="shared" si="3"/>
        <v>528.79750000000001</v>
      </c>
      <c r="O59" s="135"/>
    </row>
    <row r="60" spans="1:15" s="137" customFormat="1" ht="18.75" customHeight="1" x14ac:dyDescent="0.35">
      <c r="A60" s="132"/>
      <c r="B60" s="133"/>
      <c r="C60" s="237">
        <v>46079</v>
      </c>
      <c r="D60" s="238" t="s">
        <v>143</v>
      </c>
      <c r="E60" s="176" t="s">
        <v>113</v>
      </c>
      <c r="F60" s="239" t="s">
        <v>122</v>
      </c>
      <c r="G60" s="168" t="s">
        <v>78</v>
      </c>
      <c r="H60" s="177" t="s">
        <v>94</v>
      </c>
      <c r="I60" s="178"/>
      <c r="J60" s="189">
        <v>24.2</v>
      </c>
      <c r="K60" s="190">
        <v>65.7</v>
      </c>
      <c r="L60" s="241">
        <v>0.7</v>
      </c>
      <c r="M60" s="181">
        <f t="shared" si="2"/>
        <v>1112.9579999999999</v>
      </c>
      <c r="N60" s="242">
        <f t="shared" si="3"/>
        <v>1112.9579999999999</v>
      </c>
      <c r="O60" s="135"/>
    </row>
    <row r="61" spans="1:15" s="137" customFormat="1" ht="18.75" customHeight="1" x14ac:dyDescent="0.35">
      <c r="A61" s="132"/>
      <c r="B61" s="133"/>
      <c r="C61" s="237">
        <v>46079</v>
      </c>
      <c r="D61" s="238" t="s">
        <v>144</v>
      </c>
      <c r="E61" s="176" t="s">
        <v>113</v>
      </c>
      <c r="F61" s="239" t="s">
        <v>77</v>
      </c>
      <c r="G61" s="168" t="s">
        <v>78</v>
      </c>
      <c r="H61" s="177" t="s">
        <v>94</v>
      </c>
      <c r="I61" s="178"/>
      <c r="J61" s="189">
        <v>25</v>
      </c>
      <c r="K61" s="190">
        <v>33.5</v>
      </c>
      <c r="L61" s="241">
        <v>0.7</v>
      </c>
      <c r="M61" s="181">
        <f t="shared" si="2"/>
        <v>586.25</v>
      </c>
      <c r="N61" s="242">
        <f t="shared" si="3"/>
        <v>586.25</v>
      </c>
      <c r="O61" s="135"/>
    </row>
    <row r="62" spans="1:15" s="137" customFormat="1" ht="18.75" customHeight="1" x14ac:dyDescent="0.35">
      <c r="A62" s="132"/>
      <c r="B62" s="133"/>
      <c r="C62" s="237">
        <v>46080</v>
      </c>
      <c r="D62" s="238" t="s">
        <v>145</v>
      </c>
      <c r="E62" s="176" t="s">
        <v>113</v>
      </c>
      <c r="F62" s="239" t="s">
        <v>146</v>
      </c>
      <c r="G62" s="168" t="s">
        <v>78</v>
      </c>
      <c r="H62" s="177" t="s">
        <v>94</v>
      </c>
      <c r="I62" s="178"/>
      <c r="J62" s="189">
        <v>22.25</v>
      </c>
      <c r="K62" s="190">
        <v>33.5</v>
      </c>
      <c r="L62" s="241">
        <v>0.7</v>
      </c>
      <c r="M62" s="181">
        <f t="shared" si="2"/>
        <v>521.76249999999993</v>
      </c>
      <c r="N62" s="242">
        <f t="shared" si="3"/>
        <v>521.76249999999993</v>
      </c>
      <c r="O62" s="135"/>
    </row>
    <row r="63" spans="1:15" s="137" customFormat="1" ht="18.75" customHeight="1" x14ac:dyDescent="0.35">
      <c r="A63" s="132"/>
      <c r="B63" s="133"/>
      <c r="C63" s="237">
        <v>46080</v>
      </c>
      <c r="D63" s="238" t="s">
        <v>147</v>
      </c>
      <c r="E63" s="176" t="s">
        <v>113</v>
      </c>
      <c r="F63" s="239" t="s">
        <v>77</v>
      </c>
      <c r="G63" s="168" t="s">
        <v>78</v>
      </c>
      <c r="H63" s="177" t="s">
        <v>94</v>
      </c>
      <c r="I63" s="178"/>
      <c r="J63" s="189">
        <v>22.8</v>
      </c>
      <c r="K63" s="190">
        <v>33.5</v>
      </c>
      <c r="L63" s="241">
        <v>0.7</v>
      </c>
      <c r="M63" s="181">
        <f t="shared" si="2"/>
        <v>534.66</v>
      </c>
      <c r="N63" s="242">
        <f t="shared" si="3"/>
        <v>534.66</v>
      </c>
      <c r="O63" s="135"/>
    </row>
    <row r="64" spans="1:15" s="137" customFormat="1" ht="18.75" customHeight="1" x14ac:dyDescent="0.35">
      <c r="A64" s="132"/>
      <c r="B64" s="133"/>
      <c r="C64" s="237">
        <v>46080</v>
      </c>
      <c r="D64" s="238" t="s">
        <v>148</v>
      </c>
      <c r="E64" s="176" t="s">
        <v>113</v>
      </c>
      <c r="F64" s="239" t="s">
        <v>93</v>
      </c>
      <c r="G64" s="168" t="s">
        <v>78</v>
      </c>
      <c r="H64" s="177" t="s">
        <v>94</v>
      </c>
      <c r="I64" s="178"/>
      <c r="J64" s="189">
        <v>23.1</v>
      </c>
      <c r="K64" s="190">
        <v>67.3</v>
      </c>
      <c r="L64" s="241">
        <v>0.7</v>
      </c>
      <c r="M64" s="181">
        <f t="shared" si="2"/>
        <v>1088.241</v>
      </c>
      <c r="N64" s="242">
        <f t="shared" si="3"/>
        <v>1088.241</v>
      </c>
      <c r="O64" s="135"/>
    </row>
    <row r="65" spans="1:15" s="137" customFormat="1" ht="18.75" customHeight="1" x14ac:dyDescent="0.35">
      <c r="A65" s="132"/>
      <c r="B65" s="133"/>
      <c r="C65" s="237">
        <v>46080</v>
      </c>
      <c r="D65" s="238" t="s">
        <v>149</v>
      </c>
      <c r="E65" s="176" t="s">
        <v>113</v>
      </c>
      <c r="F65" s="239" t="s">
        <v>127</v>
      </c>
      <c r="G65" s="168" t="s">
        <v>78</v>
      </c>
      <c r="H65" s="177" t="s">
        <v>94</v>
      </c>
      <c r="I65" s="178"/>
      <c r="J65" s="189">
        <v>23.48</v>
      </c>
      <c r="K65" s="190">
        <v>67.3</v>
      </c>
      <c r="L65" s="241">
        <v>0.7</v>
      </c>
      <c r="M65" s="181">
        <f t="shared" si="2"/>
        <v>1106.1427999999999</v>
      </c>
      <c r="N65" s="242">
        <f t="shared" si="3"/>
        <v>1106.1427999999999</v>
      </c>
      <c r="O65" s="135"/>
    </row>
    <row r="66" spans="1:15" s="137" customFormat="1" ht="18.75" customHeight="1" x14ac:dyDescent="0.35">
      <c r="A66" s="132"/>
      <c r="B66" s="133"/>
      <c r="C66" s="237">
        <v>46080</v>
      </c>
      <c r="D66" s="238" t="s">
        <v>150</v>
      </c>
      <c r="E66" s="176" t="s">
        <v>113</v>
      </c>
      <c r="F66" s="239" t="s">
        <v>93</v>
      </c>
      <c r="G66" s="168" t="s">
        <v>78</v>
      </c>
      <c r="H66" s="177" t="s">
        <v>94</v>
      </c>
      <c r="I66" s="178"/>
      <c r="J66" s="189">
        <v>23.9</v>
      </c>
      <c r="K66" s="190">
        <v>33.5</v>
      </c>
      <c r="L66" s="241">
        <v>0.7</v>
      </c>
      <c r="M66" s="181">
        <f t="shared" si="2"/>
        <v>560.45499999999993</v>
      </c>
      <c r="N66" s="242">
        <f t="shared" si="3"/>
        <v>560.45499999999993</v>
      </c>
      <c r="O66" s="135"/>
    </row>
    <row r="67" spans="1:15" s="137" customFormat="1" ht="18.75" customHeight="1" x14ac:dyDescent="0.35">
      <c r="A67" s="132"/>
      <c r="B67" s="133"/>
      <c r="C67" s="237">
        <v>46080</v>
      </c>
      <c r="D67" s="238" t="s">
        <v>151</v>
      </c>
      <c r="E67" s="176" t="s">
        <v>113</v>
      </c>
      <c r="F67" s="239" t="s">
        <v>120</v>
      </c>
      <c r="G67" s="168" t="s">
        <v>78</v>
      </c>
      <c r="H67" s="177" t="s">
        <v>94</v>
      </c>
      <c r="I67" s="178"/>
      <c r="J67" s="189">
        <v>24.3</v>
      </c>
      <c r="K67" s="190">
        <v>67.3</v>
      </c>
      <c r="L67" s="241">
        <v>0.7</v>
      </c>
      <c r="M67" s="181">
        <f t="shared" si="2"/>
        <v>1144.7729999999999</v>
      </c>
      <c r="N67" s="242">
        <f t="shared" si="3"/>
        <v>1144.7729999999999</v>
      </c>
      <c r="O67" s="135"/>
    </row>
    <row r="68" spans="1:15" s="137" customFormat="1" ht="18.75" customHeight="1" x14ac:dyDescent="0.35">
      <c r="A68" s="132"/>
      <c r="B68" s="133"/>
      <c r="C68" s="237">
        <v>46080</v>
      </c>
      <c r="D68" s="238" t="s">
        <v>152</v>
      </c>
      <c r="E68" s="176" t="s">
        <v>113</v>
      </c>
      <c r="F68" s="239" t="s">
        <v>131</v>
      </c>
      <c r="G68" s="168" t="s">
        <v>78</v>
      </c>
      <c r="H68" s="177" t="s">
        <v>94</v>
      </c>
      <c r="I68" s="178"/>
      <c r="J68" s="189">
        <v>27.71</v>
      </c>
      <c r="K68" s="190">
        <v>67.3</v>
      </c>
      <c r="L68" s="241">
        <v>0.7</v>
      </c>
      <c r="M68" s="181">
        <f t="shared" si="2"/>
        <v>1305.4180999999999</v>
      </c>
      <c r="N68" s="242">
        <f t="shared" si="3"/>
        <v>1305.4180999999999</v>
      </c>
      <c r="O68" s="135"/>
    </row>
    <row r="69" spans="1:15" s="137" customFormat="1" ht="18.75" customHeight="1" x14ac:dyDescent="0.35">
      <c r="A69" s="132"/>
      <c r="B69" s="133"/>
      <c r="C69" s="237">
        <v>46081</v>
      </c>
      <c r="D69" s="238" t="s">
        <v>153</v>
      </c>
      <c r="E69" s="176" t="s">
        <v>113</v>
      </c>
      <c r="F69" s="239" t="s">
        <v>77</v>
      </c>
      <c r="G69" s="168" t="s">
        <v>78</v>
      </c>
      <c r="H69" s="177" t="s">
        <v>94</v>
      </c>
      <c r="I69" s="178"/>
      <c r="J69" s="189">
        <v>23.65</v>
      </c>
      <c r="K69" s="190">
        <v>67.3</v>
      </c>
      <c r="L69" s="241">
        <v>0.7</v>
      </c>
      <c r="M69" s="181">
        <f t="shared" si="2"/>
        <v>1114.1514999999997</v>
      </c>
      <c r="N69" s="242">
        <f t="shared" si="3"/>
        <v>1114.1514999999997</v>
      </c>
      <c r="O69" s="135"/>
    </row>
    <row r="70" spans="1:15" s="137" customFormat="1" ht="18.75" customHeight="1" thickBot="1" x14ac:dyDescent="0.4">
      <c r="A70" s="132"/>
      <c r="B70" s="133"/>
      <c r="C70" s="244"/>
      <c r="D70" s="245"/>
      <c r="E70" s="246"/>
      <c r="F70" s="247"/>
      <c r="G70" s="248"/>
      <c r="H70" s="249"/>
      <c r="I70" s="250"/>
      <c r="J70" s="251"/>
      <c r="K70" s="252"/>
      <c r="L70" s="253"/>
      <c r="M70" s="254"/>
      <c r="N70" s="255"/>
      <c r="O70" s="135"/>
    </row>
    <row r="71" spans="1:15" s="137" customFormat="1" ht="18.75" customHeight="1" thickBot="1" x14ac:dyDescent="0.35">
      <c r="A71" s="132"/>
      <c r="B71" s="133"/>
      <c r="C71" s="256"/>
      <c r="D71" s="257"/>
      <c r="E71" s="258"/>
      <c r="F71" s="257"/>
      <c r="G71" s="259"/>
      <c r="H71" s="260"/>
      <c r="I71" s="261"/>
      <c r="J71" s="262">
        <f>SUM(J39:J70)</f>
        <v>722.11</v>
      </c>
      <c r="K71" s="263">
        <f>M71/J71/L71</f>
        <v>49.460025480882422</v>
      </c>
      <c r="L71" s="264">
        <f>L66</f>
        <v>0.7</v>
      </c>
      <c r="M71" s="265">
        <f>SUM(M39:M70)</f>
        <v>25000.905300000002</v>
      </c>
      <c r="N71" s="266">
        <f>J71*K71*L71</f>
        <v>25000.905300000002</v>
      </c>
      <c r="O71" s="135"/>
    </row>
    <row r="72" spans="1:15" s="137" customFormat="1" ht="18.75" customHeight="1" x14ac:dyDescent="0.3">
      <c r="A72" s="132"/>
      <c r="B72" s="133"/>
      <c r="C72" s="267"/>
      <c r="D72" s="142"/>
      <c r="E72" s="268"/>
      <c r="F72" s="142"/>
      <c r="G72" s="143"/>
      <c r="H72" s="144"/>
      <c r="I72" s="126"/>
      <c r="J72" s="145"/>
      <c r="K72" s="269"/>
      <c r="L72" s="270"/>
      <c r="M72" s="145"/>
      <c r="N72" s="146"/>
      <c r="O72" s="271"/>
    </row>
    <row r="73" spans="1:15" s="137" customFormat="1" ht="18.75" customHeight="1" thickBot="1" x14ac:dyDescent="0.35">
      <c r="A73" s="132"/>
      <c r="B73" s="133"/>
      <c r="C73" s="267"/>
      <c r="D73" s="142"/>
      <c r="E73" s="268"/>
      <c r="F73" s="142"/>
      <c r="G73" s="143"/>
      <c r="H73" s="144"/>
      <c r="I73" s="126"/>
      <c r="J73" s="145"/>
      <c r="K73" s="269"/>
      <c r="L73" s="270"/>
      <c r="M73" s="145"/>
      <c r="N73" s="146"/>
      <c r="O73" s="271"/>
    </row>
    <row r="74" spans="1:15" s="137" customFormat="1" ht="42" customHeight="1" thickBot="1" x14ac:dyDescent="0.35">
      <c r="A74" s="132"/>
      <c r="B74" s="133"/>
      <c r="C74" s="734" t="s">
        <v>154</v>
      </c>
      <c r="D74" s="735"/>
      <c r="E74" s="735"/>
      <c r="F74" s="735"/>
      <c r="G74" s="735"/>
      <c r="H74" s="735"/>
      <c r="I74" s="735"/>
      <c r="J74" s="735"/>
      <c r="K74" s="735"/>
      <c r="L74" s="735"/>
      <c r="M74" s="736"/>
      <c r="N74" s="435">
        <f>M71</f>
        <v>25000.905300000002</v>
      </c>
      <c r="O74" s="135"/>
    </row>
    <row r="75" spans="1:15" s="137" customFormat="1" ht="42" customHeight="1" thickBot="1" x14ac:dyDescent="0.35">
      <c r="A75" s="132"/>
      <c r="B75" s="133"/>
      <c r="C75" s="734" t="s">
        <v>155</v>
      </c>
      <c r="D75" s="735"/>
      <c r="E75" s="735"/>
      <c r="F75" s="735"/>
      <c r="G75" s="735"/>
      <c r="H75" s="735"/>
      <c r="I75" s="735"/>
      <c r="J75" s="735"/>
      <c r="K75" s="735"/>
      <c r="L75" s="735"/>
      <c r="M75" s="735"/>
      <c r="N75" s="435">
        <f>M35</f>
        <v>16332.287999999999</v>
      </c>
      <c r="O75" s="135"/>
    </row>
    <row r="76" spans="1:15" s="137" customFormat="1" ht="47.4" customHeight="1" thickBot="1" x14ac:dyDescent="0.35">
      <c r="A76" s="132"/>
      <c r="B76" s="133"/>
      <c r="C76" s="737" t="s">
        <v>156</v>
      </c>
      <c r="D76" s="738"/>
      <c r="E76" s="738"/>
      <c r="F76" s="738"/>
      <c r="G76" s="738"/>
      <c r="H76" s="738"/>
      <c r="I76" s="738"/>
      <c r="J76" s="738"/>
      <c r="K76" s="738"/>
      <c r="L76" s="738"/>
      <c r="M76" s="738"/>
      <c r="N76" s="434">
        <f>SUM(N74:N75)</f>
        <v>41333.193299999999</v>
      </c>
      <c r="O76" s="135"/>
    </row>
    <row r="77" spans="1:15" s="137" customFormat="1" ht="18.75" customHeight="1" thickBot="1" x14ac:dyDescent="0.35">
      <c r="A77" s="132"/>
      <c r="B77" s="133"/>
      <c r="C77" s="272"/>
      <c r="D77" s="273"/>
      <c r="E77" s="273"/>
      <c r="F77" s="273"/>
      <c r="G77" s="274"/>
      <c r="H77" s="274"/>
      <c r="I77" s="273"/>
      <c r="J77" s="275"/>
      <c r="K77" s="276"/>
      <c r="L77" s="273"/>
      <c r="M77" s="277"/>
      <c r="N77" s="273"/>
      <c r="O77" s="135"/>
    </row>
    <row r="78" spans="1:15" s="137" customFormat="1" ht="18.75" customHeight="1" x14ac:dyDescent="0.3">
      <c r="A78" s="132"/>
      <c r="B78" s="133"/>
      <c r="C78" s="278"/>
      <c r="D78" s="278"/>
      <c r="E78" s="278"/>
      <c r="F78" s="278"/>
      <c r="G78" s="122"/>
      <c r="H78" s="122"/>
      <c r="I78" s="278"/>
      <c r="J78" s="279"/>
      <c r="K78" s="280"/>
      <c r="L78" s="278"/>
      <c r="M78" s="278"/>
      <c r="N78" s="278"/>
      <c r="O78" s="135"/>
    </row>
  </sheetData>
  <autoFilter ref="C5:N76" xr:uid="{00000000-0009-0000-0000-000021000000}">
    <filterColumn colId="9" showButton="0"/>
  </autoFilter>
  <mergeCells count="16">
    <mergeCell ref="A5:A6"/>
    <mergeCell ref="C5:C6"/>
    <mergeCell ref="D5:D6"/>
    <mergeCell ref="E5:E6"/>
    <mergeCell ref="F5:F6"/>
    <mergeCell ref="C74:M74"/>
    <mergeCell ref="C75:M75"/>
    <mergeCell ref="C76:M76"/>
    <mergeCell ref="C36:N36"/>
    <mergeCell ref="C1:N4"/>
    <mergeCell ref="G5:G6"/>
    <mergeCell ref="H5:H6"/>
    <mergeCell ref="I5:I6"/>
    <mergeCell ref="J5:J6"/>
    <mergeCell ref="K5:K6"/>
    <mergeCell ref="L5:M5"/>
  </mergeCells>
  <conditionalFormatting sqref="D1:D14 D71:D1048576">
    <cfRule type="duplicateValues" dxfId="101" priority="16"/>
    <cfRule type="duplicateValues" dxfId="100" priority="22"/>
    <cfRule type="duplicateValues" dxfId="99" priority="23"/>
  </conditionalFormatting>
  <conditionalFormatting sqref="D7">
    <cfRule type="duplicateValues" dxfId="98" priority="19"/>
  </conditionalFormatting>
  <conditionalFormatting sqref="D8">
    <cfRule type="duplicateValues" dxfId="97" priority="18"/>
  </conditionalFormatting>
  <conditionalFormatting sqref="D9:D14">
    <cfRule type="duplicateValues" dxfId="96" priority="17"/>
  </conditionalFormatting>
  <conditionalFormatting sqref="D15:D33">
    <cfRule type="duplicateValues" dxfId="95" priority="26"/>
  </conditionalFormatting>
  <conditionalFormatting sqref="D35">
    <cfRule type="duplicateValues" dxfId="94" priority="11"/>
    <cfRule type="duplicateValues" dxfId="93" priority="12"/>
    <cfRule type="duplicateValues" dxfId="92" priority="13"/>
    <cfRule type="duplicateValues" dxfId="91" priority="14"/>
    <cfRule type="duplicateValues" dxfId="90" priority="15"/>
  </conditionalFormatting>
  <conditionalFormatting sqref="D37">
    <cfRule type="duplicateValues" dxfId="89" priority="6"/>
    <cfRule type="duplicateValues" dxfId="88" priority="7"/>
    <cfRule type="duplicateValues" dxfId="87" priority="8"/>
    <cfRule type="duplicateValues" dxfId="86" priority="9"/>
    <cfRule type="duplicateValues" dxfId="85" priority="10"/>
  </conditionalFormatting>
  <conditionalFormatting sqref="D38">
    <cfRule type="duplicateValues" dxfId="84" priority="1"/>
    <cfRule type="duplicateValues" dxfId="83" priority="2"/>
    <cfRule type="duplicateValues" dxfId="82" priority="3"/>
    <cfRule type="duplicateValues" dxfId="81" priority="4"/>
    <cfRule type="duplicateValues" dxfId="80" priority="5"/>
  </conditionalFormatting>
  <conditionalFormatting sqref="D39:D70">
    <cfRule type="duplicateValues" dxfId="79" priority="24"/>
    <cfRule type="duplicateValues" dxfId="78" priority="25"/>
  </conditionalFormatting>
  <conditionalFormatting sqref="D71:D73">
    <cfRule type="duplicateValues" dxfId="77" priority="27"/>
  </conditionalFormatting>
  <conditionalFormatting sqref="D77:D1048576 D1:D6">
    <cfRule type="duplicateValues" dxfId="76" priority="21"/>
  </conditionalFormatting>
  <conditionalFormatting sqref="D77:D1048576 D1:D14 D71:D73">
    <cfRule type="duplicateValues" dxfId="75" priority="20"/>
  </conditionalFormatting>
  <printOptions horizontalCentered="1"/>
  <pageMargins left="0.19685039370078741" right="0.19685039370078741" top="0.19685039370078741" bottom="0.98425196850393704" header="0.31496062992125984" footer="0.11811023622047245"/>
  <pageSetup paperSize="9" scale="49" fitToHeight="0" orientation="landscape" r:id="rId1"/>
  <headerFooter>
    <oddFooter>&amp;C&amp;G</oddFooter>
  </headerFooter>
  <rowBreaks count="1" manualBreakCount="1">
    <brk id="6" min="1" max="14" man="1"/>
  </rowBreaks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69EEB-AED9-4ACD-B98B-46DC97B1AD7A}">
  <sheetPr>
    <tabColor rgb="FF00B0F0"/>
    <pageSetUpPr fitToPage="1"/>
  </sheetPr>
  <dimension ref="A1:XFA113"/>
  <sheetViews>
    <sheetView showGridLines="0" view="pageBreakPreview" topLeftCell="F1" zoomScale="85" zoomScaleNormal="100" zoomScaleSheetLayoutView="85" workbookViewId="0">
      <pane ySplit="3" topLeftCell="A22" activePane="bottomLeft" state="frozen"/>
      <selection activeCell="B53" sqref="B53:N53"/>
      <selection pane="bottomLeft" activeCell="L9" sqref="L9"/>
    </sheetView>
  </sheetViews>
  <sheetFormatPr defaultRowHeight="15" x14ac:dyDescent="0.25"/>
  <cols>
    <col min="1" max="1" width="7.6640625" style="282" customWidth="1"/>
    <col min="2" max="2" width="3" style="282" customWidth="1"/>
    <col min="3" max="3" width="12.109375" style="334" bestFit="1" customWidth="1"/>
    <col min="4" max="4" width="24.88671875" style="334" customWidth="1"/>
    <col min="5" max="5" width="19.6640625" style="334" customWidth="1"/>
    <col min="6" max="6" width="25" style="282" customWidth="1"/>
    <col min="7" max="7" width="22.33203125" style="282" customWidth="1"/>
    <col min="8" max="8" width="24.88671875" style="335" customWidth="1"/>
    <col min="9" max="10" width="22.33203125" style="335" customWidth="1"/>
    <col min="11" max="11" width="19.109375" style="336" customWidth="1"/>
    <col min="12" max="12" width="26.44140625" style="337" customWidth="1"/>
    <col min="13" max="13" width="3" style="338" customWidth="1"/>
    <col min="14" max="14" width="11.44140625" style="285" customWidth="1"/>
    <col min="15" max="15" width="11.44140625" style="286" customWidth="1"/>
    <col min="16" max="249" width="8.88671875" style="285"/>
    <col min="250" max="250" width="9.6640625" style="285" customWidth="1"/>
    <col min="251" max="251" width="15.109375" style="285" bestFit="1" customWidth="1"/>
    <col min="252" max="252" width="14" style="285" bestFit="1" customWidth="1"/>
    <col min="253" max="253" width="17.109375" style="285" bestFit="1" customWidth="1"/>
    <col min="254" max="254" width="34.33203125" style="285" customWidth="1"/>
    <col min="255" max="255" width="5.6640625" style="285" customWidth="1"/>
    <col min="256" max="256" width="10.109375" style="285" bestFit="1" customWidth="1"/>
    <col min="257" max="257" width="9.6640625" style="285" customWidth="1"/>
    <col min="258" max="258" width="14.6640625" style="285" customWidth="1"/>
    <col min="259" max="259" width="8.6640625" style="285" customWidth="1"/>
    <col min="260" max="260" width="11.5546875" style="285" customWidth="1"/>
    <col min="261" max="261" width="14.6640625" style="285" customWidth="1"/>
    <col min="262" max="505" width="8.88671875" style="285"/>
    <col min="506" max="506" width="9.6640625" style="285" customWidth="1"/>
    <col min="507" max="507" width="15.109375" style="285" bestFit="1" customWidth="1"/>
    <col min="508" max="508" width="14" style="285" bestFit="1" customWidth="1"/>
    <col min="509" max="509" width="17.109375" style="285" bestFit="1" customWidth="1"/>
    <col min="510" max="510" width="34.33203125" style="285" customWidth="1"/>
    <col min="511" max="511" width="5.6640625" style="285" customWidth="1"/>
    <col min="512" max="512" width="10.109375" style="285" bestFit="1" customWidth="1"/>
    <col min="513" max="513" width="9.6640625" style="285" customWidth="1"/>
    <col min="514" max="514" width="14.6640625" style="285" customWidth="1"/>
    <col min="515" max="515" width="8.6640625" style="285" customWidth="1"/>
    <col min="516" max="516" width="11.5546875" style="285" customWidth="1"/>
    <col min="517" max="517" width="14.6640625" style="285" customWidth="1"/>
    <col min="518" max="761" width="8.88671875" style="285"/>
    <col min="762" max="762" width="9.6640625" style="285" customWidth="1"/>
    <col min="763" max="763" width="15.109375" style="285" bestFit="1" customWidth="1"/>
    <col min="764" max="764" width="14" style="285" bestFit="1" customWidth="1"/>
    <col min="765" max="765" width="17.109375" style="285" bestFit="1" customWidth="1"/>
    <col min="766" max="766" width="34.33203125" style="285" customWidth="1"/>
    <col min="767" max="767" width="5.6640625" style="285" customWidth="1"/>
    <col min="768" max="768" width="10.109375" style="285" bestFit="1" customWidth="1"/>
    <col min="769" max="769" width="9.6640625" style="285" customWidth="1"/>
    <col min="770" max="770" width="14.6640625" style="285" customWidth="1"/>
    <col min="771" max="771" width="8.6640625" style="285" customWidth="1"/>
    <col min="772" max="772" width="11.5546875" style="285" customWidth="1"/>
    <col min="773" max="773" width="14.6640625" style="285" customWidth="1"/>
    <col min="774" max="1017" width="8.88671875" style="285"/>
    <col min="1018" max="1018" width="9.6640625" style="285" customWidth="1"/>
    <col min="1019" max="1019" width="15.109375" style="285" bestFit="1" customWidth="1"/>
    <col min="1020" max="1020" width="14" style="285" bestFit="1" customWidth="1"/>
    <col min="1021" max="1021" width="17.109375" style="285" bestFit="1" customWidth="1"/>
    <col min="1022" max="1022" width="34.33203125" style="285" customWidth="1"/>
    <col min="1023" max="1023" width="5.6640625" style="285" customWidth="1"/>
    <col min="1024" max="1024" width="10.109375" style="285" bestFit="1" customWidth="1"/>
    <col min="1025" max="1025" width="9.6640625" style="285" customWidth="1"/>
    <col min="1026" max="1026" width="14.6640625" style="285" customWidth="1"/>
    <col min="1027" max="1027" width="8.6640625" style="285" customWidth="1"/>
    <col min="1028" max="1028" width="11.5546875" style="285" customWidth="1"/>
    <col min="1029" max="1029" width="14.6640625" style="285" customWidth="1"/>
    <col min="1030" max="1273" width="8.88671875" style="285"/>
    <col min="1274" max="1274" width="9.6640625" style="285" customWidth="1"/>
    <col min="1275" max="1275" width="15.109375" style="285" bestFit="1" customWidth="1"/>
    <col min="1276" max="1276" width="14" style="285" bestFit="1" customWidth="1"/>
    <col min="1277" max="1277" width="17.109375" style="285" bestFit="1" customWidth="1"/>
    <col min="1278" max="1278" width="34.33203125" style="285" customWidth="1"/>
    <col min="1279" max="1279" width="5.6640625" style="285" customWidth="1"/>
    <col min="1280" max="1280" width="10.109375" style="285" bestFit="1" customWidth="1"/>
    <col min="1281" max="1281" width="9.6640625" style="285" customWidth="1"/>
    <col min="1282" max="1282" width="14.6640625" style="285" customWidth="1"/>
    <col min="1283" max="1283" width="8.6640625" style="285" customWidth="1"/>
    <col min="1284" max="1284" width="11.5546875" style="285" customWidth="1"/>
    <col min="1285" max="1285" width="14.6640625" style="285" customWidth="1"/>
    <col min="1286" max="1529" width="8.88671875" style="285"/>
    <col min="1530" max="1530" width="9.6640625" style="285" customWidth="1"/>
    <col min="1531" max="1531" width="15.109375" style="285" bestFit="1" customWidth="1"/>
    <col min="1532" max="1532" width="14" style="285" bestFit="1" customWidth="1"/>
    <col min="1533" max="1533" width="17.109375" style="285" bestFit="1" customWidth="1"/>
    <col min="1534" max="1534" width="34.33203125" style="285" customWidth="1"/>
    <col min="1535" max="1535" width="5.6640625" style="285" customWidth="1"/>
    <col min="1536" max="1536" width="10.109375" style="285" bestFit="1" customWidth="1"/>
    <col min="1537" max="1537" width="9.6640625" style="285" customWidth="1"/>
    <col min="1538" max="1538" width="14.6640625" style="285" customWidth="1"/>
    <col min="1539" max="1539" width="8.6640625" style="285" customWidth="1"/>
    <col min="1540" max="1540" width="11.5546875" style="285" customWidth="1"/>
    <col min="1541" max="1541" width="14.6640625" style="285" customWidth="1"/>
    <col min="1542" max="1785" width="8.88671875" style="285"/>
    <col min="1786" max="1786" width="9.6640625" style="285" customWidth="1"/>
    <col min="1787" max="1787" width="15.109375" style="285" bestFit="1" customWidth="1"/>
    <col min="1788" max="1788" width="14" style="285" bestFit="1" customWidth="1"/>
    <col min="1789" max="1789" width="17.109375" style="285" bestFit="1" customWidth="1"/>
    <col min="1790" max="1790" width="34.33203125" style="285" customWidth="1"/>
    <col min="1791" max="1791" width="5.6640625" style="285" customWidth="1"/>
    <col min="1792" max="1792" width="10.109375" style="285" bestFit="1" customWidth="1"/>
    <col min="1793" max="1793" width="9.6640625" style="285" customWidth="1"/>
    <col min="1794" max="1794" width="14.6640625" style="285" customWidth="1"/>
    <col min="1795" max="1795" width="8.6640625" style="285" customWidth="1"/>
    <col min="1796" max="1796" width="11.5546875" style="285" customWidth="1"/>
    <col min="1797" max="1797" width="14.6640625" style="285" customWidth="1"/>
    <col min="1798" max="2041" width="8.88671875" style="285"/>
    <col min="2042" max="2042" width="9.6640625" style="285" customWidth="1"/>
    <col min="2043" max="2043" width="15.109375" style="285" bestFit="1" customWidth="1"/>
    <col min="2044" max="2044" width="14" style="285" bestFit="1" customWidth="1"/>
    <col min="2045" max="2045" width="17.109375" style="285" bestFit="1" customWidth="1"/>
    <col min="2046" max="2046" width="34.33203125" style="285" customWidth="1"/>
    <col min="2047" max="2047" width="5.6640625" style="285" customWidth="1"/>
    <col min="2048" max="2048" width="10.109375" style="285" bestFit="1" customWidth="1"/>
    <col min="2049" max="2049" width="9.6640625" style="285" customWidth="1"/>
    <col min="2050" max="2050" width="14.6640625" style="285" customWidth="1"/>
    <col min="2051" max="2051" width="8.6640625" style="285" customWidth="1"/>
    <col min="2052" max="2052" width="11.5546875" style="285" customWidth="1"/>
    <col min="2053" max="2053" width="14.6640625" style="285" customWidth="1"/>
    <col min="2054" max="2297" width="8.88671875" style="285"/>
    <col min="2298" max="2298" width="9.6640625" style="285" customWidth="1"/>
    <col min="2299" max="2299" width="15.109375" style="285" bestFit="1" customWidth="1"/>
    <col min="2300" max="2300" width="14" style="285" bestFit="1" customWidth="1"/>
    <col min="2301" max="2301" width="17.109375" style="285" bestFit="1" customWidth="1"/>
    <col min="2302" max="2302" width="34.33203125" style="285" customWidth="1"/>
    <col min="2303" max="2303" width="5.6640625" style="285" customWidth="1"/>
    <col min="2304" max="2304" width="10.109375" style="285" bestFit="1" customWidth="1"/>
    <col min="2305" max="2305" width="9.6640625" style="285" customWidth="1"/>
    <col min="2306" max="2306" width="14.6640625" style="285" customWidth="1"/>
    <col min="2307" max="2307" width="8.6640625" style="285" customWidth="1"/>
    <col min="2308" max="2308" width="11.5546875" style="285" customWidth="1"/>
    <col min="2309" max="2309" width="14.6640625" style="285" customWidth="1"/>
    <col min="2310" max="2553" width="8.88671875" style="285"/>
    <col min="2554" max="2554" width="9.6640625" style="285" customWidth="1"/>
    <col min="2555" max="2555" width="15.109375" style="285" bestFit="1" customWidth="1"/>
    <col min="2556" max="2556" width="14" style="285" bestFit="1" customWidth="1"/>
    <col min="2557" max="2557" width="17.109375" style="285" bestFit="1" customWidth="1"/>
    <col min="2558" max="2558" width="34.33203125" style="285" customWidth="1"/>
    <col min="2559" max="2559" width="5.6640625" style="285" customWidth="1"/>
    <col min="2560" max="2560" width="10.109375" style="285" bestFit="1" customWidth="1"/>
    <col min="2561" max="2561" width="9.6640625" style="285" customWidth="1"/>
    <col min="2562" max="2562" width="14.6640625" style="285" customWidth="1"/>
    <col min="2563" max="2563" width="8.6640625" style="285" customWidth="1"/>
    <col min="2564" max="2564" width="11.5546875" style="285" customWidth="1"/>
    <col min="2565" max="2565" width="14.6640625" style="285" customWidth="1"/>
    <col min="2566" max="2809" width="8.88671875" style="285"/>
    <col min="2810" max="2810" width="9.6640625" style="285" customWidth="1"/>
    <col min="2811" max="2811" width="15.109375" style="285" bestFit="1" customWidth="1"/>
    <col min="2812" max="2812" width="14" style="285" bestFit="1" customWidth="1"/>
    <col min="2813" max="2813" width="17.109375" style="285" bestFit="1" customWidth="1"/>
    <col min="2814" max="2814" width="34.33203125" style="285" customWidth="1"/>
    <col min="2815" max="2815" width="5.6640625" style="285" customWidth="1"/>
    <col min="2816" max="2816" width="10.109375" style="285" bestFit="1" customWidth="1"/>
    <col min="2817" max="2817" width="9.6640625" style="285" customWidth="1"/>
    <col min="2818" max="2818" width="14.6640625" style="285" customWidth="1"/>
    <col min="2819" max="2819" width="8.6640625" style="285" customWidth="1"/>
    <col min="2820" max="2820" width="11.5546875" style="285" customWidth="1"/>
    <col min="2821" max="2821" width="14.6640625" style="285" customWidth="1"/>
    <col min="2822" max="3065" width="8.88671875" style="285"/>
    <col min="3066" max="3066" width="9.6640625" style="285" customWidth="1"/>
    <col min="3067" max="3067" width="15.109375" style="285" bestFit="1" customWidth="1"/>
    <col min="3068" max="3068" width="14" style="285" bestFit="1" customWidth="1"/>
    <col min="3069" max="3069" width="17.109375" style="285" bestFit="1" customWidth="1"/>
    <col min="3070" max="3070" width="34.33203125" style="285" customWidth="1"/>
    <col min="3071" max="3071" width="5.6640625" style="285" customWidth="1"/>
    <col min="3072" max="3072" width="10.109375" style="285" bestFit="1" customWidth="1"/>
    <col min="3073" max="3073" width="9.6640625" style="285" customWidth="1"/>
    <col min="3074" max="3074" width="14.6640625" style="285" customWidth="1"/>
    <col min="3075" max="3075" width="8.6640625" style="285" customWidth="1"/>
    <col min="3076" max="3076" width="11.5546875" style="285" customWidth="1"/>
    <col min="3077" max="3077" width="14.6640625" style="285" customWidth="1"/>
    <col min="3078" max="3321" width="8.88671875" style="285"/>
    <col min="3322" max="3322" width="9.6640625" style="285" customWidth="1"/>
    <col min="3323" max="3323" width="15.109375" style="285" bestFit="1" customWidth="1"/>
    <col min="3324" max="3324" width="14" style="285" bestFit="1" customWidth="1"/>
    <col min="3325" max="3325" width="17.109375" style="285" bestFit="1" customWidth="1"/>
    <col min="3326" max="3326" width="34.33203125" style="285" customWidth="1"/>
    <col min="3327" max="3327" width="5.6640625" style="285" customWidth="1"/>
    <col min="3328" max="3328" width="10.109375" style="285" bestFit="1" customWidth="1"/>
    <col min="3329" max="3329" width="9.6640625" style="285" customWidth="1"/>
    <col min="3330" max="3330" width="14.6640625" style="285" customWidth="1"/>
    <col min="3331" max="3331" width="8.6640625" style="285" customWidth="1"/>
    <col min="3332" max="3332" width="11.5546875" style="285" customWidth="1"/>
    <col min="3333" max="3333" width="14.6640625" style="285" customWidth="1"/>
    <col min="3334" max="3577" width="8.88671875" style="285"/>
    <col min="3578" max="3578" width="9.6640625" style="285" customWidth="1"/>
    <col min="3579" max="3579" width="15.109375" style="285" bestFit="1" customWidth="1"/>
    <col min="3580" max="3580" width="14" style="285" bestFit="1" customWidth="1"/>
    <col min="3581" max="3581" width="17.109375" style="285" bestFit="1" customWidth="1"/>
    <col min="3582" max="3582" width="34.33203125" style="285" customWidth="1"/>
    <col min="3583" max="3583" width="5.6640625" style="285" customWidth="1"/>
    <col min="3584" max="3584" width="10.109375" style="285" bestFit="1" customWidth="1"/>
    <col min="3585" max="3585" width="9.6640625" style="285" customWidth="1"/>
    <col min="3586" max="3586" width="14.6640625" style="285" customWidth="1"/>
    <col min="3587" max="3587" width="8.6640625" style="285" customWidth="1"/>
    <col min="3588" max="3588" width="11.5546875" style="285" customWidth="1"/>
    <col min="3589" max="3589" width="14.6640625" style="285" customWidth="1"/>
    <col min="3590" max="3833" width="8.88671875" style="285"/>
    <col min="3834" max="3834" width="9.6640625" style="285" customWidth="1"/>
    <col min="3835" max="3835" width="15.109375" style="285" bestFit="1" customWidth="1"/>
    <col min="3836" max="3836" width="14" style="285" bestFit="1" customWidth="1"/>
    <col min="3837" max="3837" width="17.109375" style="285" bestFit="1" customWidth="1"/>
    <col min="3838" max="3838" width="34.33203125" style="285" customWidth="1"/>
    <col min="3839" max="3839" width="5.6640625" style="285" customWidth="1"/>
    <col min="3840" max="3840" width="10.109375" style="285" bestFit="1" customWidth="1"/>
    <col min="3841" max="3841" width="9.6640625" style="285" customWidth="1"/>
    <col min="3842" max="3842" width="14.6640625" style="285" customWidth="1"/>
    <col min="3843" max="3843" width="8.6640625" style="285" customWidth="1"/>
    <col min="3844" max="3844" width="11.5546875" style="285" customWidth="1"/>
    <col min="3845" max="3845" width="14.6640625" style="285" customWidth="1"/>
    <col min="3846" max="4089" width="8.88671875" style="285"/>
    <col min="4090" max="4090" width="9.6640625" style="285" customWidth="1"/>
    <col min="4091" max="4091" width="15.109375" style="285" bestFit="1" customWidth="1"/>
    <col min="4092" max="4092" width="14" style="285" bestFit="1" customWidth="1"/>
    <col min="4093" max="4093" width="17.109375" style="285" bestFit="1" customWidth="1"/>
    <col min="4094" max="4094" width="34.33203125" style="285" customWidth="1"/>
    <col min="4095" max="4095" width="5.6640625" style="285" customWidth="1"/>
    <col min="4096" max="4096" width="10.109375" style="285" bestFit="1" customWidth="1"/>
    <col min="4097" max="4097" width="9.6640625" style="285" customWidth="1"/>
    <col min="4098" max="4098" width="14.6640625" style="285" customWidth="1"/>
    <col min="4099" max="4099" width="8.6640625" style="285" customWidth="1"/>
    <col min="4100" max="4100" width="11.5546875" style="285" customWidth="1"/>
    <col min="4101" max="4101" width="14.6640625" style="285" customWidth="1"/>
    <col min="4102" max="4345" width="8.88671875" style="285"/>
    <col min="4346" max="4346" width="9.6640625" style="285" customWidth="1"/>
    <col min="4347" max="4347" width="15.109375" style="285" bestFit="1" customWidth="1"/>
    <col min="4348" max="4348" width="14" style="285" bestFit="1" customWidth="1"/>
    <col min="4349" max="4349" width="17.109375" style="285" bestFit="1" customWidth="1"/>
    <col min="4350" max="4350" width="34.33203125" style="285" customWidth="1"/>
    <col min="4351" max="4351" width="5.6640625" style="285" customWidth="1"/>
    <col min="4352" max="4352" width="10.109375" style="285" bestFit="1" customWidth="1"/>
    <col min="4353" max="4353" width="9.6640625" style="285" customWidth="1"/>
    <col min="4354" max="4354" width="14.6640625" style="285" customWidth="1"/>
    <col min="4355" max="4355" width="8.6640625" style="285" customWidth="1"/>
    <col min="4356" max="4356" width="11.5546875" style="285" customWidth="1"/>
    <col min="4357" max="4357" width="14.6640625" style="285" customWidth="1"/>
    <col min="4358" max="4601" width="8.88671875" style="285"/>
    <col min="4602" max="4602" width="9.6640625" style="285" customWidth="1"/>
    <col min="4603" max="4603" width="15.109375" style="285" bestFit="1" customWidth="1"/>
    <col min="4604" max="4604" width="14" style="285" bestFit="1" customWidth="1"/>
    <col min="4605" max="4605" width="17.109375" style="285" bestFit="1" customWidth="1"/>
    <col min="4606" max="4606" width="34.33203125" style="285" customWidth="1"/>
    <col min="4607" max="4607" width="5.6640625" style="285" customWidth="1"/>
    <col min="4608" max="4608" width="10.109375" style="285" bestFit="1" customWidth="1"/>
    <col min="4609" max="4609" width="9.6640625" style="285" customWidth="1"/>
    <col min="4610" max="4610" width="14.6640625" style="285" customWidth="1"/>
    <col min="4611" max="4611" width="8.6640625" style="285" customWidth="1"/>
    <col min="4612" max="4612" width="11.5546875" style="285" customWidth="1"/>
    <col min="4613" max="4613" width="14.6640625" style="285" customWidth="1"/>
    <col min="4614" max="4857" width="8.88671875" style="285"/>
    <col min="4858" max="4858" width="9.6640625" style="285" customWidth="1"/>
    <col min="4859" max="4859" width="15.109375" style="285" bestFit="1" customWidth="1"/>
    <col min="4860" max="4860" width="14" style="285" bestFit="1" customWidth="1"/>
    <col min="4861" max="4861" width="17.109375" style="285" bestFit="1" customWidth="1"/>
    <col min="4862" max="4862" width="34.33203125" style="285" customWidth="1"/>
    <col min="4863" max="4863" width="5.6640625" style="285" customWidth="1"/>
    <col min="4864" max="4864" width="10.109375" style="285" bestFit="1" customWidth="1"/>
    <col min="4865" max="4865" width="9.6640625" style="285" customWidth="1"/>
    <col min="4866" max="4866" width="14.6640625" style="285" customWidth="1"/>
    <col min="4867" max="4867" width="8.6640625" style="285" customWidth="1"/>
    <col min="4868" max="4868" width="11.5546875" style="285" customWidth="1"/>
    <col min="4869" max="4869" width="14.6640625" style="285" customWidth="1"/>
    <col min="4870" max="5113" width="8.88671875" style="285"/>
    <col min="5114" max="5114" width="9.6640625" style="285" customWidth="1"/>
    <col min="5115" max="5115" width="15.109375" style="285" bestFit="1" customWidth="1"/>
    <col min="5116" max="5116" width="14" style="285" bestFit="1" customWidth="1"/>
    <col min="5117" max="5117" width="17.109375" style="285" bestFit="1" customWidth="1"/>
    <col min="5118" max="5118" width="34.33203125" style="285" customWidth="1"/>
    <col min="5119" max="5119" width="5.6640625" style="285" customWidth="1"/>
    <col min="5120" max="5120" width="10.109375" style="285" bestFit="1" customWidth="1"/>
    <col min="5121" max="5121" width="9.6640625" style="285" customWidth="1"/>
    <col min="5122" max="5122" width="14.6640625" style="285" customWidth="1"/>
    <col min="5123" max="5123" width="8.6640625" style="285" customWidth="1"/>
    <col min="5124" max="5124" width="11.5546875" style="285" customWidth="1"/>
    <col min="5125" max="5125" width="14.6640625" style="285" customWidth="1"/>
    <col min="5126" max="5369" width="8.88671875" style="285"/>
    <col min="5370" max="5370" width="9.6640625" style="285" customWidth="1"/>
    <col min="5371" max="5371" width="15.109375" style="285" bestFit="1" customWidth="1"/>
    <col min="5372" max="5372" width="14" style="285" bestFit="1" customWidth="1"/>
    <col min="5373" max="5373" width="17.109375" style="285" bestFit="1" customWidth="1"/>
    <col min="5374" max="5374" width="34.33203125" style="285" customWidth="1"/>
    <col min="5375" max="5375" width="5.6640625" style="285" customWidth="1"/>
    <col min="5376" max="5376" width="10.109375" style="285" bestFit="1" customWidth="1"/>
    <col min="5377" max="5377" width="9.6640625" style="285" customWidth="1"/>
    <col min="5378" max="5378" width="14.6640625" style="285" customWidth="1"/>
    <col min="5379" max="5379" width="8.6640625" style="285" customWidth="1"/>
    <col min="5380" max="5380" width="11.5546875" style="285" customWidth="1"/>
    <col min="5381" max="5381" width="14.6640625" style="285" customWidth="1"/>
    <col min="5382" max="5625" width="8.88671875" style="285"/>
    <col min="5626" max="5626" width="9.6640625" style="285" customWidth="1"/>
    <col min="5627" max="5627" width="15.109375" style="285" bestFit="1" customWidth="1"/>
    <col min="5628" max="5628" width="14" style="285" bestFit="1" customWidth="1"/>
    <col min="5629" max="5629" width="17.109375" style="285" bestFit="1" customWidth="1"/>
    <col min="5630" max="5630" width="34.33203125" style="285" customWidth="1"/>
    <col min="5631" max="5631" width="5.6640625" style="285" customWidth="1"/>
    <col min="5632" max="5632" width="10.109375" style="285" bestFit="1" customWidth="1"/>
    <col min="5633" max="5633" width="9.6640625" style="285" customWidth="1"/>
    <col min="5634" max="5634" width="14.6640625" style="285" customWidth="1"/>
    <col min="5635" max="5635" width="8.6640625" style="285" customWidth="1"/>
    <col min="5636" max="5636" width="11.5546875" style="285" customWidth="1"/>
    <col min="5637" max="5637" width="14.6640625" style="285" customWidth="1"/>
    <col min="5638" max="5881" width="8.88671875" style="285"/>
    <col min="5882" max="5882" width="9.6640625" style="285" customWidth="1"/>
    <col min="5883" max="5883" width="15.109375" style="285" bestFit="1" customWidth="1"/>
    <col min="5884" max="5884" width="14" style="285" bestFit="1" customWidth="1"/>
    <col min="5885" max="5885" width="17.109375" style="285" bestFit="1" customWidth="1"/>
    <col min="5886" max="5886" width="34.33203125" style="285" customWidth="1"/>
    <col min="5887" max="5887" width="5.6640625" style="285" customWidth="1"/>
    <col min="5888" max="5888" width="10.109375" style="285" bestFit="1" customWidth="1"/>
    <col min="5889" max="5889" width="9.6640625" style="285" customWidth="1"/>
    <col min="5890" max="5890" width="14.6640625" style="285" customWidth="1"/>
    <col min="5891" max="5891" width="8.6640625" style="285" customWidth="1"/>
    <col min="5892" max="5892" width="11.5546875" style="285" customWidth="1"/>
    <col min="5893" max="5893" width="14.6640625" style="285" customWidth="1"/>
    <col min="5894" max="6137" width="8.88671875" style="285"/>
    <col min="6138" max="6138" width="9.6640625" style="285" customWidth="1"/>
    <col min="6139" max="6139" width="15.109375" style="285" bestFit="1" customWidth="1"/>
    <col min="6140" max="6140" width="14" style="285" bestFit="1" customWidth="1"/>
    <col min="6141" max="6141" width="17.109375" style="285" bestFit="1" customWidth="1"/>
    <col min="6142" max="6142" width="34.33203125" style="285" customWidth="1"/>
    <col min="6143" max="6143" width="5.6640625" style="285" customWidth="1"/>
    <col min="6144" max="6144" width="10.109375" style="285" bestFit="1" customWidth="1"/>
    <col min="6145" max="6145" width="9.6640625" style="285" customWidth="1"/>
    <col min="6146" max="6146" width="14.6640625" style="285" customWidth="1"/>
    <col min="6147" max="6147" width="8.6640625" style="285" customWidth="1"/>
    <col min="6148" max="6148" width="11.5546875" style="285" customWidth="1"/>
    <col min="6149" max="6149" width="14.6640625" style="285" customWidth="1"/>
    <col min="6150" max="6393" width="8.88671875" style="285"/>
    <col min="6394" max="6394" width="9.6640625" style="285" customWidth="1"/>
    <col min="6395" max="6395" width="15.109375" style="285" bestFit="1" customWidth="1"/>
    <col min="6396" max="6396" width="14" style="285" bestFit="1" customWidth="1"/>
    <col min="6397" max="6397" width="17.109375" style="285" bestFit="1" customWidth="1"/>
    <col min="6398" max="6398" width="34.33203125" style="285" customWidth="1"/>
    <col min="6399" max="6399" width="5.6640625" style="285" customWidth="1"/>
    <col min="6400" max="6400" width="10.109375" style="285" bestFit="1" customWidth="1"/>
    <col min="6401" max="6401" width="9.6640625" style="285" customWidth="1"/>
    <col min="6402" max="6402" width="14.6640625" style="285" customWidth="1"/>
    <col min="6403" max="6403" width="8.6640625" style="285" customWidth="1"/>
    <col min="6404" max="6404" width="11.5546875" style="285" customWidth="1"/>
    <col min="6405" max="6405" width="14.6640625" style="285" customWidth="1"/>
    <col min="6406" max="6649" width="8.88671875" style="285"/>
    <col min="6650" max="6650" width="9.6640625" style="285" customWidth="1"/>
    <col min="6651" max="6651" width="15.109375" style="285" bestFit="1" customWidth="1"/>
    <col min="6652" max="6652" width="14" style="285" bestFit="1" customWidth="1"/>
    <col min="6653" max="6653" width="17.109375" style="285" bestFit="1" customWidth="1"/>
    <col min="6654" max="6654" width="34.33203125" style="285" customWidth="1"/>
    <col min="6655" max="6655" width="5.6640625" style="285" customWidth="1"/>
    <col min="6656" max="6656" width="10.109375" style="285" bestFit="1" customWidth="1"/>
    <col min="6657" max="6657" width="9.6640625" style="285" customWidth="1"/>
    <col min="6658" max="6658" width="14.6640625" style="285" customWidth="1"/>
    <col min="6659" max="6659" width="8.6640625" style="285" customWidth="1"/>
    <col min="6660" max="6660" width="11.5546875" style="285" customWidth="1"/>
    <col min="6661" max="6661" width="14.6640625" style="285" customWidth="1"/>
    <col min="6662" max="6905" width="8.88671875" style="285"/>
    <col min="6906" max="6906" width="9.6640625" style="285" customWidth="1"/>
    <col min="6907" max="6907" width="15.109375" style="285" bestFit="1" customWidth="1"/>
    <col min="6908" max="6908" width="14" style="285" bestFit="1" customWidth="1"/>
    <col min="6909" max="6909" width="17.109375" style="285" bestFit="1" customWidth="1"/>
    <col min="6910" max="6910" width="34.33203125" style="285" customWidth="1"/>
    <col min="6911" max="6911" width="5.6640625" style="285" customWidth="1"/>
    <col min="6912" max="6912" width="10.109375" style="285" bestFit="1" customWidth="1"/>
    <col min="6913" max="6913" width="9.6640625" style="285" customWidth="1"/>
    <col min="6914" max="6914" width="14.6640625" style="285" customWidth="1"/>
    <col min="6915" max="6915" width="8.6640625" style="285" customWidth="1"/>
    <col min="6916" max="6916" width="11.5546875" style="285" customWidth="1"/>
    <col min="6917" max="6917" width="14.6640625" style="285" customWidth="1"/>
    <col min="6918" max="7161" width="8.88671875" style="285"/>
    <col min="7162" max="7162" width="9.6640625" style="285" customWidth="1"/>
    <col min="7163" max="7163" width="15.109375" style="285" bestFit="1" customWidth="1"/>
    <col min="7164" max="7164" width="14" style="285" bestFit="1" customWidth="1"/>
    <col min="7165" max="7165" width="17.109375" style="285" bestFit="1" customWidth="1"/>
    <col min="7166" max="7166" width="34.33203125" style="285" customWidth="1"/>
    <col min="7167" max="7167" width="5.6640625" style="285" customWidth="1"/>
    <col min="7168" max="7168" width="10.109375" style="285" bestFit="1" customWidth="1"/>
    <col min="7169" max="7169" width="9.6640625" style="285" customWidth="1"/>
    <col min="7170" max="7170" width="14.6640625" style="285" customWidth="1"/>
    <col min="7171" max="7171" width="8.6640625" style="285" customWidth="1"/>
    <col min="7172" max="7172" width="11.5546875" style="285" customWidth="1"/>
    <col min="7173" max="7173" width="14.6640625" style="285" customWidth="1"/>
    <col min="7174" max="7417" width="8.88671875" style="285"/>
    <col min="7418" max="7418" width="9.6640625" style="285" customWidth="1"/>
    <col min="7419" max="7419" width="15.109375" style="285" bestFit="1" customWidth="1"/>
    <col min="7420" max="7420" width="14" style="285" bestFit="1" customWidth="1"/>
    <col min="7421" max="7421" width="17.109375" style="285" bestFit="1" customWidth="1"/>
    <col min="7422" max="7422" width="34.33203125" style="285" customWidth="1"/>
    <col min="7423" max="7423" width="5.6640625" style="285" customWidth="1"/>
    <col min="7424" max="7424" width="10.109375" style="285" bestFit="1" customWidth="1"/>
    <col min="7425" max="7425" width="9.6640625" style="285" customWidth="1"/>
    <col min="7426" max="7426" width="14.6640625" style="285" customWidth="1"/>
    <col min="7427" max="7427" width="8.6640625" style="285" customWidth="1"/>
    <col min="7428" max="7428" width="11.5546875" style="285" customWidth="1"/>
    <col min="7429" max="7429" width="14.6640625" style="285" customWidth="1"/>
    <col min="7430" max="7673" width="8.88671875" style="285"/>
    <col min="7674" max="7674" width="9.6640625" style="285" customWidth="1"/>
    <col min="7675" max="7675" width="15.109375" style="285" bestFit="1" customWidth="1"/>
    <col min="7676" max="7676" width="14" style="285" bestFit="1" customWidth="1"/>
    <col min="7677" max="7677" width="17.109375" style="285" bestFit="1" customWidth="1"/>
    <col min="7678" max="7678" width="34.33203125" style="285" customWidth="1"/>
    <col min="7679" max="7679" width="5.6640625" style="285" customWidth="1"/>
    <col min="7680" max="7680" width="10.109375" style="285" bestFit="1" customWidth="1"/>
    <col min="7681" max="7681" width="9.6640625" style="285" customWidth="1"/>
    <col min="7682" max="7682" width="14.6640625" style="285" customWidth="1"/>
    <col min="7683" max="7683" width="8.6640625" style="285" customWidth="1"/>
    <col min="7684" max="7684" width="11.5546875" style="285" customWidth="1"/>
    <col min="7685" max="7685" width="14.6640625" style="285" customWidth="1"/>
    <col min="7686" max="7929" width="8.88671875" style="285"/>
    <col min="7930" max="7930" width="9.6640625" style="285" customWidth="1"/>
    <col min="7931" max="7931" width="15.109375" style="285" bestFit="1" customWidth="1"/>
    <col min="7932" max="7932" width="14" style="285" bestFit="1" customWidth="1"/>
    <col min="7933" max="7933" width="17.109375" style="285" bestFit="1" customWidth="1"/>
    <col min="7934" max="7934" width="34.33203125" style="285" customWidth="1"/>
    <col min="7935" max="7935" width="5.6640625" style="285" customWidth="1"/>
    <col min="7936" max="7936" width="10.109375" style="285" bestFit="1" customWidth="1"/>
    <col min="7937" max="7937" width="9.6640625" style="285" customWidth="1"/>
    <col min="7938" max="7938" width="14.6640625" style="285" customWidth="1"/>
    <col min="7939" max="7939" width="8.6640625" style="285" customWidth="1"/>
    <col min="7940" max="7940" width="11.5546875" style="285" customWidth="1"/>
    <col min="7941" max="7941" width="14.6640625" style="285" customWidth="1"/>
    <col min="7942" max="8185" width="8.88671875" style="285"/>
    <col min="8186" max="8186" width="9.6640625" style="285" customWidth="1"/>
    <col min="8187" max="8187" width="15.109375" style="285" bestFit="1" customWidth="1"/>
    <col min="8188" max="8188" width="14" style="285" bestFit="1" customWidth="1"/>
    <col min="8189" max="8189" width="17.109375" style="285" bestFit="1" customWidth="1"/>
    <col min="8190" max="8190" width="34.33203125" style="285" customWidth="1"/>
    <col min="8191" max="8191" width="5.6640625" style="285" customWidth="1"/>
    <col min="8192" max="8192" width="10.109375" style="285" bestFit="1" customWidth="1"/>
    <col min="8193" max="8193" width="9.6640625" style="285" customWidth="1"/>
    <col min="8194" max="8194" width="14.6640625" style="285" customWidth="1"/>
    <col min="8195" max="8195" width="8.6640625" style="285" customWidth="1"/>
    <col min="8196" max="8196" width="11.5546875" style="285" customWidth="1"/>
    <col min="8197" max="8197" width="14.6640625" style="285" customWidth="1"/>
    <col min="8198" max="8441" width="8.88671875" style="285"/>
    <col min="8442" max="8442" width="9.6640625" style="285" customWidth="1"/>
    <col min="8443" max="8443" width="15.109375" style="285" bestFit="1" customWidth="1"/>
    <col min="8444" max="8444" width="14" style="285" bestFit="1" customWidth="1"/>
    <col min="8445" max="8445" width="17.109375" style="285" bestFit="1" customWidth="1"/>
    <col min="8446" max="8446" width="34.33203125" style="285" customWidth="1"/>
    <col min="8447" max="8447" width="5.6640625" style="285" customWidth="1"/>
    <col min="8448" max="8448" width="10.109375" style="285" bestFit="1" customWidth="1"/>
    <col min="8449" max="8449" width="9.6640625" style="285" customWidth="1"/>
    <col min="8450" max="8450" width="14.6640625" style="285" customWidth="1"/>
    <col min="8451" max="8451" width="8.6640625" style="285" customWidth="1"/>
    <col min="8452" max="8452" width="11.5546875" style="285" customWidth="1"/>
    <col min="8453" max="8453" width="14.6640625" style="285" customWidth="1"/>
    <col min="8454" max="8697" width="8.88671875" style="285"/>
    <col min="8698" max="8698" width="9.6640625" style="285" customWidth="1"/>
    <col min="8699" max="8699" width="15.109375" style="285" bestFit="1" customWidth="1"/>
    <col min="8700" max="8700" width="14" style="285" bestFit="1" customWidth="1"/>
    <col min="8701" max="8701" width="17.109375" style="285" bestFit="1" customWidth="1"/>
    <col min="8702" max="8702" width="34.33203125" style="285" customWidth="1"/>
    <col min="8703" max="8703" width="5.6640625" style="285" customWidth="1"/>
    <col min="8704" max="8704" width="10.109375" style="285" bestFit="1" customWidth="1"/>
    <col min="8705" max="8705" width="9.6640625" style="285" customWidth="1"/>
    <col min="8706" max="8706" width="14.6640625" style="285" customWidth="1"/>
    <col min="8707" max="8707" width="8.6640625" style="285" customWidth="1"/>
    <col min="8708" max="8708" width="11.5546875" style="285" customWidth="1"/>
    <col min="8709" max="8709" width="14.6640625" style="285" customWidth="1"/>
    <col min="8710" max="8953" width="8.88671875" style="285"/>
    <col min="8954" max="8954" width="9.6640625" style="285" customWidth="1"/>
    <col min="8955" max="8955" width="15.109375" style="285" bestFit="1" customWidth="1"/>
    <col min="8956" max="8956" width="14" style="285" bestFit="1" customWidth="1"/>
    <col min="8957" max="8957" width="17.109375" style="285" bestFit="1" customWidth="1"/>
    <col min="8958" max="8958" width="34.33203125" style="285" customWidth="1"/>
    <col min="8959" max="8959" width="5.6640625" style="285" customWidth="1"/>
    <col min="8960" max="8960" width="10.109375" style="285" bestFit="1" customWidth="1"/>
    <col min="8961" max="8961" width="9.6640625" style="285" customWidth="1"/>
    <col min="8962" max="8962" width="14.6640625" style="285" customWidth="1"/>
    <col min="8963" max="8963" width="8.6640625" style="285" customWidth="1"/>
    <col min="8964" max="8964" width="11.5546875" style="285" customWidth="1"/>
    <col min="8965" max="8965" width="14.6640625" style="285" customWidth="1"/>
    <col min="8966" max="9209" width="8.88671875" style="285"/>
    <col min="9210" max="9210" width="9.6640625" style="285" customWidth="1"/>
    <col min="9211" max="9211" width="15.109375" style="285" bestFit="1" customWidth="1"/>
    <col min="9212" max="9212" width="14" style="285" bestFit="1" customWidth="1"/>
    <col min="9213" max="9213" width="17.109375" style="285" bestFit="1" customWidth="1"/>
    <col min="9214" max="9214" width="34.33203125" style="285" customWidth="1"/>
    <col min="9215" max="9215" width="5.6640625" style="285" customWidth="1"/>
    <col min="9216" max="9216" width="10.109375" style="285" bestFit="1" customWidth="1"/>
    <col min="9217" max="9217" width="9.6640625" style="285" customWidth="1"/>
    <col min="9218" max="9218" width="14.6640625" style="285" customWidth="1"/>
    <col min="9219" max="9219" width="8.6640625" style="285" customWidth="1"/>
    <col min="9220" max="9220" width="11.5546875" style="285" customWidth="1"/>
    <col min="9221" max="9221" width="14.6640625" style="285" customWidth="1"/>
    <col min="9222" max="9465" width="8.88671875" style="285"/>
    <col min="9466" max="9466" width="9.6640625" style="285" customWidth="1"/>
    <col min="9467" max="9467" width="15.109375" style="285" bestFit="1" customWidth="1"/>
    <col min="9468" max="9468" width="14" style="285" bestFit="1" customWidth="1"/>
    <col min="9469" max="9469" width="17.109375" style="285" bestFit="1" customWidth="1"/>
    <col min="9470" max="9470" width="34.33203125" style="285" customWidth="1"/>
    <col min="9471" max="9471" width="5.6640625" style="285" customWidth="1"/>
    <col min="9472" max="9472" width="10.109375" style="285" bestFit="1" customWidth="1"/>
    <col min="9473" max="9473" width="9.6640625" style="285" customWidth="1"/>
    <col min="9474" max="9474" width="14.6640625" style="285" customWidth="1"/>
    <col min="9475" max="9475" width="8.6640625" style="285" customWidth="1"/>
    <col min="9476" max="9476" width="11.5546875" style="285" customWidth="1"/>
    <col min="9477" max="9477" width="14.6640625" style="285" customWidth="1"/>
    <col min="9478" max="9721" width="8.88671875" style="285"/>
    <col min="9722" max="9722" width="9.6640625" style="285" customWidth="1"/>
    <col min="9723" max="9723" width="15.109375" style="285" bestFit="1" customWidth="1"/>
    <col min="9724" max="9724" width="14" style="285" bestFit="1" customWidth="1"/>
    <col min="9725" max="9725" width="17.109375" style="285" bestFit="1" customWidth="1"/>
    <col min="9726" max="9726" width="34.33203125" style="285" customWidth="1"/>
    <col min="9727" max="9727" width="5.6640625" style="285" customWidth="1"/>
    <col min="9728" max="9728" width="10.109375" style="285" bestFit="1" customWidth="1"/>
    <col min="9729" max="9729" width="9.6640625" style="285" customWidth="1"/>
    <col min="9730" max="9730" width="14.6640625" style="285" customWidth="1"/>
    <col min="9731" max="9731" width="8.6640625" style="285" customWidth="1"/>
    <col min="9732" max="9732" width="11.5546875" style="285" customWidth="1"/>
    <col min="9733" max="9733" width="14.6640625" style="285" customWidth="1"/>
    <col min="9734" max="9977" width="8.88671875" style="285"/>
    <col min="9978" max="9978" width="9.6640625" style="285" customWidth="1"/>
    <col min="9979" max="9979" width="15.109375" style="285" bestFit="1" customWidth="1"/>
    <col min="9980" max="9980" width="14" style="285" bestFit="1" customWidth="1"/>
    <col min="9981" max="9981" width="17.109375" style="285" bestFit="1" customWidth="1"/>
    <col min="9982" max="9982" width="34.33203125" style="285" customWidth="1"/>
    <col min="9983" max="9983" width="5.6640625" style="285" customWidth="1"/>
    <col min="9984" max="9984" width="10.109375" style="285" bestFit="1" customWidth="1"/>
    <col min="9985" max="9985" width="9.6640625" style="285" customWidth="1"/>
    <col min="9986" max="9986" width="14.6640625" style="285" customWidth="1"/>
    <col min="9987" max="9987" width="8.6640625" style="285" customWidth="1"/>
    <col min="9988" max="9988" width="11.5546875" style="285" customWidth="1"/>
    <col min="9989" max="9989" width="14.6640625" style="285" customWidth="1"/>
    <col min="9990" max="10233" width="8.88671875" style="285"/>
    <col min="10234" max="10234" width="9.6640625" style="285" customWidth="1"/>
    <col min="10235" max="10235" width="15.109375" style="285" bestFit="1" customWidth="1"/>
    <col min="10236" max="10236" width="14" style="285" bestFit="1" customWidth="1"/>
    <col min="10237" max="10237" width="17.109375" style="285" bestFit="1" customWidth="1"/>
    <col min="10238" max="10238" width="34.33203125" style="285" customWidth="1"/>
    <col min="10239" max="10239" width="5.6640625" style="285" customWidth="1"/>
    <col min="10240" max="10240" width="10.109375" style="285" bestFit="1" customWidth="1"/>
    <col min="10241" max="10241" width="9.6640625" style="285" customWidth="1"/>
    <col min="10242" max="10242" width="14.6640625" style="285" customWidth="1"/>
    <col min="10243" max="10243" width="8.6640625" style="285" customWidth="1"/>
    <col min="10244" max="10244" width="11.5546875" style="285" customWidth="1"/>
    <col min="10245" max="10245" width="14.6640625" style="285" customWidth="1"/>
    <col min="10246" max="10489" width="8.88671875" style="285"/>
    <col min="10490" max="10490" width="9.6640625" style="285" customWidth="1"/>
    <col min="10491" max="10491" width="15.109375" style="285" bestFit="1" customWidth="1"/>
    <col min="10492" max="10492" width="14" style="285" bestFit="1" customWidth="1"/>
    <col min="10493" max="10493" width="17.109375" style="285" bestFit="1" customWidth="1"/>
    <col min="10494" max="10494" width="34.33203125" style="285" customWidth="1"/>
    <col min="10495" max="10495" width="5.6640625" style="285" customWidth="1"/>
    <col min="10496" max="10496" width="10.109375" style="285" bestFit="1" customWidth="1"/>
    <col min="10497" max="10497" width="9.6640625" style="285" customWidth="1"/>
    <col min="10498" max="10498" width="14.6640625" style="285" customWidth="1"/>
    <col min="10499" max="10499" width="8.6640625" style="285" customWidth="1"/>
    <col min="10500" max="10500" width="11.5546875" style="285" customWidth="1"/>
    <col min="10501" max="10501" width="14.6640625" style="285" customWidth="1"/>
    <col min="10502" max="10745" width="8.88671875" style="285"/>
    <col min="10746" max="10746" width="9.6640625" style="285" customWidth="1"/>
    <col min="10747" max="10747" width="15.109375" style="285" bestFit="1" customWidth="1"/>
    <col min="10748" max="10748" width="14" style="285" bestFit="1" customWidth="1"/>
    <col min="10749" max="10749" width="17.109375" style="285" bestFit="1" customWidth="1"/>
    <col min="10750" max="10750" width="34.33203125" style="285" customWidth="1"/>
    <col min="10751" max="10751" width="5.6640625" style="285" customWidth="1"/>
    <col min="10752" max="10752" width="10.109375" style="285" bestFit="1" customWidth="1"/>
    <col min="10753" max="10753" width="9.6640625" style="285" customWidth="1"/>
    <col min="10754" max="10754" width="14.6640625" style="285" customWidth="1"/>
    <col min="10755" max="10755" width="8.6640625" style="285" customWidth="1"/>
    <col min="10756" max="10756" width="11.5546875" style="285" customWidth="1"/>
    <col min="10757" max="10757" width="14.6640625" style="285" customWidth="1"/>
    <col min="10758" max="11001" width="8.88671875" style="285"/>
    <col min="11002" max="11002" width="9.6640625" style="285" customWidth="1"/>
    <col min="11003" max="11003" width="15.109375" style="285" bestFit="1" customWidth="1"/>
    <col min="11004" max="11004" width="14" style="285" bestFit="1" customWidth="1"/>
    <col min="11005" max="11005" width="17.109375" style="285" bestFit="1" customWidth="1"/>
    <col min="11006" max="11006" width="34.33203125" style="285" customWidth="1"/>
    <col min="11007" max="11007" width="5.6640625" style="285" customWidth="1"/>
    <col min="11008" max="11008" width="10.109375" style="285" bestFit="1" customWidth="1"/>
    <col min="11009" max="11009" width="9.6640625" style="285" customWidth="1"/>
    <col min="11010" max="11010" width="14.6640625" style="285" customWidth="1"/>
    <col min="11011" max="11011" width="8.6640625" style="285" customWidth="1"/>
    <col min="11012" max="11012" width="11.5546875" style="285" customWidth="1"/>
    <col min="11013" max="11013" width="14.6640625" style="285" customWidth="1"/>
    <col min="11014" max="11257" width="8.88671875" style="285"/>
    <col min="11258" max="11258" width="9.6640625" style="285" customWidth="1"/>
    <col min="11259" max="11259" width="15.109375" style="285" bestFit="1" customWidth="1"/>
    <col min="11260" max="11260" width="14" style="285" bestFit="1" customWidth="1"/>
    <col min="11261" max="11261" width="17.109375" style="285" bestFit="1" customWidth="1"/>
    <col min="11262" max="11262" width="34.33203125" style="285" customWidth="1"/>
    <col min="11263" max="11263" width="5.6640625" style="285" customWidth="1"/>
    <col min="11264" max="11264" width="10.109375" style="285" bestFit="1" customWidth="1"/>
    <col min="11265" max="11265" width="9.6640625" style="285" customWidth="1"/>
    <col min="11266" max="11266" width="14.6640625" style="285" customWidth="1"/>
    <col min="11267" max="11267" width="8.6640625" style="285" customWidth="1"/>
    <col min="11268" max="11268" width="11.5546875" style="285" customWidth="1"/>
    <col min="11269" max="11269" width="14.6640625" style="285" customWidth="1"/>
    <col min="11270" max="11513" width="8.88671875" style="285"/>
    <col min="11514" max="11514" width="9.6640625" style="285" customWidth="1"/>
    <col min="11515" max="11515" width="15.109375" style="285" bestFit="1" customWidth="1"/>
    <col min="11516" max="11516" width="14" style="285" bestFit="1" customWidth="1"/>
    <col min="11517" max="11517" width="17.109375" style="285" bestFit="1" customWidth="1"/>
    <col min="11518" max="11518" width="34.33203125" style="285" customWidth="1"/>
    <col min="11519" max="11519" width="5.6640625" style="285" customWidth="1"/>
    <col min="11520" max="11520" width="10.109375" style="285" bestFit="1" customWidth="1"/>
    <col min="11521" max="11521" width="9.6640625" style="285" customWidth="1"/>
    <col min="11522" max="11522" width="14.6640625" style="285" customWidth="1"/>
    <col min="11523" max="11523" width="8.6640625" style="285" customWidth="1"/>
    <col min="11524" max="11524" width="11.5546875" style="285" customWidth="1"/>
    <col min="11525" max="11525" width="14.6640625" style="285" customWidth="1"/>
    <col min="11526" max="11769" width="8.88671875" style="285"/>
    <col min="11770" max="11770" width="9.6640625" style="285" customWidth="1"/>
    <col min="11771" max="11771" width="15.109375" style="285" bestFit="1" customWidth="1"/>
    <col min="11772" max="11772" width="14" style="285" bestFit="1" customWidth="1"/>
    <col min="11773" max="11773" width="17.109375" style="285" bestFit="1" customWidth="1"/>
    <col min="11774" max="11774" width="34.33203125" style="285" customWidth="1"/>
    <col min="11775" max="11775" width="5.6640625" style="285" customWidth="1"/>
    <col min="11776" max="11776" width="10.109375" style="285" bestFit="1" customWidth="1"/>
    <col min="11777" max="11777" width="9.6640625" style="285" customWidth="1"/>
    <col min="11778" max="11778" width="14.6640625" style="285" customWidth="1"/>
    <col min="11779" max="11779" width="8.6640625" style="285" customWidth="1"/>
    <col min="11780" max="11780" width="11.5546875" style="285" customWidth="1"/>
    <col min="11781" max="11781" width="14.6640625" style="285" customWidth="1"/>
    <col min="11782" max="12025" width="8.88671875" style="285"/>
    <col min="12026" max="12026" width="9.6640625" style="285" customWidth="1"/>
    <col min="12027" max="12027" width="15.109375" style="285" bestFit="1" customWidth="1"/>
    <col min="12028" max="12028" width="14" style="285" bestFit="1" customWidth="1"/>
    <col min="12029" max="12029" width="17.109375" style="285" bestFit="1" customWidth="1"/>
    <col min="12030" max="12030" width="34.33203125" style="285" customWidth="1"/>
    <col min="12031" max="12031" width="5.6640625" style="285" customWidth="1"/>
    <col min="12032" max="12032" width="10.109375" style="285" bestFit="1" customWidth="1"/>
    <col min="12033" max="12033" width="9.6640625" style="285" customWidth="1"/>
    <col min="12034" max="12034" width="14.6640625" style="285" customWidth="1"/>
    <col min="12035" max="12035" width="8.6640625" style="285" customWidth="1"/>
    <col min="12036" max="12036" width="11.5546875" style="285" customWidth="1"/>
    <col min="12037" max="12037" width="14.6640625" style="285" customWidth="1"/>
    <col min="12038" max="12281" width="8.88671875" style="285"/>
    <col min="12282" max="12282" width="9.6640625" style="285" customWidth="1"/>
    <col min="12283" max="12283" width="15.109375" style="285" bestFit="1" customWidth="1"/>
    <col min="12284" max="12284" width="14" style="285" bestFit="1" customWidth="1"/>
    <col min="12285" max="12285" width="17.109375" style="285" bestFit="1" customWidth="1"/>
    <col min="12286" max="12286" width="34.33203125" style="285" customWidth="1"/>
    <col min="12287" max="12287" width="5.6640625" style="285" customWidth="1"/>
    <col min="12288" max="12288" width="10.109375" style="285" bestFit="1" customWidth="1"/>
    <col min="12289" max="12289" width="9.6640625" style="285" customWidth="1"/>
    <col min="12290" max="12290" width="14.6640625" style="285" customWidth="1"/>
    <col min="12291" max="12291" width="8.6640625" style="285" customWidth="1"/>
    <col min="12292" max="12292" width="11.5546875" style="285" customWidth="1"/>
    <col min="12293" max="12293" width="14.6640625" style="285" customWidth="1"/>
    <col min="12294" max="12537" width="8.88671875" style="285"/>
    <col min="12538" max="12538" width="9.6640625" style="285" customWidth="1"/>
    <col min="12539" max="12539" width="15.109375" style="285" bestFit="1" customWidth="1"/>
    <col min="12540" max="12540" width="14" style="285" bestFit="1" customWidth="1"/>
    <col min="12541" max="12541" width="17.109375" style="285" bestFit="1" customWidth="1"/>
    <col min="12542" max="12542" width="34.33203125" style="285" customWidth="1"/>
    <col min="12543" max="12543" width="5.6640625" style="285" customWidth="1"/>
    <col min="12544" max="12544" width="10.109375" style="285" bestFit="1" customWidth="1"/>
    <col min="12545" max="12545" width="9.6640625" style="285" customWidth="1"/>
    <col min="12546" max="12546" width="14.6640625" style="285" customWidth="1"/>
    <col min="12547" max="12547" width="8.6640625" style="285" customWidth="1"/>
    <col min="12548" max="12548" width="11.5546875" style="285" customWidth="1"/>
    <col min="12549" max="12549" width="14.6640625" style="285" customWidth="1"/>
    <col min="12550" max="12793" width="8.88671875" style="285"/>
    <col min="12794" max="12794" width="9.6640625" style="285" customWidth="1"/>
    <col min="12795" max="12795" width="15.109375" style="285" bestFit="1" customWidth="1"/>
    <col min="12796" max="12796" width="14" style="285" bestFit="1" customWidth="1"/>
    <col min="12797" max="12797" width="17.109375" style="285" bestFit="1" customWidth="1"/>
    <col min="12798" max="12798" width="34.33203125" style="285" customWidth="1"/>
    <col min="12799" max="12799" width="5.6640625" style="285" customWidth="1"/>
    <col min="12800" max="12800" width="10.109375" style="285" bestFit="1" customWidth="1"/>
    <col min="12801" max="12801" width="9.6640625" style="285" customWidth="1"/>
    <col min="12802" max="12802" width="14.6640625" style="285" customWidth="1"/>
    <col min="12803" max="12803" width="8.6640625" style="285" customWidth="1"/>
    <col min="12804" max="12804" width="11.5546875" style="285" customWidth="1"/>
    <col min="12805" max="12805" width="14.6640625" style="285" customWidth="1"/>
    <col min="12806" max="13049" width="8.88671875" style="285"/>
    <col min="13050" max="13050" width="9.6640625" style="285" customWidth="1"/>
    <col min="13051" max="13051" width="15.109375" style="285" bestFit="1" customWidth="1"/>
    <col min="13052" max="13052" width="14" style="285" bestFit="1" customWidth="1"/>
    <col min="13053" max="13053" width="17.109375" style="285" bestFit="1" customWidth="1"/>
    <col min="13054" max="13054" width="34.33203125" style="285" customWidth="1"/>
    <col min="13055" max="13055" width="5.6640625" style="285" customWidth="1"/>
    <col min="13056" max="13056" width="10.109375" style="285" bestFit="1" customWidth="1"/>
    <col min="13057" max="13057" width="9.6640625" style="285" customWidth="1"/>
    <col min="13058" max="13058" width="14.6640625" style="285" customWidth="1"/>
    <col min="13059" max="13059" width="8.6640625" style="285" customWidth="1"/>
    <col min="13060" max="13060" width="11.5546875" style="285" customWidth="1"/>
    <col min="13061" max="13061" width="14.6640625" style="285" customWidth="1"/>
    <col min="13062" max="13305" width="8.88671875" style="285"/>
    <col min="13306" max="13306" width="9.6640625" style="285" customWidth="1"/>
    <col min="13307" max="13307" width="15.109375" style="285" bestFit="1" customWidth="1"/>
    <col min="13308" max="13308" width="14" style="285" bestFit="1" customWidth="1"/>
    <col min="13309" max="13309" width="17.109375" style="285" bestFit="1" customWidth="1"/>
    <col min="13310" max="13310" width="34.33203125" style="285" customWidth="1"/>
    <col min="13311" max="13311" width="5.6640625" style="285" customWidth="1"/>
    <col min="13312" max="13312" width="10.109375" style="285" bestFit="1" customWidth="1"/>
    <col min="13313" max="13313" width="9.6640625" style="285" customWidth="1"/>
    <col min="13314" max="13314" width="14.6640625" style="285" customWidth="1"/>
    <col min="13315" max="13315" width="8.6640625" style="285" customWidth="1"/>
    <col min="13316" max="13316" width="11.5546875" style="285" customWidth="1"/>
    <col min="13317" max="13317" width="14.6640625" style="285" customWidth="1"/>
    <col min="13318" max="13561" width="8.88671875" style="285"/>
    <col min="13562" max="13562" width="9.6640625" style="285" customWidth="1"/>
    <col min="13563" max="13563" width="15.109375" style="285" bestFit="1" customWidth="1"/>
    <col min="13564" max="13564" width="14" style="285" bestFit="1" customWidth="1"/>
    <col min="13565" max="13565" width="17.109375" style="285" bestFit="1" customWidth="1"/>
    <col min="13566" max="13566" width="34.33203125" style="285" customWidth="1"/>
    <col min="13567" max="13567" width="5.6640625" style="285" customWidth="1"/>
    <col min="13568" max="13568" width="10.109375" style="285" bestFit="1" customWidth="1"/>
    <col min="13569" max="13569" width="9.6640625" style="285" customWidth="1"/>
    <col min="13570" max="13570" width="14.6640625" style="285" customWidth="1"/>
    <col min="13571" max="13571" width="8.6640625" style="285" customWidth="1"/>
    <col min="13572" max="13572" width="11.5546875" style="285" customWidth="1"/>
    <col min="13573" max="13573" width="14.6640625" style="285" customWidth="1"/>
    <col min="13574" max="13817" width="8.88671875" style="285"/>
    <col min="13818" max="13818" width="9.6640625" style="285" customWidth="1"/>
    <col min="13819" max="13819" width="15.109375" style="285" bestFit="1" customWidth="1"/>
    <col min="13820" max="13820" width="14" style="285" bestFit="1" customWidth="1"/>
    <col min="13821" max="13821" width="17.109375" style="285" bestFit="1" customWidth="1"/>
    <col min="13822" max="13822" width="34.33203125" style="285" customWidth="1"/>
    <col min="13823" max="13823" width="5.6640625" style="285" customWidth="1"/>
    <col min="13824" max="13824" width="10.109375" style="285" bestFit="1" customWidth="1"/>
    <col min="13825" max="13825" width="9.6640625" style="285" customWidth="1"/>
    <col min="13826" max="13826" width="14.6640625" style="285" customWidth="1"/>
    <col min="13827" max="13827" width="8.6640625" style="285" customWidth="1"/>
    <col min="13828" max="13828" width="11.5546875" style="285" customWidth="1"/>
    <col min="13829" max="13829" width="14.6640625" style="285" customWidth="1"/>
    <col min="13830" max="14073" width="8.88671875" style="285"/>
    <col min="14074" max="14074" width="9.6640625" style="285" customWidth="1"/>
    <col min="14075" max="14075" width="15.109375" style="285" bestFit="1" customWidth="1"/>
    <col min="14076" max="14076" width="14" style="285" bestFit="1" customWidth="1"/>
    <col min="14077" max="14077" width="17.109375" style="285" bestFit="1" customWidth="1"/>
    <col min="14078" max="14078" width="34.33203125" style="285" customWidth="1"/>
    <col min="14079" max="14079" width="5.6640625" style="285" customWidth="1"/>
    <col min="14080" max="14080" width="10.109375" style="285" bestFit="1" customWidth="1"/>
    <col min="14081" max="14081" width="9.6640625" style="285" customWidth="1"/>
    <col min="14082" max="14082" width="14.6640625" style="285" customWidth="1"/>
    <col min="14083" max="14083" width="8.6640625" style="285" customWidth="1"/>
    <col min="14084" max="14084" width="11.5546875" style="285" customWidth="1"/>
    <col min="14085" max="14085" width="14.6640625" style="285" customWidth="1"/>
    <col min="14086" max="14329" width="8.88671875" style="285"/>
    <col min="14330" max="14330" width="9.6640625" style="285" customWidth="1"/>
    <col min="14331" max="14331" width="15.109375" style="285" bestFit="1" customWidth="1"/>
    <col min="14332" max="14332" width="14" style="285" bestFit="1" customWidth="1"/>
    <col min="14333" max="14333" width="17.109375" style="285" bestFit="1" customWidth="1"/>
    <col min="14334" max="14334" width="34.33203125" style="285" customWidth="1"/>
    <col min="14335" max="14335" width="5.6640625" style="285" customWidth="1"/>
    <col min="14336" max="14336" width="10.109375" style="285" bestFit="1" customWidth="1"/>
    <col min="14337" max="14337" width="9.6640625" style="285" customWidth="1"/>
    <col min="14338" max="14338" width="14.6640625" style="285" customWidth="1"/>
    <col min="14339" max="14339" width="8.6640625" style="285" customWidth="1"/>
    <col min="14340" max="14340" width="11.5546875" style="285" customWidth="1"/>
    <col min="14341" max="14341" width="14.6640625" style="285" customWidth="1"/>
    <col min="14342" max="14585" width="8.88671875" style="285"/>
    <col min="14586" max="14586" width="9.6640625" style="285" customWidth="1"/>
    <col min="14587" max="14587" width="15.109375" style="285" bestFit="1" customWidth="1"/>
    <col min="14588" max="14588" width="14" style="285" bestFit="1" customWidth="1"/>
    <col min="14589" max="14589" width="17.109375" style="285" bestFit="1" customWidth="1"/>
    <col min="14590" max="14590" width="34.33203125" style="285" customWidth="1"/>
    <col min="14591" max="14591" width="5.6640625" style="285" customWidth="1"/>
    <col min="14592" max="14592" width="10.109375" style="285" bestFit="1" customWidth="1"/>
    <col min="14593" max="14593" width="9.6640625" style="285" customWidth="1"/>
    <col min="14594" max="14594" width="14.6640625" style="285" customWidth="1"/>
    <col min="14595" max="14595" width="8.6640625" style="285" customWidth="1"/>
    <col min="14596" max="14596" width="11.5546875" style="285" customWidth="1"/>
    <col min="14597" max="14597" width="14.6640625" style="285" customWidth="1"/>
    <col min="14598" max="14841" width="8.88671875" style="285"/>
    <col min="14842" max="14842" width="9.6640625" style="285" customWidth="1"/>
    <col min="14843" max="14843" width="15.109375" style="285" bestFit="1" customWidth="1"/>
    <col min="14844" max="14844" width="14" style="285" bestFit="1" customWidth="1"/>
    <col min="14845" max="14845" width="17.109375" style="285" bestFit="1" customWidth="1"/>
    <col min="14846" max="14846" width="34.33203125" style="285" customWidth="1"/>
    <col min="14847" max="14847" width="5.6640625" style="285" customWidth="1"/>
    <col min="14848" max="14848" width="10.109375" style="285" bestFit="1" customWidth="1"/>
    <col min="14849" max="14849" width="9.6640625" style="285" customWidth="1"/>
    <col min="14850" max="14850" width="14.6640625" style="285" customWidth="1"/>
    <col min="14851" max="14851" width="8.6640625" style="285" customWidth="1"/>
    <col min="14852" max="14852" width="11.5546875" style="285" customWidth="1"/>
    <col min="14853" max="14853" width="14.6640625" style="285" customWidth="1"/>
    <col min="14854" max="15097" width="8.88671875" style="285"/>
    <col min="15098" max="15098" width="9.6640625" style="285" customWidth="1"/>
    <col min="15099" max="15099" width="15.109375" style="285" bestFit="1" customWidth="1"/>
    <col min="15100" max="15100" width="14" style="285" bestFit="1" customWidth="1"/>
    <col min="15101" max="15101" width="17.109375" style="285" bestFit="1" customWidth="1"/>
    <col min="15102" max="15102" width="34.33203125" style="285" customWidth="1"/>
    <col min="15103" max="15103" width="5.6640625" style="285" customWidth="1"/>
    <col min="15104" max="15104" width="10.109375" style="285" bestFit="1" customWidth="1"/>
    <col min="15105" max="15105" width="9.6640625" style="285" customWidth="1"/>
    <col min="15106" max="15106" width="14.6640625" style="285" customWidth="1"/>
    <col min="15107" max="15107" width="8.6640625" style="285" customWidth="1"/>
    <col min="15108" max="15108" width="11.5546875" style="285" customWidth="1"/>
    <col min="15109" max="15109" width="14.6640625" style="285" customWidth="1"/>
    <col min="15110" max="15353" width="8.88671875" style="285"/>
    <col min="15354" max="15354" width="9.6640625" style="285" customWidth="1"/>
    <col min="15355" max="15355" width="15.109375" style="285" bestFit="1" customWidth="1"/>
    <col min="15356" max="15356" width="14" style="285" bestFit="1" customWidth="1"/>
    <col min="15357" max="15357" width="17.109375" style="285" bestFit="1" customWidth="1"/>
    <col min="15358" max="15358" width="34.33203125" style="285" customWidth="1"/>
    <col min="15359" max="15359" width="5.6640625" style="285" customWidth="1"/>
    <col min="15360" max="15360" width="10.109375" style="285" bestFit="1" customWidth="1"/>
    <col min="15361" max="15361" width="9.6640625" style="285" customWidth="1"/>
    <col min="15362" max="15362" width="14.6640625" style="285" customWidth="1"/>
    <col min="15363" max="15363" width="8.6640625" style="285" customWidth="1"/>
    <col min="15364" max="15364" width="11.5546875" style="285" customWidth="1"/>
    <col min="15365" max="15365" width="14.6640625" style="285" customWidth="1"/>
    <col min="15366" max="15609" width="8.88671875" style="285"/>
    <col min="15610" max="15610" width="9.6640625" style="285" customWidth="1"/>
    <col min="15611" max="15611" width="15.109375" style="285" bestFit="1" customWidth="1"/>
    <col min="15612" max="15612" width="14" style="285" bestFit="1" customWidth="1"/>
    <col min="15613" max="15613" width="17.109375" style="285" bestFit="1" customWidth="1"/>
    <col min="15614" max="15614" width="34.33203125" style="285" customWidth="1"/>
    <col min="15615" max="15615" width="5.6640625" style="285" customWidth="1"/>
    <col min="15616" max="15616" width="10.109375" style="285" bestFit="1" customWidth="1"/>
    <col min="15617" max="15617" width="9.6640625" style="285" customWidth="1"/>
    <col min="15618" max="15618" width="14.6640625" style="285" customWidth="1"/>
    <col min="15619" max="15619" width="8.6640625" style="285" customWidth="1"/>
    <col min="15620" max="15620" width="11.5546875" style="285" customWidth="1"/>
    <col min="15621" max="15621" width="14.6640625" style="285" customWidth="1"/>
    <col min="15622" max="15865" width="8.88671875" style="285"/>
    <col min="15866" max="15866" width="9.6640625" style="285" customWidth="1"/>
    <col min="15867" max="15867" width="15.109375" style="285" bestFit="1" customWidth="1"/>
    <col min="15868" max="15868" width="14" style="285" bestFit="1" customWidth="1"/>
    <col min="15869" max="15869" width="17.109375" style="285" bestFit="1" customWidth="1"/>
    <col min="15870" max="15870" width="34.33203125" style="285" customWidth="1"/>
    <col min="15871" max="15871" width="5.6640625" style="285" customWidth="1"/>
    <col min="15872" max="15872" width="10.109375" style="285" bestFit="1" customWidth="1"/>
    <col min="15873" max="15873" width="9.6640625" style="285" customWidth="1"/>
    <col min="15874" max="15874" width="14.6640625" style="285" customWidth="1"/>
    <col min="15875" max="15875" width="8.6640625" style="285" customWidth="1"/>
    <col min="15876" max="15876" width="11.5546875" style="285" customWidth="1"/>
    <col min="15877" max="15877" width="14.6640625" style="285" customWidth="1"/>
    <col min="15878" max="16121" width="8.88671875" style="285"/>
    <col min="16122" max="16122" width="9.6640625" style="285" customWidth="1"/>
    <col min="16123" max="16123" width="15.109375" style="285" bestFit="1" customWidth="1"/>
    <col min="16124" max="16124" width="14" style="285" bestFit="1" customWidth="1"/>
    <col min="16125" max="16125" width="17.109375" style="285" bestFit="1" customWidth="1"/>
    <col min="16126" max="16126" width="34.33203125" style="285" customWidth="1"/>
    <col min="16127" max="16127" width="5.6640625" style="285" customWidth="1"/>
    <col min="16128" max="16128" width="10.109375" style="285" bestFit="1" customWidth="1"/>
    <col min="16129" max="16129" width="9.6640625" style="285" customWidth="1"/>
    <col min="16130" max="16130" width="14.6640625" style="285" customWidth="1"/>
    <col min="16131" max="16131" width="8.6640625" style="285" customWidth="1"/>
    <col min="16132" max="16132" width="11.5546875" style="285" customWidth="1"/>
    <col min="16133" max="16133" width="14.6640625" style="285" customWidth="1"/>
    <col min="16134" max="16372" width="8.88671875" style="285"/>
    <col min="16373" max="16381" width="9.109375" style="285" customWidth="1"/>
    <col min="16382" max="16384" width="8.88671875" style="285"/>
  </cols>
  <sheetData>
    <row r="1" spans="1:23" x14ac:dyDescent="0.25">
      <c r="B1" s="283"/>
      <c r="C1" s="743" t="s">
        <v>157</v>
      </c>
      <c r="D1" s="743"/>
      <c r="E1" s="743"/>
      <c r="F1" s="743"/>
      <c r="G1" s="743"/>
      <c r="H1" s="763"/>
      <c r="I1" s="743"/>
      <c r="J1" s="743"/>
      <c r="K1" s="743"/>
      <c r="L1" s="743"/>
      <c r="M1" s="284"/>
      <c r="W1" s="287"/>
    </row>
    <row r="2" spans="1:23" ht="21" x14ac:dyDescent="0.4">
      <c r="B2" s="288"/>
      <c r="C2" s="744"/>
      <c r="D2" s="744"/>
      <c r="E2" s="744"/>
      <c r="F2" s="744"/>
      <c r="G2" s="744"/>
      <c r="H2" s="764"/>
      <c r="I2" s="744"/>
      <c r="J2" s="744"/>
      <c r="K2" s="744"/>
      <c r="L2" s="744"/>
      <c r="M2" s="289"/>
    </row>
    <row r="3" spans="1:23" ht="18" customHeight="1" x14ac:dyDescent="0.3">
      <c r="B3" s="288"/>
      <c r="C3" s="744"/>
      <c r="D3" s="744"/>
      <c r="E3" s="744"/>
      <c r="F3" s="744"/>
      <c r="G3" s="744"/>
      <c r="H3" s="764"/>
      <c r="I3" s="744"/>
      <c r="J3" s="744"/>
      <c r="K3" s="744"/>
      <c r="L3" s="744"/>
      <c r="M3" s="290"/>
    </row>
    <row r="4" spans="1:23" ht="15.6" thickBot="1" x14ac:dyDescent="0.3">
      <c r="B4" s="288"/>
      <c r="C4" s="744"/>
      <c r="D4" s="744"/>
      <c r="E4" s="744"/>
      <c r="F4" s="744"/>
      <c r="G4" s="744"/>
      <c r="H4" s="764"/>
      <c r="I4" s="744"/>
      <c r="J4" s="744"/>
      <c r="K4" s="744"/>
      <c r="L4" s="744"/>
      <c r="M4" s="291"/>
    </row>
    <row r="5" spans="1:23" s="293" customFormat="1" ht="45.75" customHeight="1" x14ac:dyDescent="0.25">
      <c r="A5" s="750"/>
      <c r="B5" s="133"/>
      <c r="C5" s="765" t="s">
        <v>62</v>
      </c>
      <c r="D5" s="767" t="s">
        <v>64</v>
      </c>
      <c r="E5" s="769" t="s">
        <v>65</v>
      </c>
      <c r="F5" s="767" t="s">
        <v>158</v>
      </c>
      <c r="G5" s="767" t="s">
        <v>159</v>
      </c>
      <c r="H5" s="771" t="s">
        <v>160</v>
      </c>
      <c r="I5" s="771" t="s">
        <v>161</v>
      </c>
      <c r="J5" s="771" t="s">
        <v>38</v>
      </c>
      <c r="K5" s="773" t="s">
        <v>162</v>
      </c>
      <c r="L5" s="775" t="s">
        <v>39</v>
      </c>
      <c r="M5" s="292"/>
      <c r="O5" s="294"/>
    </row>
    <row r="6" spans="1:23" s="137" customFormat="1" ht="14.4" thickBot="1" x14ac:dyDescent="0.35">
      <c r="A6" s="750"/>
      <c r="B6" s="133"/>
      <c r="C6" s="766"/>
      <c r="D6" s="768"/>
      <c r="E6" s="770"/>
      <c r="F6" s="768"/>
      <c r="G6" s="768"/>
      <c r="H6" s="772"/>
      <c r="I6" s="772"/>
      <c r="J6" s="772"/>
      <c r="K6" s="774"/>
      <c r="L6" s="776"/>
      <c r="M6" s="135"/>
    </row>
    <row r="7" spans="1:23" s="137" customFormat="1" ht="15.6" x14ac:dyDescent="0.3">
      <c r="A7" s="132"/>
      <c r="B7" s="133"/>
      <c r="C7" s="295" t="s">
        <v>163</v>
      </c>
      <c r="D7" s="296"/>
      <c r="E7" s="297"/>
      <c r="F7" s="296"/>
      <c r="G7" s="296"/>
      <c r="H7" s="298"/>
      <c r="I7" s="298"/>
      <c r="J7" s="298"/>
      <c r="K7" s="299"/>
      <c r="L7" s="300"/>
      <c r="M7" s="135"/>
    </row>
    <row r="8" spans="1:23" s="137" customFormat="1" ht="15.6" x14ac:dyDescent="0.3">
      <c r="A8" s="132"/>
      <c r="B8" s="133"/>
      <c r="C8" s="301"/>
      <c r="D8" s="296"/>
      <c r="E8" s="297"/>
      <c r="F8" s="296"/>
      <c r="G8" s="296"/>
      <c r="H8" s="298"/>
      <c r="I8" s="298"/>
      <c r="J8" s="298"/>
      <c r="K8" s="299"/>
      <c r="L8" s="300"/>
      <c r="M8" s="135"/>
    </row>
    <row r="9" spans="1:23" s="137" customFormat="1" ht="18.75" customHeight="1" x14ac:dyDescent="0.3">
      <c r="A9" s="132"/>
      <c r="B9" s="133"/>
      <c r="C9" s="302">
        <v>46076</v>
      </c>
      <c r="D9" s="176" t="s">
        <v>164</v>
      </c>
      <c r="E9" s="303" t="s">
        <v>165</v>
      </c>
      <c r="F9" s="33" t="s">
        <v>166</v>
      </c>
      <c r="G9" s="304"/>
      <c r="H9" s="305"/>
      <c r="I9" s="305"/>
      <c r="J9" s="306">
        <v>5</v>
      </c>
      <c r="K9" s="307">
        <f t="shared" ref="K9:K30" si="0">L9/J9</f>
        <v>12.1</v>
      </c>
      <c r="L9" s="308">
        <v>60.5</v>
      </c>
      <c r="M9" s="135"/>
    </row>
    <row r="10" spans="1:23" s="137" customFormat="1" ht="18.75" customHeight="1" x14ac:dyDescent="0.3">
      <c r="A10" s="132"/>
      <c r="B10" s="133"/>
      <c r="C10" s="302">
        <v>46076</v>
      </c>
      <c r="D10" s="176" t="s">
        <v>164</v>
      </c>
      <c r="E10" s="303" t="s">
        <v>85</v>
      </c>
      <c r="F10" s="33" t="s">
        <v>166</v>
      </c>
      <c r="G10" s="304"/>
      <c r="H10" s="305"/>
      <c r="I10" s="305"/>
      <c r="J10" s="306">
        <v>5</v>
      </c>
      <c r="K10" s="307">
        <f t="shared" si="0"/>
        <v>12.1</v>
      </c>
      <c r="L10" s="308">
        <v>60.5</v>
      </c>
      <c r="M10" s="135"/>
    </row>
    <row r="11" spans="1:23" s="137" customFormat="1" ht="18.75" customHeight="1" x14ac:dyDescent="0.3">
      <c r="A11" s="132"/>
      <c r="B11" s="133"/>
      <c r="C11" s="302">
        <v>46076</v>
      </c>
      <c r="D11" s="176" t="s">
        <v>164</v>
      </c>
      <c r="E11" s="303" t="s">
        <v>167</v>
      </c>
      <c r="F11" s="33" t="s">
        <v>166</v>
      </c>
      <c r="G11" s="304"/>
      <c r="H11" s="305"/>
      <c r="I11" s="305"/>
      <c r="J11" s="306">
        <v>5</v>
      </c>
      <c r="K11" s="307">
        <f t="shared" si="0"/>
        <v>12.1</v>
      </c>
      <c r="L11" s="308">
        <v>60.5</v>
      </c>
      <c r="M11" s="135"/>
    </row>
    <row r="12" spans="1:23" s="137" customFormat="1" ht="18.75" customHeight="1" x14ac:dyDescent="0.3">
      <c r="A12" s="132"/>
      <c r="B12" s="133"/>
      <c r="C12" s="302">
        <v>46076</v>
      </c>
      <c r="D12" s="176" t="s">
        <v>164</v>
      </c>
      <c r="E12" s="303" t="s">
        <v>168</v>
      </c>
      <c r="F12" s="33" t="s">
        <v>166</v>
      </c>
      <c r="G12" s="304"/>
      <c r="H12" s="305"/>
      <c r="I12" s="305"/>
      <c r="J12" s="306">
        <v>5</v>
      </c>
      <c r="K12" s="307">
        <f t="shared" si="0"/>
        <v>12.1</v>
      </c>
      <c r="L12" s="308">
        <v>60.5</v>
      </c>
      <c r="M12" s="135"/>
    </row>
    <row r="13" spans="1:23" s="137" customFormat="1" ht="18.75" customHeight="1" x14ac:dyDescent="0.3">
      <c r="A13" s="132"/>
      <c r="B13" s="133"/>
      <c r="C13" s="302">
        <v>46076</v>
      </c>
      <c r="D13" s="176" t="s">
        <v>164</v>
      </c>
      <c r="E13" s="303" t="s">
        <v>83</v>
      </c>
      <c r="F13" s="33" t="s">
        <v>166</v>
      </c>
      <c r="G13" s="304"/>
      <c r="H13" s="305"/>
      <c r="I13" s="305"/>
      <c r="J13" s="306">
        <v>5</v>
      </c>
      <c r="K13" s="307">
        <f t="shared" si="0"/>
        <v>12.1</v>
      </c>
      <c r="L13" s="308">
        <v>60.5</v>
      </c>
      <c r="M13" s="135"/>
    </row>
    <row r="14" spans="1:23" s="137" customFormat="1" ht="18.75" customHeight="1" x14ac:dyDescent="0.3">
      <c r="A14" s="132"/>
      <c r="B14" s="133"/>
      <c r="C14" s="302">
        <v>46077</v>
      </c>
      <c r="D14" s="176" t="s">
        <v>164</v>
      </c>
      <c r="E14" s="303" t="s">
        <v>131</v>
      </c>
      <c r="F14" s="33" t="s">
        <v>166</v>
      </c>
      <c r="G14" s="304"/>
      <c r="H14" s="305"/>
      <c r="I14" s="305"/>
      <c r="J14" s="306">
        <v>6</v>
      </c>
      <c r="K14" s="307">
        <f t="shared" si="0"/>
        <v>12.1</v>
      </c>
      <c r="L14" s="308">
        <v>72.599999999999994</v>
      </c>
      <c r="M14" s="135"/>
    </row>
    <row r="15" spans="1:23" s="137" customFormat="1" ht="18.75" customHeight="1" x14ac:dyDescent="0.3">
      <c r="A15" s="132"/>
      <c r="B15" s="133"/>
      <c r="C15" s="302">
        <v>46077</v>
      </c>
      <c r="D15" s="176" t="s">
        <v>164</v>
      </c>
      <c r="E15" s="303" t="s">
        <v>99</v>
      </c>
      <c r="F15" s="33" t="s">
        <v>166</v>
      </c>
      <c r="G15" s="304"/>
      <c r="H15" s="305"/>
      <c r="I15" s="305"/>
      <c r="J15" s="306">
        <v>5</v>
      </c>
      <c r="K15" s="307">
        <f t="shared" si="0"/>
        <v>12.1</v>
      </c>
      <c r="L15" s="308">
        <v>60.5</v>
      </c>
      <c r="M15" s="135"/>
    </row>
    <row r="16" spans="1:23" s="137" customFormat="1" ht="18.75" customHeight="1" x14ac:dyDescent="0.3">
      <c r="A16" s="132"/>
      <c r="B16" s="133"/>
      <c r="C16" s="302">
        <v>46077</v>
      </c>
      <c r="D16" s="176" t="s">
        <v>164</v>
      </c>
      <c r="E16" s="303" t="s">
        <v>136</v>
      </c>
      <c r="F16" s="33" t="s">
        <v>166</v>
      </c>
      <c r="G16" s="304"/>
      <c r="H16" s="305"/>
      <c r="I16" s="305"/>
      <c r="J16" s="306">
        <v>6</v>
      </c>
      <c r="K16" s="307">
        <f t="shared" si="0"/>
        <v>12.1</v>
      </c>
      <c r="L16" s="308">
        <v>72.599999999999994</v>
      </c>
      <c r="M16" s="135"/>
    </row>
    <row r="17" spans="1:13" s="137" customFormat="1" ht="18.75" customHeight="1" x14ac:dyDescent="0.3">
      <c r="A17" s="132"/>
      <c r="B17" s="133"/>
      <c r="C17" s="302">
        <v>46077</v>
      </c>
      <c r="D17" s="176" t="s">
        <v>164</v>
      </c>
      <c r="E17" s="303" t="s">
        <v>127</v>
      </c>
      <c r="F17" s="33" t="s">
        <v>166</v>
      </c>
      <c r="G17" s="304"/>
      <c r="H17" s="305"/>
      <c r="I17" s="305"/>
      <c r="J17" s="306">
        <v>5</v>
      </c>
      <c r="K17" s="307">
        <f t="shared" si="0"/>
        <v>12.1</v>
      </c>
      <c r="L17" s="308">
        <v>60.5</v>
      </c>
      <c r="M17" s="135"/>
    </row>
    <row r="18" spans="1:13" s="137" customFormat="1" ht="18.75" customHeight="1" x14ac:dyDescent="0.3">
      <c r="A18" s="132"/>
      <c r="B18" s="133"/>
      <c r="C18" s="302">
        <v>46077</v>
      </c>
      <c r="D18" s="176" t="s">
        <v>164</v>
      </c>
      <c r="E18" s="303" t="s">
        <v>97</v>
      </c>
      <c r="F18" s="33" t="s">
        <v>166</v>
      </c>
      <c r="G18" s="304"/>
      <c r="H18" s="305"/>
      <c r="I18" s="305"/>
      <c r="J18" s="306">
        <v>4</v>
      </c>
      <c r="K18" s="307">
        <f t="shared" si="0"/>
        <v>12.1</v>
      </c>
      <c r="L18" s="308">
        <v>48.4</v>
      </c>
      <c r="M18" s="135"/>
    </row>
    <row r="19" spans="1:13" s="137" customFormat="1" ht="18.75" customHeight="1" x14ac:dyDescent="0.3">
      <c r="A19" s="132"/>
      <c r="B19" s="133"/>
      <c r="C19" s="302">
        <v>46078</v>
      </c>
      <c r="D19" s="176" t="s">
        <v>164</v>
      </c>
      <c r="E19" s="303" t="s">
        <v>101</v>
      </c>
      <c r="F19" s="33" t="s">
        <v>166</v>
      </c>
      <c r="G19" s="304"/>
      <c r="H19" s="305"/>
      <c r="I19" s="305"/>
      <c r="J19" s="306">
        <v>7</v>
      </c>
      <c r="K19" s="307">
        <f t="shared" si="0"/>
        <v>12.1</v>
      </c>
      <c r="L19" s="308">
        <v>84.7</v>
      </c>
      <c r="M19" s="135"/>
    </row>
    <row r="20" spans="1:13" s="137" customFormat="1" ht="18.75" customHeight="1" x14ac:dyDescent="0.3">
      <c r="A20" s="132"/>
      <c r="B20" s="133"/>
      <c r="C20" s="302">
        <v>46078</v>
      </c>
      <c r="D20" s="176" t="s">
        <v>164</v>
      </c>
      <c r="E20" s="303" t="s">
        <v>77</v>
      </c>
      <c r="F20" s="33" t="s">
        <v>166</v>
      </c>
      <c r="G20" s="304"/>
      <c r="H20" s="305"/>
      <c r="I20" s="305"/>
      <c r="J20" s="306">
        <v>5</v>
      </c>
      <c r="K20" s="307">
        <f t="shared" si="0"/>
        <v>12.1</v>
      </c>
      <c r="L20" s="308">
        <v>60.5</v>
      </c>
      <c r="M20" s="135"/>
    </row>
    <row r="21" spans="1:13" s="137" customFormat="1" ht="18.75" customHeight="1" x14ac:dyDescent="0.3">
      <c r="A21" s="132"/>
      <c r="B21" s="133"/>
      <c r="C21" s="302">
        <v>46078</v>
      </c>
      <c r="D21" s="176" t="s">
        <v>164</v>
      </c>
      <c r="E21" s="303" t="s">
        <v>77</v>
      </c>
      <c r="F21" s="33" t="s">
        <v>166</v>
      </c>
      <c r="G21" s="304"/>
      <c r="H21" s="305"/>
      <c r="I21" s="305"/>
      <c r="J21" s="306">
        <v>5</v>
      </c>
      <c r="K21" s="307">
        <f t="shared" si="0"/>
        <v>12.1</v>
      </c>
      <c r="L21" s="308">
        <v>60.5</v>
      </c>
      <c r="M21" s="135"/>
    </row>
    <row r="22" spans="1:13" s="137" customFormat="1" ht="18.75" customHeight="1" x14ac:dyDescent="0.3">
      <c r="A22" s="132"/>
      <c r="B22" s="133"/>
      <c r="C22" s="302">
        <v>46078</v>
      </c>
      <c r="D22" s="176" t="s">
        <v>164</v>
      </c>
      <c r="E22" s="303" t="s">
        <v>138</v>
      </c>
      <c r="F22" s="33" t="s">
        <v>166</v>
      </c>
      <c r="G22" s="304"/>
      <c r="H22" s="305"/>
      <c r="I22" s="305"/>
      <c r="J22" s="306">
        <v>4</v>
      </c>
      <c r="K22" s="307">
        <f t="shared" si="0"/>
        <v>12.1</v>
      </c>
      <c r="L22" s="308">
        <v>48.4</v>
      </c>
      <c r="M22" s="135"/>
    </row>
    <row r="23" spans="1:13" s="137" customFormat="1" ht="18.75" customHeight="1" x14ac:dyDescent="0.3">
      <c r="A23" s="132"/>
      <c r="B23" s="133"/>
      <c r="C23" s="302">
        <v>46079</v>
      </c>
      <c r="D23" s="176" t="s">
        <v>164</v>
      </c>
      <c r="E23" s="303" t="s">
        <v>85</v>
      </c>
      <c r="F23" s="33" t="s">
        <v>166</v>
      </c>
      <c r="G23" s="304"/>
      <c r="H23" s="305"/>
      <c r="I23" s="305"/>
      <c r="J23" s="306">
        <v>5</v>
      </c>
      <c r="K23" s="307">
        <f t="shared" si="0"/>
        <v>12.11</v>
      </c>
      <c r="L23" s="308">
        <v>60.55</v>
      </c>
      <c r="M23" s="135"/>
    </row>
    <row r="24" spans="1:13" s="137" customFormat="1" ht="18.75" customHeight="1" x14ac:dyDescent="0.3">
      <c r="A24" s="132"/>
      <c r="B24" s="133"/>
      <c r="C24" s="302">
        <v>46079</v>
      </c>
      <c r="D24" s="176" t="s">
        <v>164</v>
      </c>
      <c r="E24" s="303" t="s">
        <v>167</v>
      </c>
      <c r="F24" s="33" t="s">
        <v>166</v>
      </c>
      <c r="G24" s="304"/>
      <c r="H24" s="305"/>
      <c r="I24" s="305"/>
      <c r="J24" s="306">
        <v>5</v>
      </c>
      <c r="K24" s="307">
        <f t="shared" si="0"/>
        <v>12.1</v>
      </c>
      <c r="L24" s="308">
        <v>60.5</v>
      </c>
      <c r="M24" s="135"/>
    </row>
    <row r="25" spans="1:13" s="137" customFormat="1" ht="18.75" customHeight="1" x14ac:dyDescent="0.3">
      <c r="A25" s="132"/>
      <c r="B25" s="133"/>
      <c r="C25" s="302">
        <v>46079</v>
      </c>
      <c r="D25" s="176" t="s">
        <v>164</v>
      </c>
      <c r="E25" s="303" t="s">
        <v>83</v>
      </c>
      <c r="F25" s="33" t="s">
        <v>166</v>
      </c>
      <c r="G25" s="304"/>
      <c r="H25" s="305"/>
      <c r="I25" s="305"/>
      <c r="J25" s="306">
        <v>5</v>
      </c>
      <c r="K25" s="307">
        <f t="shared" si="0"/>
        <v>12.1</v>
      </c>
      <c r="L25" s="308">
        <v>60.5</v>
      </c>
      <c r="M25" s="135"/>
    </row>
    <row r="26" spans="1:13" s="137" customFormat="1" ht="18.75" customHeight="1" x14ac:dyDescent="0.3">
      <c r="A26" s="132"/>
      <c r="B26" s="133"/>
      <c r="C26" s="302">
        <v>46080</v>
      </c>
      <c r="D26" s="176" t="s">
        <v>164</v>
      </c>
      <c r="E26" s="303" t="s">
        <v>165</v>
      </c>
      <c r="F26" s="33" t="s">
        <v>166</v>
      </c>
      <c r="G26" s="304"/>
      <c r="H26" s="305"/>
      <c r="I26" s="305"/>
      <c r="J26" s="306">
        <v>5</v>
      </c>
      <c r="K26" s="307">
        <f t="shared" si="0"/>
        <v>12.1</v>
      </c>
      <c r="L26" s="308">
        <v>60.5</v>
      </c>
      <c r="M26" s="135"/>
    </row>
    <row r="27" spans="1:13" s="137" customFormat="1" ht="18.75" customHeight="1" x14ac:dyDescent="0.3">
      <c r="A27" s="132"/>
      <c r="B27" s="133"/>
      <c r="C27" s="302">
        <v>46080</v>
      </c>
      <c r="D27" s="176" t="s">
        <v>164</v>
      </c>
      <c r="E27" s="303" t="s">
        <v>77</v>
      </c>
      <c r="F27" s="33" t="s">
        <v>166</v>
      </c>
      <c r="G27" s="304"/>
      <c r="H27" s="305"/>
      <c r="I27" s="305"/>
      <c r="J27" s="306">
        <v>5</v>
      </c>
      <c r="K27" s="307">
        <f t="shared" si="0"/>
        <v>12.1</v>
      </c>
      <c r="L27" s="308">
        <v>60.5</v>
      </c>
      <c r="M27" s="135"/>
    </row>
    <row r="28" spans="1:13" s="137" customFormat="1" ht="18.75" customHeight="1" x14ac:dyDescent="0.3">
      <c r="A28" s="132"/>
      <c r="B28" s="133"/>
      <c r="C28" s="302">
        <v>46080</v>
      </c>
      <c r="D28" s="176" t="s">
        <v>164</v>
      </c>
      <c r="E28" s="303" t="s">
        <v>136</v>
      </c>
      <c r="F28" s="33" t="s">
        <v>166</v>
      </c>
      <c r="G28" s="304"/>
      <c r="H28" s="305"/>
      <c r="I28" s="305"/>
      <c r="J28" s="306">
        <v>6</v>
      </c>
      <c r="K28" s="307">
        <f t="shared" si="0"/>
        <v>12.1</v>
      </c>
      <c r="L28" s="308">
        <v>72.599999999999994</v>
      </c>
      <c r="M28" s="135"/>
    </row>
    <row r="29" spans="1:13" s="137" customFormat="1" ht="18.75" customHeight="1" x14ac:dyDescent="0.3">
      <c r="A29" s="132"/>
      <c r="B29" s="133"/>
      <c r="C29" s="302">
        <v>46080</v>
      </c>
      <c r="D29" s="176" t="s">
        <v>164</v>
      </c>
      <c r="E29" s="303" t="s">
        <v>127</v>
      </c>
      <c r="F29" s="33" t="s">
        <v>166</v>
      </c>
      <c r="G29" s="304"/>
      <c r="H29" s="305"/>
      <c r="I29" s="305"/>
      <c r="J29" s="306">
        <v>5</v>
      </c>
      <c r="K29" s="307">
        <f t="shared" si="0"/>
        <v>12.1</v>
      </c>
      <c r="L29" s="308">
        <v>60.5</v>
      </c>
      <c r="M29" s="135"/>
    </row>
    <row r="30" spans="1:13" s="137" customFormat="1" ht="18.75" customHeight="1" x14ac:dyDescent="0.3">
      <c r="A30" s="132"/>
      <c r="B30" s="133"/>
      <c r="C30" s="302">
        <v>46080</v>
      </c>
      <c r="D30" s="176" t="s">
        <v>164</v>
      </c>
      <c r="E30" s="303" t="s">
        <v>168</v>
      </c>
      <c r="F30" s="33" t="s">
        <v>166</v>
      </c>
      <c r="G30" s="304"/>
      <c r="H30" s="305"/>
      <c r="I30" s="305"/>
      <c r="J30" s="306">
        <v>5</v>
      </c>
      <c r="K30" s="307">
        <f t="shared" si="0"/>
        <v>12.1</v>
      </c>
      <c r="L30" s="308">
        <v>60.5</v>
      </c>
      <c r="M30" s="135"/>
    </row>
    <row r="31" spans="1:13" s="137" customFormat="1" ht="18.75" customHeight="1" x14ac:dyDescent="0.3">
      <c r="A31" s="132"/>
      <c r="B31" s="133"/>
      <c r="C31" s="302"/>
      <c r="D31" s="176"/>
      <c r="E31" s="303"/>
      <c r="F31" s="33"/>
      <c r="G31" s="304"/>
      <c r="H31" s="305"/>
      <c r="I31" s="305"/>
      <c r="J31" s="306"/>
      <c r="K31" s="307"/>
      <c r="L31" s="308"/>
      <c r="M31" s="135"/>
    </row>
    <row r="32" spans="1:13" s="137" customFormat="1" ht="18.75" customHeight="1" thickBot="1" x14ac:dyDescent="0.35">
      <c r="A32" s="132"/>
      <c r="B32" s="133"/>
      <c r="C32" s="309"/>
      <c r="D32" s="246"/>
      <c r="E32" s="310"/>
      <c r="F32" s="311"/>
      <c r="G32" s="312"/>
      <c r="H32" s="313"/>
      <c r="I32" s="313"/>
      <c r="J32" s="314"/>
      <c r="K32" s="315"/>
      <c r="L32" s="316"/>
      <c r="M32" s="135"/>
    </row>
    <row r="33" spans="1:16381" s="441" customFormat="1" ht="18.75" customHeight="1" thickBot="1" x14ac:dyDescent="0.35">
      <c r="A33" s="437"/>
      <c r="B33" s="438"/>
      <c r="C33" s="755" t="s">
        <v>169</v>
      </c>
      <c r="D33" s="756"/>
      <c r="E33" s="756"/>
      <c r="F33" s="757"/>
      <c r="G33" s="317"/>
      <c r="H33" s="317"/>
      <c r="I33" s="317"/>
      <c r="J33" s="436">
        <f>SUM(J9:J32)</f>
        <v>113</v>
      </c>
      <c r="K33" s="439">
        <f>L33/J33</f>
        <v>12.100442477876106</v>
      </c>
      <c r="L33" s="318">
        <f>SUM(L9:L32)</f>
        <v>1367.35</v>
      </c>
      <c r="M33" s="440"/>
    </row>
    <row r="34" spans="1:16381" s="137" customFormat="1" ht="25.2" customHeight="1" x14ac:dyDescent="0.3">
      <c r="A34" s="132"/>
      <c r="B34" s="133"/>
      <c r="C34" s="461"/>
      <c r="D34" s="462"/>
      <c r="E34" s="462"/>
      <c r="F34" s="462"/>
      <c r="G34" s="462"/>
      <c r="H34" s="462"/>
      <c r="I34" s="462"/>
      <c r="J34" s="462"/>
      <c r="K34" s="462"/>
      <c r="L34" s="463"/>
      <c r="M34" s="135"/>
    </row>
    <row r="35" spans="1:16381" s="137" customFormat="1" ht="28.2" customHeight="1" thickBot="1" x14ac:dyDescent="0.35">
      <c r="A35" s="132"/>
      <c r="B35" s="133"/>
      <c r="C35" s="464"/>
      <c r="D35" s="319"/>
      <c r="E35" s="319"/>
      <c r="F35" s="319"/>
      <c r="G35" s="319"/>
      <c r="H35" s="319"/>
      <c r="I35" s="319"/>
      <c r="J35" s="319"/>
      <c r="K35" s="319"/>
      <c r="L35" s="465"/>
      <c r="M35" s="135"/>
    </row>
    <row r="36" spans="1:16381" s="447" customFormat="1" ht="27" customHeight="1" thickBot="1" x14ac:dyDescent="0.35">
      <c r="A36" s="128"/>
      <c r="B36" s="442"/>
      <c r="C36" s="758" t="s">
        <v>170</v>
      </c>
      <c r="D36" s="759"/>
      <c r="E36" s="759"/>
      <c r="F36" s="760"/>
      <c r="G36" s="443"/>
      <c r="H36" s="444"/>
      <c r="I36" s="445"/>
      <c r="J36" s="320">
        <f>SUM(J9:J30)</f>
        <v>113</v>
      </c>
      <c r="K36" s="321">
        <f>K33</f>
        <v>12.100442477876106</v>
      </c>
      <c r="L36" s="322">
        <f>J36*K36</f>
        <v>1367.35</v>
      </c>
      <c r="M36" s="446"/>
    </row>
    <row r="37" spans="1:16381" s="455" customFormat="1" ht="6.9" customHeight="1" x14ac:dyDescent="0.4">
      <c r="A37" s="448"/>
      <c r="B37" s="449"/>
      <c r="C37" s="450"/>
      <c r="D37" s="466"/>
      <c r="E37" s="466"/>
      <c r="F37" s="451"/>
      <c r="G37" s="467"/>
      <c r="H37" s="468"/>
      <c r="I37" s="469"/>
      <c r="J37" s="469"/>
      <c r="K37" s="452"/>
      <c r="L37" s="453"/>
      <c r="M37" s="454"/>
      <c r="O37" s="456"/>
    </row>
    <row r="38" spans="1:16381" s="459" customFormat="1" ht="27" customHeight="1" thickBot="1" x14ac:dyDescent="0.35">
      <c r="A38" s="451"/>
      <c r="B38" s="457"/>
      <c r="C38" s="761" t="s">
        <v>171</v>
      </c>
      <c r="D38" s="762"/>
      <c r="E38" s="762"/>
      <c r="F38" s="762"/>
      <c r="G38" s="762"/>
      <c r="H38" s="762"/>
      <c r="I38" s="762"/>
      <c r="J38" s="762"/>
      <c r="K38" s="762"/>
      <c r="L38" s="470">
        <f>L36</f>
        <v>1367.35</v>
      </c>
      <c r="M38" s="458"/>
      <c r="O38" s="460"/>
    </row>
    <row r="39" spans="1:16381" ht="16.2" thickBot="1" x14ac:dyDescent="0.35">
      <c r="B39" s="325"/>
      <c r="C39" s="326"/>
      <c r="D39" s="327"/>
      <c r="E39" s="327"/>
      <c r="F39" s="328"/>
      <c r="G39" s="328"/>
      <c r="H39" s="329"/>
      <c r="I39" s="330"/>
      <c r="J39" s="330"/>
      <c r="K39" s="331"/>
      <c r="L39" s="332"/>
      <c r="M39" s="333"/>
    </row>
    <row r="42" spans="1:16381" s="334" customFormat="1" x14ac:dyDescent="0.25">
      <c r="A42" s="282"/>
      <c r="B42" s="282"/>
      <c r="J42" s="335"/>
      <c r="K42" s="336"/>
      <c r="L42" s="337"/>
      <c r="M42" s="338"/>
      <c r="N42" s="285"/>
      <c r="O42" s="286"/>
      <c r="P42" s="285"/>
      <c r="Q42" s="285"/>
      <c r="R42" s="285"/>
      <c r="S42" s="285"/>
      <c r="T42" s="285"/>
      <c r="U42" s="285"/>
      <c r="V42" s="285"/>
      <c r="W42" s="285"/>
      <c r="X42" s="285"/>
      <c r="Y42" s="285"/>
      <c r="Z42" s="285"/>
      <c r="AA42" s="285"/>
      <c r="AB42" s="285"/>
      <c r="AC42" s="285"/>
      <c r="AD42" s="285"/>
      <c r="AE42" s="285"/>
      <c r="AF42" s="285"/>
      <c r="AG42" s="285"/>
      <c r="AH42" s="285"/>
      <c r="AI42" s="285"/>
      <c r="AJ42" s="285"/>
      <c r="AK42" s="285"/>
      <c r="AL42" s="285"/>
      <c r="AM42" s="285"/>
      <c r="AN42" s="285"/>
      <c r="AO42" s="285"/>
      <c r="AP42" s="285"/>
      <c r="AQ42" s="285"/>
      <c r="AR42" s="285"/>
      <c r="AS42" s="285"/>
      <c r="AT42" s="285"/>
      <c r="AU42" s="285"/>
      <c r="AV42" s="285"/>
      <c r="AW42" s="285"/>
      <c r="AX42" s="285"/>
      <c r="AY42" s="285"/>
      <c r="AZ42" s="285"/>
      <c r="BA42" s="285"/>
      <c r="BB42" s="285"/>
      <c r="BC42" s="285"/>
      <c r="BD42" s="285"/>
      <c r="BE42" s="285"/>
      <c r="BF42" s="285"/>
      <c r="BG42" s="285"/>
      <c r="BH42" s="285"/>
      <c r="BI42" s="285"/>
      <c r="BJ42" s="285"/>
      <c r="BK42" s="285"/>
      <c r="BL42" s="285"/>
      <c r="BM42" s="285"/>
      <c r="BN42" s="285"/>
      <c r="BO42" s="285"/>
      <c r="BP42" s="285"/>
      <c r="BQ42" s="285"/>
      <c r="BR42" s="285"/>
      <c r="BS42" s="285"/>
      <c r="BT42" s="285"/>
      <c r="BU42" s="285"/>
      <c r="BV42" s="285"/>
      <c r="BW42" s="285"/>
      <c r="BX42" s="285"/>
      <c r="BY42" s="285"/>
      <c r="BZ42" s="285"/>
      <c r="CA42" s="285"/>
      <c r="CB42" s="285"/>
      <c r="CC42" s="285"/>
      <c r="CD42" s="285"/>
      <c r="CE42" s="285"/>
      <c r="CF42" s="285"/>
      <c r="CG42" s="285"/>
      <c r="CH42" s="285"/>
      <c r="CI42" s="285"/>
      <c r="CJ42" s="285"/>
      <c r="CK42" s="285"/>
      <c r="CL42" s="285"/>
      <c r="CM42" s="285"/>
      <c r="CN42" s="285"/>
      <c r="CO42" s="285"/>
      <c r="CP42" s="285"/>
      <c r="CQ42" s="285"/>
      <c r="CR42" s="285"/>
      <c r="CS42" s="285"/>
      <c r="CT42" s="285"/>
      <c r="CU42" s="285"/>
      <c r="CV42" s="285"/>
      <c r="CW42" s="285"/>
      <c r="CX42" s="285"/>
      <c r="CY42" s="285"/>
      <c r="CZ42" s="285"/>
      <c r="DA42" s="285"/>
      <c r="DB42" s="285"/>
      <c r="DC42" s="285"/>
      <c r="DD42" s="285"/>
      <c r="DE42" s="285"/>
      <c r="DF42" s="285"/>
      <c r="DG42" s="285"/>
      <c r="DH42" s="285"/>
      <c r="DI42" s="285"/>
      <c r="DJ42" s="285"/>
      <c r="DK42" s="285"/>
      <c r="DL42" s="285"/>
      <c r="DM42" s="285"/>
      <c r="DN42" s="285"/>
      <c r="DO42" s="285"/>
      <c r="DP42" s="285"/>
      <c r="DQ42" s="285"/>
      <c r="DR42" s="285"/>
      <c r="DS42" s="285"/>
      <c r="DT42" s="285"/>
      <c r="DU42" s="285"/>
      <c r="DV42" s="285"/>
      <c r="DW42" s="285"/>
      <c r="DX42" s="285"/>
      <c r="DY42" s="285"/>
      <c r="DZ42" s="285"/>
      <c r="EA42" s="285"/>
      <c r="EB42" s="285"/>
      <c r="EC42" s="285"/>
      <c r="ED42" s="285"/>
      <c r="EE42" s="285"/>
      <c r="EF42" s="285"/>
      <c r="EG42" s="285"/>
      <c r="EH42" s="285"/>
      <c r="EI42" s="285"/>
      <c r="EJ42" s="285"/>
      <c r="EK42" s="285"/>
      <c r="EL42" s="285"/>
      <c r="EM42" s="285"/>
      <c r="EN42" s="285"/>
      <c r="EO42" s="285"/>
      <c r="EP42" s="285"/>
      <c r="EQ42" s="285"/>
      <c r="ER42" s="285"/>
      <c r="ES42" s="285"/>
      <c r="ET42" s="285"/>
      <c r="EU42" s="285"/>
      <c r="EV42" s="285"/>
      <c r="EW42" s="285"/>
      <c r="EX42" s="285"/>
      <c r="EY42" s="285"/>
      <c r="EZ42" s="285"/>
      <c r="FA42" s="285"/>
      <c r="FB42" s="285"/>
      <c r="FC42" s="285"/>
      <c r="FD42" s="285"/>
      <c r="FE42" s="285"/>
      <c r="FF42" s="285"/>
      <c r="FG42" s="285"/>
      <c r="FH42" s="285"/>
      <c r="FI42" s="285"/>
      <c r="FJ42" s="285"/>
      <c r="FK42" s="285"/>
      <c r="FL42" s="285"/>
      <c r="FM42" s="285"/>
      <c r="FN42" s="285"/>
      <c r="FO42" s="285"/>
      <c r="FP42" s="285"/>
      <c r="FQ42" s="285"/>
      <c r="FR42" s="285"/>
      <c r="FS42" s="285"/>
      <c r="FT42" s="285"/>
      <c r="FU42" s="285"/>
      <c r="FV42" s="285"/>
      <c r="FW42" s="285"/>
      <c r="FX42" s="285"/>
      <c r="FY42" s="285"/>
      <c r="FZ42" s="285"/>
      <c r="GA42" s="285"/>
      <c r="GB42" s="285"/>
      <c r="GC42" s="285"/>
      <c r="GD42" s="285"/>
      <c r="GE42" s="285"/>
      <c r="GF42" s="285"/>
      <c r="GG42" s="285"/>
      <c r="GH42" s="285"/>
      <c r="GI42" s="285"/>
      <c r="GJ42" s="285"/>
      <c r="GK42" s="285"/>
      <c r="GL42" s="285"/>
      <c r="GM42" s="285"/>
      <c r="GN42" s="285"/>
      <c r="GO42" s="285"/>
      <c r="GP42" s="285"/>
      <c r="GQ42" s="285"/>
      <c r="GR42" s="285"/>
      <c r="GS42" s="285"/>
      <c r="GT42" s="285"/>
      <c r="GU42" s="285"/>
      <c r="GV42" s="285"/>
      <c r="GW42" s="285"/>
      <c r="GX42" s="285"/>
      <c r="GY42" s="285"/>
      <c r="GZ42" s="285"/>
      <c r="HA42" s="285"/>
      <c r="HB42" s="285"/>
      <c r="HC42" s="285"/>
      <c r="HD42" s="285"/>
      <c r="HE42" s="285"/>
      <c r="HF42" s="285"/>
      <c r="HG42" s="285"/>
      <c r="HH42" s="285"/>
      <c r="HI42" s="285"/>
      <c r="HJ42" s="285"/>
      <c r="HK42" s="285"/>
      <c r="HL42" s="285"/>
      <c r="HM42" s="285"/>
      <c r="HN42" s="285"/>
      <c r="HO42" s="285"/>
      <c r="HP42" s="285"/>
      <c r="HQ42" s="285"/>
      <c r="HR42" s="285"/>
      <c r="HS42" s="285"/>
      <c r="HT42" s="285"/>
      <c r="HU42" s="285"/>
      <c r="HV42" s="285"/>
      <c r="HW42" s="285"/>
      <c r="HX42" s="285"/>
      <c r="HY42" s="285"/>
      <c r="HZ42" s="285"/>
      <c r="IA42" s="285"/>
      <c r="IB42" s="285"/>
      <c r="IC42" s="285"/>
      <c r="ID42" s="285"/>
      <c r="IE42" s="285"/>
      <c r="IF42" s="285"/>
      <c r="IG42" s="285"/>
      <c r="IH42" s="285"/>
      <c r="II42" s="285"/>
      <c r="IJ42" s="285"/>
      <c r="IK42" s="285"/>
      <c r="IL42" s="285"/>
      <c r="IM42" s="285"/>
      <c r="IN42" s="285"/>
      <c r="IO42" s="285"/>
      <c r="IP42" s="285"/>
      <c r="IQ42" s="285"/>
      <c r="IR42" s="285"/>
      <c r="IS42" s="285"/>
      <c r="IT42" s="285"/>
      <c r="IU42" s="285"/>
      <c r="IV42" s="285"/>
      <c r="IW42" s="285"/>
      <c r="IX42" s="285"/>
      <c r="IY42" s="285"/>
      <c r="IZ42" s="285"/>
      <c r="JA42" s="285"/>
      <c r="JB42" s="285"/>
      <c r="JC42" s="285"/>
      <c r="JD42" s="285"/>
      <c r="JE42" s="285"/>
      <c r="JF42" s="285"/>
      <c r="JG42" s="285"/>
      <c r="JH42" s="285"/>
      <c r="JI42" s="285"/>
      <c r="JJ42" s="285"/>
      <c r="JK42" s="285"/>
      <c r="JL42" s="285"/>
      <c r="JM42" s="285"/>
      <c r="JN42" s="285"/>
      <c r="JO42" s="285"/>
      <c r="JP42" s="285"/>
      <c r="JQ42" s="285"/>
      <c r="JR42" s="285"/>
      <c r="JS42" s="285"/>
      <c r="JT42" s="285"/>
      <c r="JU42" s="285"/>
      <c r="JV42" s="285"/>
      <c r="JW42" s="285"/>
      <c r="JX42" s="285"/>
      <c r="JY42" s="285"/>
      <c r="JZ42" s="285"/>
      <c r="KA42" s="285"/>
      <c r="KB42" s="285"/>
      <c r="KC42" s="285"/>
      <c r="KD42" s="285"/>
      <c r="KE42" s="285"/>
      <c r="KF42" s="285"/>
      <c r="KG42" s="285"/>
      <c r="KH42" s="285"/>
      <c r="KI42" s="285"/>
      <c r="KJ42" s="285"/>
      <c r="KK42" s="285"/>
      <c r="KL42" s="285"/>
      <c r="KM42" s="285"/>
      <c r="KN42" s="285"/>
      <c r="KO42" s="285"/>
      <c r="KP42" s="285"/>
      <c r="KQ42" s="285"/>
      <c r="KR42" s="285"/>
      <c r="KS42" s="285"/>
      <c r="KT42" s="285"/>
      <c r="KU42" s="285"/>
      <c r="KV42" s="285"/>
      <c r="KW42" s="285"/>
      <c r="KX42" s="285"/>
      <c r="KY42" s="285"/>
      <c r="KZ42" s="285"/>
      <c r="LA42" s="285"/>
      <c r="LB42" s="285"/>
      <c r="LC42" s="285"/>
      <c r="LD42" s="285"/>
      <c r="LE42" s="285"/>
      <c r="LF42" s="285"/>
      <c r="LG42" s="285"/>
      <c r="LH42" s="285"/>
      <c r="LI42" s="285"/>
      <c r="LJ42" s="285"/>
      <c r="LK42" s="285"/>
      <c r="LL42" s="285"/>
      <c r="LM42" s="285"/>
      <c r="LN42" s="285"/>
      <c r="LO42" s="285"/>
      <c r="LP42" s="285"/>
      <c r="LQ42" s="285"/>
      <c r="LR42" s="285"/>
      <c r="LS42" s="285"/>
      <c r="LT42" s="285"/>
      <c r="LU42" s="285"/>
      <c r="LV42" s="285"/>
      <c r="LW42" s="285"/>
      <c r="LX42" s="285"/>
      <c r="LY42" s="285"/>
      <c r="LZ42" s="285"/>
      <c r="MA42" s="285"/>
      <c r="MB42" s="285"/>
      <c r="MC42" s="285"/>
      <c r="MD42" s="285"/>
      <c r="ME42" s="285"/>
      <c r="MF42" s="285"/>
      <c r="MG42" s="285"/>
      <c r="MH42" s="285"/>
      <c r="MI42" s="285"/>
      <c r="MJ42" s="285"/>
      <c r="MK42" s="285"/>
      <c r="ML42" s="285"/>
      <c r="MM42" s="285"/>
      <c r="MN42" s="285"/>
      <c r="MO42" s="285"/>
      <c r="MP42" s="285"/>
      <c r="MQ42" s="285"/>
      <c r="MR42" s="285"/>
      <c r="MS42" s="285"/>
      <c r="MT42" s="285"/>
      <c r="MU42" s="285"/>
      <c r="MV42" s="285"/>
      <c r="MW42" s="285"/>
      <c r="MX42" s="285"/>
      <c r="MY42" s="285"/>
      <c r="MZ42" s="285"/>
      <c r="NA42" s="285"/>
      <c r="NB42" s="285"/>
      <c r="NC42" s="285"/>
      <c r="ND42" s="285"/>
      <c r="NE42" s="285"/>
      <c r="NF42" s="285"/>
      <c r="NG42" s="285"/>
      <c r="NH42" s="285"/>
      <c r="NI42" s="285"/>
      <c r="NJ42" s="285"/>
      <c r="NK42" s="285"/>
      <c r="NL42" s="285"/>
      <c r="NM42" s="285"/>
      <c r="NN42" s="285"/>
      <c r="NO42" s="285"/>
      <c r="NP42" s="285"/>
      <c r="NQ42" s="285"/>
      <c r="NR42" s="285"/>
      <c r="NS42" s="285"/>
      <c r="NT42" s="285"/>
      <c r="NU42" s="285"/>
      <c r="NV42" s="285"/>
      <c r="NW42" s="285"/>
      <c r="NX42" s="285"/>
      <c r="NY42" s="285"/>
      <c r="NZ42" s="285"/>
      <c r="OA42" s="285"/>
      <c r="OB42" s="285"/>
      <c r="OC42" s="285"/>
      <c r="OD42" s="285"/>
      <c r="OE42" s="285"/>
      <c r="OF42" s="285"/>
      <c r="OG42" s="285"/>
      <c r="OH42" s="285"/>
      <c r="OI42" s="285"/>
      <c r="OJ42" s="285"/>
      <c r="OK42" s="285"/>
      <c r="OL42" s="285"/>
      <c r="OM42" s="285"/>
      <c r="ON42" s="285"/>
      <c r="OO42" s="285"/>
      <c r="OP42" s="285"/>
      <c r="OQ42" s="285"/>
      <c r="OR42" s="285"/>
      <c r="OS42" s="285"/>
      <c r="OT42" s="285"/>
      <c r="OU42" s="285"/>
      <c r="OV42" s="285"/>
      <c r="OW42" s="285"/>
      <c r="OX42" s="285"/>
      <c r="OY42" s="285"/>
      <c r="OZ42" s="285"/>
      <c r="PA42" s="285"/>
      <c r="PB42" s="285"/>
      <c r="PC42" s="285"/>
      <c r="PD42" s="285"/>
      <c r="PE42" s="285"/>
      <c r="PF42" s="285"/>
      <c r="PG42" s="285"/>
      <c r="PH42" s="285"/>
      <c r="PI42" s="285"/>
      <c r="PJ42" s="285"/>
      <c r="PK42" s="285"/>
      <c r="PL42" s="285"/>
      <c r="PM42" s="285"/>
      <c r="PN42" s="285"/>
      <c r="PO42" s="285"/>
      <c r="PP42" s="285"/>
      <c r="PQ42" s="285"/>
      <c r="PR42" s="285"/>
      <c r="PS42" s="285"/>
      <c r="PT42" s="285"/>
      <c r="PU42" s="285"/>
      <c r="PV42" s="285"/>
      <c r="PW42" s="285"/>
      <c r="PX42" s="285"/>
      <c r="PY42" s="285"/>
      <c r="PZ42" s="285"/>
      <c r="QA42" s="285"/>
      <c r="QB42" s="285"/>
      <c r="QC42" s="285"/>
      <c r="QD42" s="285"/>
      <c r="QE42" s="285"/>
      <c r="QF42" s="285"/>
      <c r="QG42" s="285"/>
      <c r="QH42" s="285"/>
      <c r="QI42" s="285"/>
      <c r="QJ42" s="285"/>
      <c r="QK42" s="285"/>
      <c r="QL42" s="285"/>
      <c r="QM42" s="285"/>
      <c r="QN42" s="285"/>
      <c r="QO42" s="285"/>
      <c r="QP42" s="285"/>
      <c r="QQ42" s="285"/>
      <c r="QR42" s="285"/>
      <c r="QS42" s="285"/>
      <c r="QT42" s="285"/>
      <c r="QU42" s="285"/>
      <c r="QV42" s="285"/>
      <c r="QW42" s="285"/>
      <c r="QX42" s="285"/>
      <c r="QY42" s="285"/>
      <c r="QZ42" s="285"/>
      <c r="RA42" s="285"/>
      <c r="RB42" s="285"/>
      <c r="RC42" s="285"/>
      <c r="RD42" s="285"/>
      <c r="RE42" s="285"/>
      <c r="RF42" s="285"/>
      <c r="RG42" s="285"/>
      <c r="RH42" s="285"/>
      <c r="RI42" s="285"/>
      <c r="RJ42" s="285"/>
      <c r="RK42" s="285"/>
      <c r="RL42" s="285"/>
      <c r="RM42" s="285"/>
      <c r="RN42" s="285"/>
      <c r="RO42" s="285"/>
      <c r="RP42" s="285"/>
      <c r="RQ42" s="285"/>
      <c r="RR42" s="285"/>
      <c r="RS42" s="285"/>
      <c r="RT42" s="285"/>
      <c r="RU42" s="285"/>
      <c r="RV42" s="285"/>
      <c r="RW42" s="285"/>
      <c r="RX42" s="285"/>
      <c r="RY42" s="285"/>
      <c r="RZ42" s="285"/>
      <c r="SA42" s="285"/>
      <c r="SB42" s="285"/>
      <c r="SC42" s="285"/>
      <c r="SD42" s="285"/>
      <c r="SE42" s="285"/>
      <c r="SF42" s="285"/>
      <c r="SG42" s="285"/>
      <c r="SH42" s="285"/>
      <c r="SI42" s="285"/>
      <c r="SJ42" s="285"/>
      <c r="SK42" s="285"/>
      <c r="SL42" s="285"/>
      <c r="SM42" s="285"/>
      <c r="SN42" s="285"/>
      <c r="SO42" s="285"/>
      <c r="SP42" s="285"/>
      <c r="SQ42" s="285"/>
      <c r="SR42" s="285"/>
      <c r="SS42" s="285"/>
      <c r="ST42" s="285"/>
      <c r="SU42" s="285"/>
      <c r="SV42" s="285"/>
      <c r="SW42" s="285"/>
      <c r="SX42" s="285"/>
      <c r="SY42" s="285"/>
      <c r="SZ42" s="285"/>
      <c r="TA42" s="285"/>
      <c r="TB42" s="285"/>
      <c r="TC42" s="285"/>
      <c r="TD42" s="285"/>
      <c r="TE42" s="285"/>
      <c r="TF42" s="285"/>
      <c r="TG42" s="285"/>
      <c r="TH42" s="285"/>
      <c r="TI42" s="285"/>
      <c r="TJ42" s="285"/>
      <c r="TK42" s="285"/>
      <c r="TL42" s="285"/>
      <c r="TM42" s="285"/>
      <c r="TN42" s="285"/>
      <c r="TO42" s="285"/>
      <c r="TP42" s="285"/>
      <c r="TQ42" s="285"/>
      <c r="TR42" s="285"/>
      <c r="TS42" s="285"/>
      <c r="TT42" s="285"/>
      <c r="TU42" s="285"/>
      <c r="TV42" s="285"/>
      <c r="TW42" s="285"/>
      <c r="TX42" s="285"/>
      <c r="TY42" s="285"/>
      <c r="TZ42" s="285"/>
      <c r="UA42" s="285"/>
      <c r="UB42" s="285"/>
      <c r="UC42" s="285"/>
      <c r="UD42" s="285"/>
      <c r="UE42" s="285"/>
      <c r="UF42" s="285"/>
      <c r="UG42" s="285"/>
      <c r="UH42" s="285"/>
      <c r="UI42" s="285"/>
      <c r="UJ42" s="285"/>
      <c r="UK42" s="285"/>
      <c r="UL42" s="285"/>
      <c r="UM42" s="285"/>
      <c r="UN42" s="285"/>
      <c r="UO42" s="285"/>
      <c r="UP42" s="285"/>
      <c r="UQ42" s="285"/>
      <c r="UR42" s="285"/>
      <c r="US42" s="285"/>
      <c r="UT42" s="285"/>
      <c r="UU42" s="285"/>
      <c r="UV42" s="285"/>
      <c r="UW42" s="285"/>
      <c r="UX42" s="285"/>
      <c r="UY42" s="285"/>
      <c r="UZ42" s="285"/>
      <c r="VA42" s="285"/>
      <c r="VB42" s="285"/>
      <c r="VC42" s="285"/>
      <c r="VD42" s="285"/>
      <c r="VE42" s="285"/>
      <c r="VF42" s="285"/>
      <c r="VG42" s="285"/>
      <c r="VH42" s="285"/>
      <c r="VI42" s="285"/>
      <c r="VJ42" s="285"/>
      <c r="VK42" s="285"/>
      <c r="VL42" s="285"/>
      <c r="VM42" s="285"/>
      <c r="VN42" s="285"/>
      <c r="VO42" s="285"/>
      <c r="VP42" s="285"/>
      <c r="VQ42" s="285"/>
      <c r="VR42" s="285"/>
      <c r="VS42" s="285"/>
      <c r="VT42" s="285"/>
      <c r="VU42" s="285"/>
      <c r="VV42" s="285"/>
      <c r="VW42" s="285"/>
      <c r="VX42" s="285"/>
      <c r="VY42" s="285"/>
      <c r="VZ42" s="285"/>
      <c r="WA42" s="285"/>
      <c r="WB42" s="285"/>
      <c r="WC42" s="285"/>
      <c r="WD42" s="285"/>
      <c r="WE42" s="285"/>
      <c r="WF42" s="285"/>
      <c r="WG42" s="285"/>
      <c r="WH42" s="285"/>
      <c r="WI42" s="285"/>
      <c r="WJ42" s="285"/>
      <c r="WK42" s="285"/>
      <c r="WL42" s="285"/>
      <c r="WM42" s="285"/>
      <c r="WN42" s="285"/>
      <c r="WO42" s="285"/>
      <c r="WP42" s="285"/>
      <c r="WQ42" s="285"/>
      <c r="WR42" s="285"/>
      <c r="WS42" s="285"/>
      <c r="WT42" s="285"/>
      <c r="WU42" s="285"/>
      <c r="WV42" s="285"/>
      <c r="WW42" s="285"/>
      <c r="WX42" s="285"/>
      <c r="WY42" s="285"/>
      <c r="WZ42" s="285"/>
      <c r="XA42" s="285"/>
      <c r="XB42" s="285"/>
      <c r="XC42" s="285"/>
      <c r="XD42" s="285"/>
      <c r="XE42" s="285"/>
      <c r="XF42" s="285"/>
      <c r="XG42" s="285"/>
      <c r="XH42" s="285"/>
      <c r="XI42" s="285"/>
      <c r="XJ42" s="285"/>
      <c r="XK42" s="285"/>
      <c r="XL42" s="285"/>
      <c r="XM42" s="285"/>
      <c r="XN42" s="285"/>
      <c r="XO42" s="285"/>
      <c r="XP42" s="285"/>
      <c r="XQ42" s="285"/>
      <c r="XR42" s="285"/>
      <c r="XS42" s="285"/>
      <c r="XT42" s="285"/>
      <c r="XU42" s="285"/>
      <c r="XV42" s="285"/>
      <c r="XW42" s="285"/>
      <c r="XX42" s="285"/>
      <c r="XY42" s="285"/>
      <c r="XZ42" s="285"/>
      <c r="YA42" s="285"/>
      <c r="YB42" s="285"/>
      <c r="YC42" s="285"/>
      <c r="YD42" s="285"/>
      <c r="YE42" s="285"/>
      <c r="YF42" s="285"/>
      <c r="YG42" s="285"/>
      <c r="YH42" s="285"/>
      <c r="YI42" s="285"/>
      <c r="YJ42" s="285"/>
      <c r="YK42" s="285"/>
      <c r="YL42" s="285"/>
      <c r="YM42" s="285"/>
      <c r="YN42" s="285"/>
      <c r="YO42" s="285"/>
      <c r="YP42" s="285"/>
      <c r="YQ42" s="285"/>
      <c r="YR42" s="285"/>
      <c r="YS42" s="285"/>
      <c r="YT42" s="285"/>
      <c r="YU42" s="285"/>
      <c r="YV42" s="285"/>
      <c r="YW42" s="285"/>
      <c r="YX42" s="285"/>
      <c r="YY42" s="285"/>
      <c r="YZ42" s="285"/>
      <c r="ZA42" s="285"/>
      <c r="ZB42" s="285"/>
      <c r="ZC42" s="285"/>
      <c r="ZD42" s="285"/>
      <c r="ZE42" s="285"/>
      <c r="ZF42" s="285"/>
      <c r="ZG42" s="285"/>
      <c r="ZH42" s="285"/>
      <c r="ZI42" s="285"/>
      <c r="ZJ42" s="285"/>
      <c r="ZK42" s="285"/>
      <c r="ZL42" s="285"/>
      <c r="ZM42" s="285"/>
      <c r="ZN42" s="285"/>
      <c r="ZO42" s="285"/>
      <c r="ZP42" s="285"/>
      <c r="ZQ42" s="285"/>
      <c r="ZR42" s="285"/>
      <c r="ZS42" s="285"/>
      <c r="ZT42" s="285"/>
      <c r="ZU42" s="285"/>
      <c r="ZV42" s="285"/>
      <c r="ZW42" s="285"/>
      <c r="ZX42" s="285"/>
      <c r="ZY42" s="285"/>
      <c r="ZZ42" s="285"/>
      <c r="AAA42" s="285"/>
      <c r="AAB42" s="285"/>
      <c r="AAC42" s="285"/>
      <c r="AAD42" s="285"/>
      <c r="AAE42" s="285"/>
      <c r="AAF42" s="285"/>
      <c r="AAG42" s="285"/>
      <c r="AAH42" s="285"/>
      <c r="AAI42" s="285"/>
      <c r="AAJ42" s="285"/>
      <c r="AAK42" s="285"/>
      <c r="AAL42" s="285"/>
      <c r="AAM42" s="285"/>
      <c r="AAN42" s="285"/>
      <c r="AAO42" s="285"/>
      <c r="AAP42" s="285"/>
      <c r="AAQ42" s="285"/>
      <c r="AAR42" s="285"/>
      <c r="AAS42" s="285"/>
      <c r="AAT42" s="285"/>
      <c r="AAU42" s="285"/>
      <c r="AAV42" s="285"/>
      <c r="AAW42" s="285"/>
      <c r="AAX42" s="285"/>
      <c r="AAY42" s="285"/>
      <c r="AAZ42" s="285"/>
      <c r="ABA42" s="285"/>
      <c r="ABB42" s="285"/>
      <c r="ABC42" s="285"/>
      <c r="ABD42" s="285"/>
      <c r="ABE42" s="285"/>
      <c r="ABF42" s="285"/>
      <c r="ABG42" s="285"/>
      <c r="ABH42" s="285"/>
      <c r="ABI42" s="285"/>
      <c r="ABJ42" s="285"/>
      <c r="ABK42" s="285"/>
      <c r="ABL42" s="285"/>
      <c r="ABM42" s="285"/>
      <c r="ABN42" s="285"/>
      <c r="ABO42" s="285"/>
      <c r="ABP42" s="285"/>
      <c r="ABQ42" s="285"/>
      <c r="ABR42" s="285"/>
      <c r="ABS42" s="285"/>
      <c r="ABT42" s="285"/>
      <c r="ABU42" s="285"/>
      <c r="ABV42" s="285"/>
      <c r="ABW42" s="285"/>
      <c r="ABX42" s="285"/>
      <c r="ABY42" s="285"/>
      <c r="ABZ42" s="285"/>
      <c r="ACA42" s="285"/>
      <c r="ACB42" s="285"/>
      <c r="ACC42" s="285"/>
      <c r="ACD42" s="285"/>
      <c r="ACE42" s="285"/>
      <c r="ACF42" s="285"/>
      <c r="ACG42" s="285"/>
      <c r="ACH42" s="285"/>
      <c r="ACI42" s="285"/>
      <c r="ACJ42" s="285"/>
      <c r="ACK42" s="285"/>
      <c r="ACL42" s="285"/>
      <c r="ACM42" s="285"/>
      <c r="ACN42" s="285"/>
      <c r="ACO42" s="285"/>
      <c r="ACP42" s="285"/>
      <c r="ACQ42" s="285"/>
      <c r="ACR42" s="285"/>
      <c r="ACS42" s="285"/>
      <c r="ACT42" s="285"/>
      <c r="ACU42" s="285"/>
      <c r="ACV42" s="285"/>
      <c r="ACW42" s="285"/>
      <c r="ACX42" s="285"/>
      <c r="ACY42" s="285"/>
      <c r="ACZ42" s="285"/>
      <c r="ADA42" s="285"/>
      <c r="ADB42" s="285"/>
      <c r="ADC42" s="285"/>
      <c r="ADD42" s="285"/>
      <c r="ADE42" s="285"/>
      <c r="ADF42" s="285"/>
      <c r="ADG42" s="285"/>
      <c r="ADH42" s="285"/>
      <c r="ADI42" s="285"/>
      <c r="ADJ42" s="285"/>
      <c r="ADK42" s="285"/>
      <c r="ADL42" s="285"/>
      <c r="ADM42" s="285"/>
      <c r="ADN42" s="285"/>
      <c r="ADO42" s="285"/>
      <c r="ADP42" s="285"/>
      <c r="ADQ42" s="285"/>
      <c r="ADR42" s="285"/>
      <c r="ADS42" s="285"/>
      <c r="ADT42" s="285"/>
      <c r="ADU42" s="285"/>
      <c r="ADV42" s="285"/>
      <c r="ADW42" s="285"/>
      <c r="ADX42" s="285"/>
      <c r="ADY42" s="285"/>
      <c r="ADZ42" s="285"/>
      <c r="AEA42" s="285"/>
      <c r="AEB42" s="285"/>
      <c r="AEC42" s="285"/>
      <c r="AED42" s="285"/>
      <c r="AEE42" s="285"/>
      <c r="AEF42" s="285"/>
      <c r="AEG42" s="285"/>
      <c r="AEH42" s="285"/>
      <c r="AEI42" s="285"/>
      <c r="AEJ42" s="285"/>
      <c r="AEK42" s="285"/>
      <c r="AEL42" s="285"/>
      <c r="AEM42" s="285"/>
      <c r="AEN42" s="285"/>
      <c r="AEO42" s="285"/>
      <c r="AEP42" s="285"/>
      <c r="AEQ42" s="285"/>
      <c r="AER42" s="285"/>
      <c r="AES42" s="285"/>
      <c r="AET42" s="285"/>
      <c r="AEU42" s="285"/>
      <c r="AEV42" s="285"/>
      <c r="AEW42" s="285"/>
      <c r="AEX42" s="285"/>
      <c r="AEY42" s="285"/>
      <c r="AEZ42" s="285"/>
      <c r="AFA42" s="285"/>
      <c r="AFB42" s="285"/>
      <c r="AFC42" s="285"/>
      <c r="AFD42" s="285"/>
      <c r="AFE42" s="285"/>
      <c r="AFF42" s="285"/>
      <c r="AFG42" s="285"/>
      <c r="AFH42" s="285"/>
      <c r="AFI42" s="285"/>
      <c r="AFJ42" s="285"/>
      <c r="AFK42" s="285"/>
      <c r="AFL42" s="285"/>
      <c r="AFM42" s="285"/>
      <c r="AFN42" s="285"/>
      <c r="AFO42" s="285"/>
      <c r="AFP42" s="285"/>
      <c r="AFQ42" s="285"/>
      <c r="AFR42" s="285"/>
      <c r="AFS42" s="285"/>
      <c r="AFT42" s="285"/>
      <c r="AFU42" s="285"/>
      <c r="AFV42" s="285"/>
      <c r="AFW42" s="285"/>
      <c r="AFX42" s="285"/>
      <c r="AFY42" s="285"/>
      <c r="AFZ42" s="285"/>
      <c r="AGA42" s="285"/>
      <c r="AGB42" s="285"/>
      <c r="AGC42" s="285"/>
      <c r="AGD42" s="285"/>
      <c r="AGE42" s="285"/>
      <c r="AGF42" s="285"/>
      <c r="AGG42" s="285"/>
      <c r="AGH42" s="285"/>
      <c r="AGI42" s="285"/>
      <c r="AGJ42" s="285"/>
      <c r="AGK42" s="285"/>
      <c r="AGL42" s="285"/>
      <c r="AGM42" s="285"/>
      <c r="AGN42" s="285"/>
      <c r="AGO42" s="285"/>
      <c r="AGP42" s="285"/>
      <c r="AGQ42" s="285"/>
      <c r="AGR42" s="285"/>
      <c r="AGS42" s="285"/>
      <c r="AGT42" s="285"/>
      <c r="AGU42" s="285"/>
      <c r="AGV42" s="285"/>
      <c r="AGW42" s="285"/>
      <c r="AGX42" s="285"/>
      <c r="AGY42" s="285"/>
      <c r="AGZ42" s="285"/>
      <c r="AHA42" s="285"/>
      <c r="AHB42" s="285"/>
      <c r="AHC42" s="285"/>
      <c r="AHD42" s="285"/>
      <c r="AHE42" s="285"/>
      <c r="AHF42" s="285"/>
      <c r="AHG42" s="285"/>
      <c r="AHH42" s="285"/>
      <c r="AHI42" s="285"/>
      <c r="AHJ42" s="285"/>
      <c r="AHK42" s="285"/>
      <c r="AHL42" s="285"/>
      <c r="AHM42" s="285"/>
      <c r="AHN42" s="285"/>
      <c r="AHO42" s="285"/>
      <c r="AHP42" s="285"/>
      <c r="AHQ42" s="285"/>
      <c r="AHR42" s="285"/>
      <c r="AHS42" s="285"/>
      <c r="AHT42" s="285"/>
      <c r="AHU42" s="285"/>
      <c r="AHV42" s="285"/>
      <c r="AHW42" s="285"/>
      <c r="AHX42" s="285"/>
      <c r="AHY42" s="285"/>
      <c r="AHZ42" s="285"/>
      <c r="AIA42" s="285"/>
      <c r="AIB42" s="285"/>
      <c r="AIC42" s="285"/>
      <c r="AID42" s="285"/>
      <c r="AIE42" s="285"/>
      <c r="AIF42" s="285"/>
      <c r="AIG42" s="285"/>
      <c r="AIH42" s="285"/>
      <c r="AII42" s="285"/>
      <c r="AIJ42" s="285"/>
      <c r="AIK42" s="285"/>
      <c r="AIL42" s="285"/>
      <c r="AIM42" s="285"/>
      <c r="AIN42" s="285"/>
      <c r="AIO42" s="285"/>
      <c r="AIP42" s="285"/>
      <c r="AIQ42" s="285"/>
      <c r="AIR42" s="285"/>
      <c r="AIS42" s="285"/>
      <c r="AIT42" s="285"/>
      <c r="AIU42" s="285"/>
      <c r="AIV42" s="285"/>
      <c r="AIW42" s="285"/>
      <c r="AIX42" s="285"/>
      <c r="AIY42" s="285"/>
      <c r="AIZ42" s="285"/>
      <c r="AJA42" s="285"/>
      <c r="AJB42" s="285"/>
      <c r="AJC42" s="285"/>
      <c r="AJD42" s="285"/>
      <c r="AJE42" s="285"/>
      <c r="AJF42" s="285"/>
      <c r="AJG42" s="285"/>
      <c r="AJH42" s="285"/>
      <c r="AJI42" s="285"/>
      <c r="AJJ42" s="285"/>
      <c r="AJK42" s="285"/>
      <c r="AJL42" s="285"/>
      <c r="AJM42" s="285"/>
      <c r="AJN42" s="285"/>
      <c r="AJO42" s="285"/>
      <c r="AJP42" s="285"/>
      <c r="AJQ42" s="285"/>
      <c r="AJR42" s="285"/>
      <c r="AJS42" s="285"/>
      <c r="AJT42" s="285"/>
      <c r="AJU42" s="285"/>
      <c r="AJV42" s="285"/>
      <c r="AJW42" s="285"/>
      <c r="AJX42" s="285"/>
      <c r="AJY42" s="285"/>
      <c r="AJZ42" s="285"/>
      <c r="AKA42" s="285"/>
      <c r="AKB42" s="285"/>
      <c r="AKC42" s="285"/>
      <c r="AKD42" s="285"/>
      <c r="AKE42" s="285"/>
      <c r="AKF42" s="285"/>
      <c r="AKG42" s="285"/>
      <c r="AKH42" s="285"/>
      <c r="AKI42" s="285"/>
      <c r="AKJ42" s="285"/>
      <c r="AKK42" s="285"/>
      <c r="AKL42" s="285"/>
      <c r="AKM42" s="285"/>
      <c r="AKN42" s="285"/>
      <c r="AKO42" s="285"/>
      <c r="AKP42" s="285"/>
      <c r="AKQ42" s="285"/>
      <c r="AKR42" s="285"/>
      <c r="AKS42" s="285"/>
      <c r="AKT42" s="285"/>
      <c r="AKU42" s="285"/>
      <c r="AKV42" s="285"/>
      <c r="AKW42" s="285"/>
      <c r="AKX42" s="285"/>
      <c r="AKY42" s="285"/>
      <c r="AKZ42" s="285"/>
      <c r="ALA42" s="285"/>
      <c r="ALB42" s="285"/>
      <c r="ALC42" s="285"/>
      <c r="ALD42" s="285"/>
      <c r="ALE42" s="285"/>
      <c r="ALF42" s="285"/>
      <c r="ALG42" s="285"/>
      <c r="ALH42" s="285"/>
      <c r="ALI42" s="285"/>
      <c r="ALJ42" s="285"/>
      <c r="ALK42" s="285"/>
      <c r="ALL42" s="285"/>
      <c r="ALM42" s="285"/>
      <c r="ALN42" s="285"/>
      <c r="ALO42" s="285"/>
      <c r="ALP42" s="285"/>
      <c r="ALQ42" s="285"/>
      <c r="ALR42" s="285"/>
      <c r="ALS42" s="285"/>
      <c r="ALT42" s="285"/>
      <c r="ALU42" s="285"/>
      <c r="ALV42" s="285"/>
      <c r="ALW42" s="285"/>
      <c r="ALX42" s="285"/>
      <c r="ALY42" s="285"/>
      <c r="ALZ42" s="285"/>
      <c r="AMA42" s="285"/>
      <c r="AMB42" s="285"/>
      <c r="AMC42" s="285"/>
      <c r="AMD42" s="285"/>
      <c r="AME42" s="285"/>
      <c r="AMF42" s="285"/>
      <c r="AMG42" s="285"/>
      <c r="AMH42" s="285"/>
      <c r="AMI42" s="285"/>
      <c r="AMJ42" s="285"/>
      <c r="AMK42" s="285"/>
      <c r="AML42" s="285"/>
      <c r="AMM42" s="285"/>
      <c r="AMN42" s="285"/>
      <c r="AMO42" s="285"/>
      <c r="AMP42" s="285"/>
      <c r="AMQ42" s="285"/>
      <c r="AMR42" s="285"/>
      <c r="AMS42" s="285"/>
      <c r="AMT42" s="285"/>
      <c r="AMU42" s="285"/>
      <c r="AMV42" s="285"/>
      <c r="AMW42" s="285"/>
      <c r="AMX42" s="285"/>
      <c r="AMY42" s="285"/>
      <c r="AMZ42" s="285"/>
      <c r="ANA42" s="285"/>
      <c r="ANB42" s="285"/>
      <c r="ANC42" s="285"/>
      <c r="AND42" s="285"/>
      <c r="ANE42" s="285"/>
      <c r="ANF42" s="285"/>
      <c r="ANG42" s="285"/>
      <c r="ANH42" s="285"/>
      <c r="ANI42" s="285"/>
      <c r="ANJ42" s="285"/>
      <c r="ANK42" s="285"/>
      <c r="ANL42" s="285"/>
      <c r="ANM42" s="285"/>
      <c r="ANN42" s="285"/>
      <c r="ANO42" s="285"/>
      <c r="ANP42" s="285"/>
      <c r="ANQ42" s="285"/>
      <c r="ANR42" s="285"/>
      <c r="ANS42" s="285"/>
      <c r="ANT42" s="285"/>
      <c r="ANU42" s="285"/>
      <c r="ANV42" s="285"/>
      <c r="ANW42" s="285"/>
      <c r="ANX42" s="285"/>
      <c r="ANY42" s="285"/>
      <c r="ANZ42" s="285"/>
      <c r="AOA42" s="285"/>
      <c r="AOB42" s="285"/>
      <c r="AOC42" s="285"/>
      <c r="AOD42" s="285"/>
      <c r="AOE42" s="285"/>
      <c r="AOF42" s="285"/>
      <c r="AOG42" s="285"/>
      <c r="AOH42" s="285"/>
      <c r="AOI42" s="285"/>
      <c r="AOJ42" s="285"/>
      <c r="AOK42" s="285"/>
      <c r="AOL42" s="285"/>
      <c r="AOM42" s="285"/>
      <c r="AON42" s="285"/>
      <c r="AOO42" s="285"/>
      <c r="AOP42" s="285"/>
      <c r="AOQ42" s="285"/>
      <c r="AOR42" s="285"/>
      <c r="AOS42" s="285"/>
      <c r="AOT42" s="285"/>
      <c r="AOU42" s="285"/>
      <c r="AOV42" s="285"/>
      <c r="AOW42" s="285"/>
      <c r="AOX42" s="285"/>
      <c r="AOY42" s="285"/>
      <c r="AOZ42" s="285"/>
      <c r="APA42" s="285"/>
      <c r="APB42" s="285"/>
      <c r="APC42" s="285"/>
      <c r="APD42" s="285"/>
      <c r="APE42" s="285"/>
      <c r="APF42" s="285"/>
      <c r="APG42" s="285"/>
      <c r="APH42" s="285"/>
      <c r="API42" s="285"/>
      <c r="APJ42" s="285"/>
      <c r="APK42" s="285"/>
      <c r="APL42" s="285"/>
      <c r="APM42" s="285"/>
      <c r="APN42" s="285"/>
      <c r="APO42" s="285"/>
      <c r="APP42" s="285"/>
      <c r="APQ42" s="285"/>
      <c r="APR42" s="285"/>
      <c r="APS42" s="285"/>
      <c r="APT42" s="285"/>
      <c r="APU42" s="285"/>
      <c r="APV42" s="285"/>
      <c r="APW42" s="285"/>
      <c r="APX42" s="285"/>
      <c r="APY42" s="285"/>
      <c r="APZ42" s="285"/>
      <c r="AQA42" s="285"/>
      <c r="AQB42" s="285"/>
      <c r="AQC42" s="285"/>
      <c r="AQD42" s="285"/>
      <c r="AQE42" s="285"/>
      <c r="AQF42" s="285"/>
      <c r="AQG42" s="285"/>
      <c r="AQH42" s="285"/>
      <c r="AQI42" s="285"/>
      <c r="AQJ42" s="285"/>
      <c r="AQK42" s="285"/>
      <c r="AQL42" s="285"/>
      <c r="AQM42" s="285"/>
      <c r="AQN42" s="285"/>
      <c r="AQO42" s="285"/>
      <c r="AQP42" s="285"/>
      <c r="AQQ42" s="285"/>
      <c r="AQR42" s="285"/>
      <c r="AQS42" s="285"/>
      <c r="AQT42" s="285"/>
      <c r="AQU42" s="285"/>
      <c r="AQV42" s="285"/>
      <c r="AQW42" s="285"/>
      <c r="AQX42" s="285"/>
      <c r="AQY42" s="285"/>
      <c r="AQZ42" s="285"/>
      <c r="ARA42" s="285"/>
      <c r="ARB42" s="285"/>
      <c r="ARC42" s="285"/>
      <c r="ARD42" s="285"/>
      <c r="ARE42" s="285"/>
      <c r="ARF42" s="285"/>
      <c r="ARG42" s="285"/>
      <c r="ARH42" s="285"/>
      <c r="ARI42" s="285"/>
      <c r="ARJ42" s="285"/>
      <c r="ARK42" s="285"/>
      <c r="ARL42" s="285"/>
      <c r="ARM42" s="285"/>
      <c r="ARN42" s="285"/>
      <c r="ARO42" s="285"/>
      <c r="ARP42" s="285"/>
      <c r="ARQ42" s="285"/>
      <c r="ARR42" s="285"/>
      <c r="ARS42" s="285"/>
      <c r="ART42" s="285"/>
      <c r="ARU42" s="285"/>
      <c r="ARV42" s="285"/>
      <c r="ARW42" s="285"/>
      <c r="ARX42" s="285"/>
      <c r="ARY42" s="285"/>
      <c r="ARZ42" s="285"/>
      <c r="ASA42" s="285"/>
      <c r="ASB42" s="285"/>
      <c r="ASC42" s="285"/>
      <c r="ASD42" s="285"/>
      <c r="ASE42" s="285"/>
      <c r="ASF42" s="285"/>
      <c r="ASG42" s="285"/>
      <c r="ASH42" s="285"/>
      <c r="ASI42" s="285"/>
      <c r="ASJ42" s="285"/>
      <c r="ASK42" s="285"/>
      <c r="ASL42" s="285"/>
      <c r="ASM42" s="285"/>
      <c r="ASN42" s="285"/>
      <c r="ASO42" s="285"/>
      <c r="ASP42" s="285"/>
      <c r="ASQ42" s="285"/>
      <c r="ASR42" s="285"/>
      <c r="ASS42" s="285"/>
      <c r="AST42" s="285"/>
      <c r="ASU42" s="285"/>
      <c r="ASV42" s="285"/>
      <c r="ASW42" s="285"/>
      <c r="ASX42" s="285"/>
      <c r="ASY42" s="285"/>
      <c r="ASZ42" s="285"/>
      <c r="ATA42" s="285"/>
      <c r="ATB42" s="285"/>
      <c r="ATC42" s="285"/>
      <c r="ATD42" s="285"/>
      <c r="ATE42" s="285"/>
      <c r="ATF42" s="285"/>
      <c r="ATG42" s="285"/>
      <c r="ATH42" s="285"/>
      <c r="ATI42" s="285"/>
      <c r="ATJ42" s="285"/>
      <c r="ATK42" s="285"/>
      <c r="ATL42" s="285"/>
      <c r="ATM42" s="285"/>
      <c r="ATN42" s="285"/>
      <c r="ATO42" s="285"/>
      <c r="ATP42" s="285"/>
      <c r="ATQ42" s="285"/>
      <c r="ATR42" s="285"/>
      <c r="ATS42" s="285"/>
      <c r="ATT42" s="285"/>
      <c r="ATU42" s="285"/>
      <c r="ATV42" s="285"/>
      <c r="ATW42" s="285"/>
      <c r="ATX42" s="285"/>
      <c r="ATY42" s="285"/>
      <c r="ATZ42" s="285"/>
      <c r="AUA42" s="285"/>
      <c r="AUB42" s="285"/>
      <c r="AUC42" s="285"/>
      <c r="AUD42" s="285"/>
      <c r="AUE42" s="285"/>
      <c r="AUF42" s="285"/>
      <c r="AUG42" s="285"/>
      <c r="AUH42" s="285"/>
      <c r="AUI42" s="285"/>
      <c r="AUJ42" s="285"/>
      <c r="AUK42" s="285"/>
      <c r="AUL42" s="285"/>
      <c r="AUM42" s="285"/>
      <c r="AUN42" s="285"/>
      <c r="AUO42" s="285"/>
      <c r="AUP42" s="285"/>
      <c r="AUQ42" s="285"/>
      <c r="AUR42" s="285"/>
      <c r="AUS42" s="285"/>
      <c r="AUT42" s="285"/>
      <c r="AUU42" s="285"/>
      <c r="AUV42" s="285"/>
      <c r="AUW42" s="285"/>
      <c r="AUX42" s="285"/>
      <c r="AUY42" s="285"/>
      <c r="AUZ42" s="285"/>
      <c r="AVA42" s="285"/>
      <c r="AVB42" s="285"/>
      <c r="AVC42" s="285"/>
      <c r="AVD42" s="285"/>
      <c r="AVE42" s="285"/>
      <c r="AVF42" s="285"/>
      <c r="AVG42" s="285"/>
      <c r="AVH42" s="285"/>
      <c r="AVI42" s="285"/>
      <c r="AVJ42" s="285"/>
      <c r="AVK42" s="285"/>
      <c r="AVL42" s="285"/>
      <c r="AVM42" s="285"/>
      <c r="AVN42" s="285"/>
      <c r="AVO42" s="285"/>
      <c r="AVP42" s="285"/>
      <c r="AVQ42" s="285"/>
      <c r="AVR42" s="285"/>
      <c r="AVS42" s="285"/>
      <c r="AVT42" s="285"/>
      <c r="AVU42" s="285"/>
      <c r="AVV42" s="285"/>
      <c r="AVW42" s="285"/>
      <c r="AVX42" s="285"/>
      <c r="AVY42" s="285"/>
      <c r="AVZ42" s="285"/>
      <c r="AWA42" s="285"/>
      <c r="AWB42" s="285"/>
      <c r="AWC42" s="285"/>
      <c r="AWD42" s="285"/>
      <c r="AWE42" s="285"/>
      <c r="AWF42" s="285"/>
      <c r="AWG42" s="285"/>
      <c r="AWH42" s="285"/>
      <c r="AWI42" s="285"/>
      <c r="AWJ42" s="285"/>
      <c r="AWK42" s="285"/>
      <c r="AWL42" s="285"/>
      <c r="AWM42" s="285"/>
      <c r="AWN42" s="285"/>
      <c r="AWO42" s="285"/>
      <c r="AWP42" s="285"/>
      <c r="AWQ42" s="285"/>
      <c r="AWR42" s="285"/>
      <c r="AWS42" s="285"/>
      <c r="AWT42" s="285"/>
      <c r="AWU42" s="285"/>
      <c r="AWV42" s="285"/>
      <c r="AWW42" s="285"/>
      <c r="AWX42" s="285"/>
      <c r="AWY42" s="285"/>
      <c r="AWZ42" s="285"/>
      <c r="AXA42" s="285"/>
      <c r="AXB42" s="285"/>
      <c r="AXC42" s="285"/>
      <c r="AXD42" s="285"/>
      <c r="AXE42" s="285"/>
      <c r="AXF42" s="285"/>
      <c r="AXG42" s="285"/>
      <c r="AXH42" s="285"/>
      <c r="AXI42" s="285"/>
      <c r="AXJ42" s="285"/>
      <c r="AXK42" s="285"/>
      <c r="AXL42" s="285"/>
      <c r="AXM42" s="285"/>
      <c r="AXN42" s="285"/>
      <c r="AXO42" s="285"/>
      <c r="AXP42" s="285"/>
      <c r="AXQ42" s="285"/>
      <c r="AXR42" s="285"/>
      <c r="AXS42" s="285"/>
      <c r="AXT42" s="285"/>
      <c r="AXU42" s="285"/>
      <c r="AXV42" s="285"/>
      <c r="AXW42" s="285"/>
      <c r="AXX42" s="285"/>
      <c r="AXY42" s="285"/>
      <c r="AXZ42" s="285"/>
      <c r="AYA42" s="285"/>
      <c r="AYB42" s="285"/>
      <c r="AYC42" s="285"/>
      <c r="AYD42" s="285"/>
      <c r="AYE42" s="285"/>
      <c r="AYF42" s="285"/>
      <c r="AYG42" s="285"/>
      <c r="AYH42" s="285"/>
      <c r="AYI42" s="285"/>
      <c r="AYJ42" s="285"/>
      <c r="AYK42" s="285"/>
      <c r="AYL42" s="285"/>
      <c r="AYM42" s="285"/>
      <c r="AYN42" s="285"/>
      <c r="AYO42" s="285"/>
      <c r="AYP42" s="285"/>
      <c r="AYQ42" s="285"/>
      <c r="AYR42" s="285"/>
      <c r="AYS42" s="285"/>
      <c r="AYT42" s="285"/>
      <c r="AYU42" s="285"/>
      <c r="AYV42" s="285"/>
      <c r="AYW42" s="285"/>
      <c r="AYX42" s="285"/>
      <c r="AYY42" s="285"/>
      <c r="AYZ42" s="285"/>
      <c r="AZA42" s="285"/>
      <c r="AZB42" s="285"/>
      <c r="AZC42" s="285"/>
      <c r="AZD42" s="285"/>
      <c r="AZE42" s="285"/>
      <c r="AZF42" s="285"/>
      <c r="AZG42" s="285"/>
      <c r="AZH42" s="285"/>
      <c r="AZI42" s="285"/>
      <c r="AZJ42" s="285"/>
      <c r="AZK42" s="285"/>
      <c r="AZL42" s="285"/>
      <c r="AZM42" s="285"/>
      <c r="AZN42" s="285"/>
      <c r="AZO42" s="285"/>
      <c r="AZP42" s="285"/>
      <c r="AZQ42" s="285"/>
      <c r="AZR42" s="285"/>
      <c r="AZS42" s="285"/>
      <c r="AZT42" s="285"/>
      <c r="AZU42" s="285"/>
      <c r="AZV42" s="285"/>
      <c r="AZW42" s="285"/>
      <c r="AZX42" s="285"/>
      <c r="AZY42" s="285"/>
      <c r="AZZ42" s="285"/>
      <c r="BAA42" s="285"/>
      <c r="BAB42" s="285"/>
      <c r="BAC42" s="285"/>
      <c r="BAD42" s="285"/>
      <c r="BAE42" s="285"/>
      <c r="BAF42" s="285"/>
      <c r="BAG42" s="285"/>
      <c r="BAH42" s="285"/>
      <c r="BAI42" s="285"/>
      <c r="BAJ42" s="285"/>
      <c r="BAK42" s="285"/>
      <c r="BAL42" s="285"/>
      <c r="BAM42" s="285"/>
      <c r="BAN42" s="285"/>
      <c r="BAO42" s="285"/>
      <c r="BAP42" s="285"/>
      <c r="BAQ42" s="285"/>
      <c r="BAR42" s="285"/>
      <c r="BAS42" s="285"/>
      <c r="BAT42" s="285"/>
      <c r="BAU42" s="285"/>
      <c r="BAV42" s="285"/>
      <c r="BAW42" s="285"/>
      <c r="BAX42" s="285"/>
      <c r="BAY42" s="285"/>
      <c r="BAZ42" s="285"/>
      <c r="BBA42" s="285"/>
      <c r="BBB42" s="285"/>
      <c r="BBC42" s="285"/>
      <c r="BBD42" s="285"/>
      <c r="BBE42" s="285"/>
      <c r="BBF42" s="285"/>
      <c r="BBG42" s="285"/>
      <c r="BBH42" s="285"/>
      <c r="BBI42" s="285"/>
      <c r="BBJ42" s="285"/>
      <c r="BBK42" s="285"/>
      <c r="BBL42" s="285"/>
      <c r="BBM42" s="285"/>
      <c r="BBN42" s="285"/>
      <c r="BBO42" s="285"/>
      <c r="BBP42" s="285"/>
      <c r="BBQ42" s="285"/>
      <c r="BBR42" s="285"/>
      <c r="BBS42" s="285"/>
      <c r="BBT42" s="285"/>
      <c r="BBU42" s="285"/>
      <c r="BBV42" s="285"/>
      <c r="BBW42" s="285"/>
      <c r="BBX42" s="285"/>
      <c r="BBY42" s="285"/>
      <c r="BBZ42" s="285"/>
      <c r="BCA42" s="285"/>
      <c r="BCB42" s="285"/>
      <c r="BCC42" s="285"/>
      <c r="BCD42" s="285"/>
      <c r="BCE42" s="285"/>
      <c r="BCF42" s="285"/>
      <c r="BCG42" s="285"/>
      <c r="BCH42" s="285"/>
      <c r="BCI42" s="285"/>
      <c r="BCJ42" s="285"/>
      <c r="BCK42" s="285"/>
      <c r="BCL42" s="285"/>
      <c r="BCM42" s="285"/>
      <c r="BCN42" s="285"/>
      <c r="BCO42" s="285"/>
      <c r="BCP42" s="285"/>
      <c r="BCQ42" s="285"/>
      <c r="BCR42" s="285"/>
      <c r="BCS42" s="285"/>
      <c r="BCT42" s="285"/>
      <c r="BCU42" s="285"/>
      <c r="BCV42" s="285"/>
      <c r="BCW42" s="285"/>
      <c r="BCX42" s="285"/>
      <c r="BCY42" s="285"/>
      <c r="BCZ42" s="285"/>
      <c r="BDA42" s="285"/>
      <c r="BDB42" s="285"/>
      <c r="BDC42" s="285"/>
      <c r="BDD42" s="285"/>
      <c r="BDE42" s="285"/>
      <c r="BDF42" s="285"/>
      <c r="BDG42" s="285"/>
      <c r="BDH42" s="285"/>
      <c r="BDI42" s="285"/>
      <c r="BDJ42" s="285"/>
      <c r="BDK42" s="285"/>
      <c r="BDL42" s="285"/>
      <c r="BDM42" s="285"/>
      <c r="BDN42" s="285"/>
      <c r="BDO42" s="285"/>
      <c r="BDP42" s="285"/>
      <c r="BDQ42" s="285"/>
      <c r="BDR42" s="285"/>
      <c r="BDS42" s="285"/>
      <c r="BDT42" s="285"/>
      <c r="BDU42" s="285"/>
      <c r="BDV42" s="285"/>
      <c r="BDW42" s="285"/>
      <c r="BDX42" s="285"/>
      <c r="BDY42" s="285"/>
      <c r="BDZ42" s="285"/>
      <c r="BEA42" s="285"/>
      <c r="BEB42" s="285"/>
      <c r="BEC42" s="285"/>
      <c r="BED42" s="285"/>
      <c r="BEE42" s="285"/>
      <c r="BEF42" s="285"/>
      <c r="BEG42" s="285"/>
      <c r="BEH42" s="285"/>
      <c r="BEI42" s="285"/>
      <c r="BEJ42" s="285"/>
      <c r="BEK42" s="285"/>
      <c r="BEL42" s="285"/>
      <c r="BEM42" s="285"/>
      <c r="BEN42" s="285"/>
      <c r="BEO42" s="285"/>
      <c r="BEP42" s="285"/>
      <c r="BEQ42" s="285"/>
      <c r="BER42" s="285"/>
      <c r="BES42" s="285"/>
      <c r="BET42" s="285"/>
      <c r="BEU42" s="285"/>
      <c r="BEV42" s="285"/>
      <c r="BEW42" s="285"/>
      <c r="BEX42" s="285"/>
      <c r="BEY42" s="285"/>
      <c r="BEZ42" s="285"/>
      <c r="BFA42" s="285"/>
      <c r="BFB42" s="285"/>
      <c r="BFC42" s="285"/>
      <c r="BFD42" s="285"/>
      <c r="BFE42" s="285"/>
      <c r="BFF42" s="285"/>
      <c r="BFG42" s="285"/>
      <c r="BFH42" s="285"/>
      <c r="BFI42" s="285"/>
      <c r="BFJ42" s="285"/>
      <c r="BFK42" s="285"/>
      <c r="BFL42" s="285"/>
      <c r="BFM42" s="285"/>
      <c r="BFN42" s="285"/>
      <c r="BFO42" s="285"/>
      <c r="BFP42" s="285"/>
      <c r="BFQ42" s="285"/>
      <c r="BFR42" s="285"/>
      <c r="BFS42" s="285"/>
      <c r="BFT42" s="285"/>
      <c r="BFU42" s="285"/>
      <c r="BFV42" s="285"/>
      <c r="BFW42" s="285"/>
      <c r="BFX42" s="285"/>
      <c r="BFY42" s="285"/>
      <c r="BFZ42" s="285"/>
      <c r="BGA42" s="285"/>
      <c r="BGB42" s="285"/>
      <c r="BGC42" s="285"/>
      <c r="BGD42" s="285"/>
      <c r="BGE42" s="285"/>
      <c r="BGF42" s="285"/>
      <c r="BGG42" s="285"/>
      <c r="BGH42" s="285"/>
      <c r="BGI42" s="285"/>
      <c r="BGJ42" s="285"/>
      <c r="BGK42" s="285"/>
      <c r="BGL42" s="285"/>
      <c r="BGM42" s="285"/>
      <c r="BGN42" s="285"/>
      <c r="BGO42" s="285"/>
      <c r="BGP42" s="285"/>
      <c r="BGQ42" s="285"/>
      <c r="BGR42" s="285"/>
      <c r="BGS42" s="285"/>
      <c r="BGT42" s="285"/>
      <c r="BGU42" s="285"/>
      <c r="BGV42" s="285"/>
      <c r="BGW42" s="285"/>
      <c r="BGX42" s="285"/>
      <c r="BGY42" s="285"/>
      <c r="BGZ42" s="285"/>
      <c r="BHA42" s="285"/>
      <c r="BHB42" s="285"/>
      <c r="BHC42" s="285"/>
      <c r="BHD42" s="285"/>
      <c r="BHE42" s="285"/>
      <c r="BHF42" s="285"/>
      <c r="BHG42" s="285"/>
      <c r="BHH42" s="285"/>
      <c r="BHI42" s="285"/>
      <c r="BHJ42" s="285"/>
      <c r="BHK42" s="285"/>
      <c r="BHL42" s="285"/>
      <c r="BHM42" s="285"/>
      <c r="BHN42" s="285"/>
      <c r="BHO42" s="285"/>
      <c r="BHP42" s="285"/>
      <c r="BHQ42" s="285"/>
      <c r="BHR42" s="285"/>
      <c r="BHS42" s="285"/>
      <c r="BHT42" s="285"/>
      <c r="BHU42" s="285"/>
      <c r="BHV42" s="285"/>
      <c r="BHW42" s="285"/>
      <c r="BHX42" s="285"/>
      <c r="BHY42" s="285"/>
      <c r="BHZ42" s="285"/>
      <c r="BIA42" s="285"/>
      <c r="BIB42" s="285"/>
      <c r="BIC42" s="285"/>
      <c r="BID42" s="285"/>
      <c r="BIE42" s="285"/>
      <c r="BIF42" s="285"/>
      <c r="BIG42" s="285"/>
      <c r="BIH42" s="285"/>
      <c r="BII42" s="285"/>
      <c r="BIJ42" s="285"/>
      <c r="BIK42" s="285"/>
      <c r="BIL42" s="285"/>
      <c r="BIM42" s="285"/>
      <c r="BIN42" s="285"/>
      <c r="BIO42" s="285"/>
      <c r="BIP42" s="285"/>
      <c r="BIQ42" s="285"/>
      <c r="BIR42" s="285"/>
      <c r="BIS42" s="285"/>
      <c r="BIT42" s="285"/>
      <c r="BIU42" s="285"/>
      <c r="BIV42" s="285"/>
      <c r="BIW42" s="285"/>
      <c r="BIX42" s="285"/>
      <c r="BIY42" s="285"/>
      <c r="BIZ42" s="285"/>
      <c r="BJA42" s="285"/>
      <c r="BJB42" s="285"/>
      <c r="BJC42" s="285"/>
      <c r="BJD42" s="285"/>
      <c r="BJE42" s="285"/>
      <c r="BJF42" s="285"/>
      <c r="BJG42" s="285"/>
      <c r="BJH42" s="285"/>
      <c r="BJI42" s="285"/>
      <c r="BJJ42" s="285"/>
      <c r="BJK42" s="285"/>
      <c r="BJL42" s="285"/>
      <c r="BJM42" s="285"/>
      <c r="BJN42" s="285"/>
      <c r="BJO42" s="285"/>
      <c r="BJP42" s="285"/>
      <c r="BJQ42" s="285"/>
      <c r="BJR42" s="285"/>
      <c r="BJS42" s="285"/>
      <c r="BJT42" s="285"/>
      <c r="BJU42" s="285"/>
      <c r="BJV42" s="285"/>
      <c r="BJW42" s="285"/>
      <c r="BJX42" s="285"/>
      <c r="BJY42" s="285"/>
      <c r="BJZ42" s="285"/>
      <c r="BKA42" s="285"/>
      <c r="BKB42" s="285"/>
      <c r="BKC42" s="285"/>
      <c r="BKD42" s="285"/>
      <c r="BKE42" s="285"/>
      <c r="BKF42" s="285"/>
      <c r="BKG42" s="285"/>
      <c r="BKH42" s="285"/>
      <c r="BKI42" s="285"/>
      <c r="BKJ42" s="285"/>
      <c r="BKK42" s="285"/>
      <c r="BKL42" s="285"/>
      <c r="BKM42" s="285"/>
      <c r="BKN42" s="285"/>
      <c r="BKO42" s="285"/>
      <c r="BKP42" s="285"/>
      <c r="BKQ42" s="285"/>
      <c r="BKR42" s="285"/>
      <c r="BKS42" s="285"/>
      <c r="BKT42" s="285"/>
      <c r="BKU42" s="285"/>
      <c r="BKV42" s="285"/>
      <c r="BKW42" s="285"/>
      <c r="BKX42" s="285"/>
      <c r="BKY42" s="285"/>
      <c r="BKZ42" s="285"/>
      <c r="BLA42" s="285"/>
      <c r="BLB42" s="285"/>
      <c r="BLC42" s="285"/>
      <c r="BLD42" s="285"/>
      <c r="BLE42" s="285"/>
      <c r="BLF42" s="285"/>
      <c r="BLG42" s="285"/>
      <c r="BLH42" s="285"/>
      <c r="BLI42" s="285"/>
      <c r="BLJ42" s="285"/>
      <c r="BLK42" s="285"/>
      <c r="BLL42" s="285"/>
      <c r="BLM42" s="285"/>
      <c r="BLN42" s="285"/>
      <c r="BLO42" s="285"/>
      <c r="BLP42" s="285"/>
      <c r="BLQ42" s="285"/>
      <c r="BLR42" s="285"/>
      <c r="BLS42" s="285"/>
      <c r="BLT42" s="285"/>
      <c r="BLU42" s="285"/>
      <c r="BLV42" s="285"/>
      <c r="BLW42" s="285"/>
      <c r="BLX42" s="285"/>
      <c r="BLY42" s="285"/>
      <c r="BLZ42" s="285"/>
      <c r="BMA42" s="285"/>
      <c r="BMB42" s="285"/>
      <c r="BMC42" s="285"/>
      <c r="BMD42" s="285"/>
      <c r="BME42" s="285"/>
      <c r="BMF42" s="285"/>
      <c r="BMG42" s="285"/>
      <c r="BMH42" s="285"/>
      <c r="BMI42" s="285"/>
      <c r="BMJ42" s="285"/>
      <c r="BMK42" s="285"/>
      <c r="BML42" s="285"/>
      <c r="BMM42" s="285"/>
      <c r="BMN42" s="285"/>
      <c r="BMO42" s="285"/>
      <c r="BMP42" s="285"/>
      <c r="BMQ42" s="285"/>
      <c r="BMR42" s="285"/>
      <c r="BMS42" s="285"/>
      <c r="BMT42" s="285"/>
      <c r="BMU42" s="285"/>
      <c r="BMV42" s="285"/>
      <c r="BMW42" s="285"/>
      <c r="BMX42" s="285"/>
      <c r="BMY42" s="285"/>
      <c r="BMZ42" s="285"/>
      <c r="BNA42" s="285"/>
      <c r="BNB42" s="285"/>
      <c r="BNC42" s="285"/>
      <c r="BND42" s="285"/>
      <c r="BNE42" s="285"/>
      <c r="BNF42" s="285"/>
      <c r="BNG42" s="285"/>
      <c r="BNH42" s="285"/>
      <c r="BNI42" s="285"/>
      <c r="BNJ42" s="285"/>
      <c r="BNK42" s="285"/>
      <c r="BNL42" s="285"/>
      <c r="BNM42" s="285"/>
      <c r="BNN42" s="285"/>
      <c r="BNO42" s="285"/>
      <c r="BNP42" s="285"/>
      <c r="BNQ42" s="285"/>
      <c r="BNR42" s="285"/>
      <c r="BNS42" s="285"/>
      <c r="BNT42" s="285"/>
      <c r="BNU42" s="285"/>
      <c r="BNV42" s="285"/>
      <c r="BNW42" s="285"/>
      <c r="BNX42" s="285"/>
      <c r="BNY42" s="285"/>
      <c r="BNZ42" s="285"/>
      <c r="BOA42" s="285"/>
      <c r="BOB42" s="285"/>
      <c r="BOC42" s="285"/>
      <c r="BOD42" s="285"/>
      <c r="BOE42" s="285"/>
      <c r="BOF42" s="285"/>
      <c r="BOG42" s="285"/>
      <c r="BOH42" s="285"/>
      <c r="BOI42" s="285"/>
      <c r="BOJ42" s="285"/>
      <c r="BOK42" s="285"/>
      <c r="BOL42" s="285"/>
      <c r="BOM42" s="285"/>
      <c r="BON42" s="285"/>
      <c r="BOO42" s="285"/>
      <c r="BOP42" s="285"/>
      <c r="BOQ42" s="285"/>
      <c r="BOR42" s="285"/>
      <c r="BOS42" s="285"/>
      <c r="BOT42" s="285"/>
      <c r="BOU42" s="285"/>
      <c r="BOV42" s="285"/>
      <c r="BOW42" s="285"/>
      <c r="BOX42" s="285"/>
      <c r="BOY42" s="285"/>
      <c r="BOZ42" s="285"/>
      <c r="BPA42" s="285"/>
      <c r="BPB42" s="285"/>
      <c r="BPC42" s="285"/>
      <c r="BPD42" s="285"/>
      <c r="BPE42" s="285"/>
      <c r="BPF42" s="285"/>
      <c r="BPG42" s="285"/>
      <c r="BPH42" s="285"/>
      <c r="BPI42" s="285"/>
      <c r="BPJ42" s="285"/>
      <c r="BPK42" s="285"/>
      <c r="BPL42" s="285"/>
      <c r="BPM42" s="285"/>
      <c r="BPN42" s="285"/>
      <c r="BPO42" s="285"/>
      <c r="BPP42" s="285"/>
      <c r="BPQ42" s="285"/>
      <c r="BPR42" s="285"/>
      <c r="BPS42" s="285"/>
      <c r="BPT42" s="285"/>
      <c r="BPU42" s="285"/>
      <c r="BPV42" s="285"/>
      <c r="BPW42" s="285"/>
      <c r="BPX42" s="285"/>
      <c r="BPY42" s="285"/>
      <c r="BPZ42" s="285"/>
      <c r="BQA42" s="285"/>
      <c r="BQB42" s="285"/>
      <c r="BQC42" s="285"/>
      <c r="BQD42" s="285"/>
      <c r="BQE42" s="285"/>
      <c r="BQF42" s="285"/>
      <c r="BQG42" s="285"/>
      <c r="BQH42" s="285"/>
      <c r="BQI42" s="285"/>
      <c r="BQJ42" s="285"/>
      <c r="BQK42" s="285"/>
      <c r="BQL42" s="285"/>
      <c r="BQM42" s="285"/>
      <c r="BQN42" s="285"/>
      <c r="BQO42" s="285"/>
      <c r="BQP42" s="285"/>
      <c r="BQQ42" s="285"/>
      <c r="BQR42" s="285"/>
      <c r="BQS42" s="285"/>
      <c r="BQT42" s="285"/>
      <c r="BQU42" s="285"/>
      <c r="BQV42" s="285"/>
      <c r="BQW42" s="285"/>
      <c r="BQX42" s="285"/>
      <c r="BQY42" s="285"/>
      <c r="BQZ42" s="285"/>
      <c r="BRA42" s="285"/>
      <c r="BRB42" s="285"/>
      <c r="BRC42" s="285"/>
      <c r="BRD42" s="285"/>
      <c r="BRE42" s="285"/>
      <c r="BRF42" s="285"/>
      <c r="BRG42" s="285"/>
      <c r="BRH42" s="285"/>
      <c r="BRI42" s="285"/>
      <c r="BRJ42" s="285"/>
      <c r="BRK42" s="285"/>
      <c r="BRL42" s="285"/>
      <c r="BRM42" s="285"/>
      <c r="BRN42" s="285"/>
      <c r="BRO42" s="285"/>
      <c r="BRP42" s="285"/>
      <c r="BRQ42" s="285"/>
      <c r="BRR42" s="285"/>
      <c r="BRS42" s="285"/>
      <c r="BRT42" s="285"/>
      <c r="BRU42" s="285"/>
      <c r="BRV42" s="285"/>
      <c r="BRW42" s="285"/>
      <c r="BRX42" s="285"/>
      <c r="BRY42" s="285"/>
      <c r="BRZ42" s="285"/>
      <c r="BSA42" s="285"/>
      <c r="BSB42" s="285"/>
      <c r="BSC42" s="285"/>
      <c r="BSD42" s="285"/>
      <c r="BSE42" s="285"/>
      <c r="BSF42" s="285"/>
      <c r="BSG42" s="285"/>
      <c r="BSH42" s="285"/>
      <c r="BSI42" s="285"/>
      <c r="BSJ42" s="285"/>
      <c r="BSK42" s="285"/>
      <c r="BSL42" s="285"/>
      <c r="BSM42" s="285"/>
      <c r="BSN42" s="285"/>
      <c r="BSO42" s="285"/>
      <c r="BSP42" s="285"/>
      <c r="BSQ42" s="285"/>
      <c r="BSR42" s="285"/>
      <c r="BSS42" s="285"/>
      <c r="BST42" s="285"/>
      <c r="BSU42" s="285"/>
      <c r="BSV42" s="285"/>
      <c r="BSW42" s="285"/>
      <c r="BSX42" s="285"/>
      <c r="BSY42" s="285"/>
      <c r="BSZ42" s="285"/>
      <c r="BTA42" s="285"/>
      <c r="BTB42" s="285"/>
      <c r="BTC42" s="285"/>
      <c r="BTD42" s="285"/>
      <c r="BTE42" s="285"/>
      <c r="BTF42" s="285"/>
      <c r="BTG42" s="285"/>
      <c r="BTH42" s="285"/>
      <c r="BTI42" s="285"/>
      <c r="BTJ42" s="285"/>
      <c r="BTK42" s="285"/>
      <c r="BTL42" s="285"/>
      <c r="BTM42" s="285"/>
      <c r="BTN42" s="285"/>
      <c r="BTO42" s="285"/>
      <c r="BTP42" s="285"/>
      <c r="BTQ42" s="285"/>
      <c r="BTR42" s="285"/>
      <c r="BTS42" s="285"/>
      <c r="BTT42" s="285"/>
      <c r="BTU42" s="285"/>
      <c r="BTV42" s="285"/>
      <c r="BTW42" s="285"/>
      <c r="BTX42" s="285"/>
      <c r="BTY42" s="285"/>
      <c r="BTZ42" s="285"/>
      <c r="BUA42" s="285"/>
      <c r="BUB42" s="285"/>
      <c r="BUC42" s="285"/>
      <c r="BUD42" s="285"/>
      <c r="BUE42" s="285"/>
      <c r="BUF42" s="285"/>
      <c r="BUG42" s="285"/>
      <c r="BUH42" s="285"/>
      <c r="BUI42" s="285"/>
      <c r="BUJ42" s="285"/>
      <c r="BUK42" s="285"/>
      <c r="BUL42" s="285"/>
      <c r="BUM42" s="285"/>
      <c r="BUN42" s="285"/>
      <c r="BUO42" s="285"/>
      <c r="BUP42" s="285"/>
      <c r="BUQ42" s="285"/>
      <c r="BUR42" s="285"/>
      <c r="BUS42" s="285"/>
      <c r="BUT42" s="285"/>
      <c r="BUU42" s="285"/>
      <c r="BUV42" s="285"/>
      <c r="BUW42" s="285"/>
      <c r="BUX42" s="285"/>
      <c r="BUY42" s="285"/>
      <c r="BUZ42" s="285"/>
      <c r="BVA42" s="285"/>
      <c r="BVB42" s="285"/>
      <c r="BVC42" s="285"/>
      <c r="BVD42" s="285"/>
      <c r="BVE42" s="285"/>
      <c r="BVF42" s="285"/>
      <c r="BVG42" s="285"/>
      <c r="BVH42" s="285"/>
      <c r="BVI42" s="285"/>
      <c r="BVJ42" s="285"/>
      <c r="BVK42" s="285"/>
      <c r="BVL42" s="285"/>
      <c r="BVM42" s="285"/>
      <c r="BVN42" s="285"/>
      <c r="BVO42" s="285"/>
      <c r="BVP42" s="285"/>
      <c r="BVQ42" s="285"/>
      <c r="BVR42" s="285"/>
      <c r="BVS42" s="285"/>
      <c r="BVT42" s="285"/>
      <c r="BVU42" s="285"/>
      <c r="BVV42" s="285"/>
      <c r="BVW42" s="285"/>
      <c r="BVX42" s="285"/>
      <c r="BVY42" s="285"/>
      <c r="BVZ42" s="285"/>
      <c r="BWA42" s="285"/>
      <c r="BWB42" s="285"/>
      <c r="BWC42" s="285"/>
      <c r="BWD42" s="285"/>
      <c r="BWE42" s="285"/>
      <c r="BWF42" s="285"/>
      <c r="BWG42" s="285"/>
      <c r="BWH42" s="285"/>
      <c r="BWI42" s="285"/>
      <c r="BWJ42" s="285"/>
      <c r="BWK42" s="285"/>
      <c r="BWL42" s="285"/>
      <c r="BWM42" s="285"/>
      <c r="BWN42" s="285"/>
      <c r="BWO42" s="285"/>
      <c r="BWP42" s="285"/>
      <c r="BWQ42" s="285"/>
      <c r="BWR42" s="285"/>
      <c r="BWS42" s="285"/>
      <c r="BWT42" s="285"/>
      <c r="BWU42" s="285"/>
      <c r="BWV42" s="285"/>
      <c r="BWW42" s="285"/>
      <c r="BWX42" s="285"/>
      <c r="BWY42" s="285"/>
      <c r="BWZ42" s="285"/>
      <c r="BXA42" s="285"/>
      <c r="BXB42" s="285"/>
      <c r="BXC42" s="285"/>
      <c r="BXD42" s="285"/>
      <c r="BXE42" s="285"/>
      <c r="BXF42" s="285"/>
      <c r="BXG42" s="285"/>
      <c r="BXH42" s="285"/>
      <c r="BXI42" s="285"/>
      <c r="BXJ42" s="285"/>
      <c r="BXK42" s="285"/>
      <c r="BXL42" s="285"/>
      <c r="BXM42" s="285"/>
      <c r="BXN42" s="285"/>
      <c r="BXO42" s="285"/>
      <c r="BXP42" s="285"/>
      <c r="BXQ42" s="285"/>
      <c r="BXR42" s="285"/>
      <c r="BXS42" s="285"/>
      <c r="BXT42" s="285"/>
      <c r="BXU42" s="285"/>
      <c r="BXV42" s="285"/>
      <c r="BXW42" s="285"/>
      <c r="BXX42" s="285"/>
      <c r="BXY42" s="285"/>
      <c r="BXZ42" s="285"/>
      <c r="BYA42" s="285"/>
      <c r="BYB42" s="285"/>
      <c r="BYC42" s="285"/>
      <c r="BYD42" s="285"/>
      <c r="BYE42" s="285"/>
      <c r="BYF42" s="285"/>
      <c r="BYG42" s="285"/>
      <c r="BYH42" s="285"/>
      <c r="BYI42" s="285"/>
      <c r="BYJ42" s="285"/>
      <c r="BYK42" s="285"/>
      <c r="BYL42" s="285"/>
      <c r="BYM42" s="285"/>
      <c r="BYN42" s="285"/>
      <c r="BYO42" s="285"/>
      <c r="BYP42" s="285"/>
      <c r="BYQ42" s="285"/>
      <c r="BYR42" s="285"/>
      <c r="BYS42" s="285"/>
      <c r="BYT42" s="285"/>
      <c r="BYU42" s="285"/>
      <c r="BYV42" s="285"/>
      <c r="BYW42" s="285"/>
      <c r="BYX42" s="285"/>
      <c r="BYY42" s="285"/>
      <c r="BYZ42" s="285"/>
      <c r="BZA42" s="285"/>
      <c r="BZB42" s="285"/>
      <c r="BZC42" s="285"/>
      <c r="BZD42" s="285"/>
      <c r="BZE42" s="285"/>
      <c r="BZF42" s="285"/>
      <c r="BZG42" s="285"/>
      <c r="BZH42" s="285"/>
      <c r="BZI42" s="285"/>
      <c r="BZJ42" s="285"/>
      <c r="BZK42" s="285"/>
      <c r="BZL42" s="285"/>
      <c r="BZM42" s="285"/>
      <c r="BZN42" s="285"/>
      <c r="BZO42" s="285"/>
      <c r="BZP42" s="285"/>
      <c r="BZQ42" s="285"/>
      <c r="BZR42" s="285"/>
      <c r="BZS42" s="285"/>
      <c r="BZT42" s="285"/>
      <c r="BZU42" s="285"/>
      <c r="BZV42" s="285"/>
      <c r="BZW42" s="285"/>
      <c r="BZX42" s="285"/>
      <c r="BZY42" s="285"/>
      <c r="BZZ42" s="285"/>
      <c r="CAA42" s="285"/>
      <c r="CAB42" s="285"/>
      <c r="CAC42" s="285"/>
      <c r="CAD42" s="285"/>
      <c r="CAE42" s="285"/>
      <c r="CAF42" s="285"/>
      <c r="CAG42" s="285"/>
      <c r="CAH42" s="285"/>
      <c r="CAI42" s="285"/>
      <c r="CAJ42" s="285"/>
      <c r="CAK42" s="285"/>
      <c r="CAL42" s="285"/>
      <c r="CAM42" s="285"/>
      <c r="CAN42" s="285"/>
      <c r="CAO42" s="285"/>
      <c r="CAP42" s="285"/>
      <c r="CAQ42" s="285"/>
      <c r="CAR42" s="285"/>
      <c r="CAS42" s="285"/>
      <c r="CAT42" s="285"/>
      <c r="CAU42" s="285"/>
      <c r="CAV42" s="285"/>
      <c r="CAW42" s="285"/>
      <c r="CAX42" s="285"/>
      <c r="CAY42" s="285"/>
      <c r="CAZ42" s="285"/>
      <c r="CBA42" s="285"/>
      <c r="CBB42" s="285"/>
      <c r="CBC42" s="285"/>
      <c r="CBD42" s="285"/>
      <c r="CBE42" s="285"/>
      <c r="CBF42" s="285"/>
      <c r="CBG42" s="285"/>
      <c r="CBH42" s="285"/>
      <c r="CBI42" s="285"/>
      <c r="CBJ42" s="285"/>
      <c r="CBK42" s="285"/>
      <c r="CBL42" s="285"/>
      <c r="CBM42" s="285"/>
      <c r="CBN42" s="285"/>
      <c r="CBO42" s="285"/>
      <c r="CBP42" s="285"/>
      <c r="CBQ42" s="285"/>
      <c r="CBR42" s="285"/>
      <c r="CBS42" s="285"/>
      <c r="CBT42" s="285"/>
      <c r="CBU42" s="285"/>
      <c r="CBV42" s="285"/>
      <c r="CBW42" s="285"/>
      <c r="CBX42" s="285"/>
      <c r="CBY42" s="285"/>
      <c r="CBZ42" s="285"/>
      <c r="CCA42" s="285"/>
      <c r="CCB42" s="285"/>
      <c r="CCC42" s="285"/>
      <c r="CCD42" s="285"/>
      <c r="CCE42" s="285"/>
      <c r="CCF42" s="285"/>
      <c r="CCG42" s="285"/>
      <c r="CCH42" s="285"/>
      <c r="CCI42" s="285"/>
      <c r="CCJ42" s="285"/>
      <c r="CCK42" s="285"/>
      <c r="CCL42" s="285"/>
      <c r="CCM42" s="285"/>
      <c r="CCN42" s="285"/>
      <c r="CCO42" s="285"/>
      <c r="CCP42" s="285"/>
      <c r="CCQ42" s="285"/>
      <c r="CCR42" s="285"/>
      <c r="CCS42" s="285"/>
      <c r="CCT42" s="285"/>
      <c r="CCU42" s="285"/>
      <c r="CCV42" s="285"/>
      <c r="CCW42" s="285"/>
      <c r="CCX42" s="285"/>
      <c r="CCY42" s="285"/>
      <c r="CCZ42" s="285"/>
      <c r="CDA42" s="285"/>
      <c r="CDB42" s="285"/>
      <c r="CDC42" s="285"/>
      <c r="CDD42" s="285"/>
      <c r="CDE42" s="285"/>
      <c r="CDF42" s="285"/>
      <c r="CDG42" s="285"/>
      <c r="CDH42" s="285"/>
      <c r="CDI42" s="285"/>
      <c r="CDJ42" s="285"/>
      <c r="CDK42" s="285"/>
      <c r="CDL42" s="285"/>
      <c r="CDM42" s="285"/>
      <c r="CDN42" s="285"/>
      <c r="CDO42" s="285"/>
      <c r="CDP42" s="285"/>
      <c r="CDQ42" s="285"/>
      <c r="CDR42" s="285"/>
      <c r="CDS42" s="285"/>
      <c r="CDT42" s="285"/>
      <c r="CDU42" s="285"/>
      <c r="CDV42" s="285"/>
      <c r="CDW42" s="285"/>
      <c r="CDX42" s="285"/>
      <c r="CDY42" s="285"/>
      <c r="CDZ42" s="285"/>
      <c r="CEA42" s="285"/>
      <c r="CEB42" s="285"/>
      <c r="CEC42" s="285"/>
      <c r="CED42" s="285"/>
      <c r="CEE42" s="285"/>
      <c r="CEF42" s="285"/>
      <c r="CEG42" s="285"/>
      <c r="CEH42" s="285"/>
      <c r="CEI42" s="285"/>
      <c r="CEJ42" s="285"/>
      <c r="CEK42" s="285"/>
      <c r="CEL42" s="285"/>
      <c r="CEM42" s="285"/>
      <c r="CEN42" s="285"/>
      <c r="CEO42" s="285"/>
      <c r="CEP42" s="285"/>
      <c r="CEQ42" s="285"/>
      <c r="CER42" s="285"/>
      <c r="CES42" s="285"/>
      <c r="CET42" s="285"/>
      <c r="CEU42" s="285"/>
      <c r="CEV42" s="285"/>
      <c r="CEW42" s="285"/>
      <c r="CEX42" s="285"/>
      <c r="CEY42" s="285"/>
      <c r="CEZ42" s="285"/>
      <c r="CFA42" s="285"/>
      <c r="CFB42" s="285"/>
      <c r="CFC42" s="285"/>
      <c r="CFD42" s="285"/>
      <c r="CFE42" s="285"/>
      <c r="CFF42" s="285"/>
      <c r="CFG42" s="285"/>
      <c r="CFH42" s="285"/>
      <c r="CFI42" s="285"/>
      <c r="CFJ42" s="285"/>
      <c r="CFK42" s="285"/>
      <c r="CFL42" s="285"/>
      <c r="CFM42" s="285"/>
      <c r="CFN42" s="285"/>
      <c r="CFO42" s="285"/>
      <c r="CFP42" s="285"/>
      <c r="CFQ42" s="285"/>
      <c r="CFR42" s="285"/>
      <c r="CFS42" s="285"/>
      <c r="CFT42" s="285"/>
      <c r="CFU42" s="285"/>
      <c r="CFV42" s="285"/>
      <c r="CFW42" s="285"/>
      <c r="CFX42" s="285"/>
      <c r="CFY42" s="285"/>
      <c r="CFZ42" s="285"/>
      <c r="CGA42" s="285"/>
      <c r="CGB42" s="285"/>
      <c r="CGC42" s="285"/>
      <c r="CGD42" s="285"/>
      <c r="CGE42" s="285"/>
      <c r="CGF42" s="285"/>
      <c r="CGG42" s="285"/>
      <c r="CGH42" s="285"/>
      <c r="CGI42" s="285"/>
      <c r="CGJ42" s="285"/>
      <c r="CGK42" s="285"/>
      <c r="CGL42" s="285"/>
      <c r="CGM42" s="285"/>
      <c r="CGN42" s="285"/>
      <c r="CGO42" s="285"/>
      <c r="CGP42" s="285"/>
      <c r="CGQ42" s="285"/>
      <c r="CGR42" s="285"/>
      <c r="CGS42" s="285"/>
      <c r="CGT42" s="285"/>
      <c r="CGU42" s="285"/>
      <c r="CGV42" s="285"/>
      <c r="CGW42" s="285"/>
      <c r="CGX42" s="285"/>
      <c r="CGY42" s="285"/>
      <c r="CGZ42" s="285"/>
      <c r="CHA42" s="285"/>
      <c r="CHB42" s="285"/>
      <c r="CHC42" s="285"/>
      <c r="CHD42" s="285"/>
      <c r="CHE42" s="285"/>
      <c r="CHF42" s="285"/>
      <c r="CHG42" s="285"/>
      <c r="CHH42" s="285"/>
      <c r="CHI42" s="285"/>
      <c r="CHJ42" s="285"/>
      <c r="CHK42" s="285"/>
      <c r="CHL42" s="285"/>
      <c r="CHM42" s="285"/>
      <c r="CHN42" s="285"/>
      <c r="CHO42" s="285"/>
      <c r="CHP42" s="285"/>
      <c r="CHQ42" s="285"/>
      <c r="CHR42" s="285"/>
      <c r="CHS42" s="285"/>
      <c r="CHT42" s="285"/>
      <c r="CHU42" s="285"/>
      <c r="CHV42" s="285"/>
      <c r="CHW42" s="285"/>
      <c r="CHX42" s="285"/>
      <c r="CHY42" s="285"/>
      <c r="CHZ42" s="285"/>
      <c r="CIA42" s="285"/>
      <c r="CIB42" s="285"/>
      <c r="CIC42" s="285"/>
      <c r="CID42" s="285"/>
      <c r="CIE42" s="285"/>
      <c r="CIF42" s="285"/>
      <c r="CIG42" s="285"/>
      <c r="CIH42" s="285"/>
      <c r="CII42" s="285"/>
      <c r="CIJ42" s="285"/>
      <c r="CIK42" s="285"/>
      <c r="CIL42" s="285"/>
      <c r="CIM42" s="285"/>
      <c r="CIN42" s="285"/>
      <c r="CIO42" s="285"/>
      <c r="CIP42" s="285"/>
      <c r="CIQ42" s="285"/>
      <c r="CIR42" s="285"/>
      <c r="CIS42" s="285"/>
      <c r="CIT42" s="285"/>
      <c r="CIU42" s="285"/>
      <c r="CIV42" s="285"/>
      <c r="CIW42" s="285"/>
      <c r="CIX42" s="285"/>
      <c r="CIY42" s="285"/>
      <c r="CIZ42" s="285"/>
      <c r="CJA42" s="285"/>
      <c r="CJB42" s="285"/>
      <c r="CJC42" s="285"/>
      <c r="CJD42" s="285"/>
      <c r="CJE42" s="285"/>
      <c r="CJF42" s="285"/>
      <c r="CJG42" s="285"/>
      <c r="CJH42" s="285"/>
      <c r="CJI42" s="285"/>
      <c r="CJJ42" s="285"/>
      <c r="CJK42" s="285"/>
      <c r="CJL42" s="285"/>
      <c r="CJM42" s="285"/>
      <c r="CJN42" s="285"/>
      <c r="CJO42" s="285"/>
      <c r="CJP42" s="285"/>
      <c r="CJQ42" s="285"/>
      <c r="CJR42" s="285"/>
      <c r="CJS42" s="285"/>
      <c r="CJT42" s="285"/>
      <c r="CJU42" s="285"/>
      <c r="CJV42" s="285"/>
      <c r="CJW42" s="285"/>
      <c r="CJX42" s="285"/>
      <c r="CJY42" s="285"/>
      <c r="CJZ42" s="285"/>
      <c r="CKA42" s="285"/>
      <c r="CKB42" s="285"/>
      <c r="CKC42" s="285"/>
      <c r="CKD42" s="285"/>
      <c r="CKE42" s="285"/>
      <c r="CKF42" s="285"/>
      <c r="CKG42" s="285"/>
      <c r="CKH42" s="285"/>
      <c r="CKI42" s="285"/>
      <c r="CKJ42" s="285"/>
      <c r="CKK42" s="285"/>
      <c r="CKL42" s="285"/>
      <c r="CKM42" s="285"/>
      <c r="CKN42" s="285"/>
      <c r="CKO42" s="285"/>
      <c r="CKP42" s="285"/>
      <c r="CKQ42" s="285"/>
      <c r="CKR42" s="285"/>
      <c r="CKS42" s="285"/>
      <c r="CKT42" s="285"/>
      <c r="CKU42" s="285"/>
      <c r="CKV42" s="285"/>
      <c r="CKW42" s="285"/>
      <c r="CKX42" s="285"/>
      <c r="CKY42" s="285"/>
      <c r="CKZ42" s="285"/>
      <c r="CLA42" s="285"/>
      <c r="CLB42" s="285"/>
      <c r="CLC42" s="285"/>
      <c r="CLD42" s="285"/>
      <c r="CLE42" s="285"/>
      <c r="CLF42" s="285"/>
      <c r="CLG42" s="285"/>
      <c r="CLH42" s="285"/>
      <c r="CLI42" s="285"/>
      <c r="CLJ42" s="285"/>
      <c r="CLK42" s="285"/>
      <c r="CLL42" s="285"/>
      <c r="CLM42" s="285"/>
      <c r="CLN42" s="285"/>
      <c r="CLO42" s="285"/>
      <c r="CLP42" s="285"/>
      <c r="CLQ42" s="285"/>
      <c r="CLR42" s="285"/>
      <c r="CLS42" s="285"/>
      <c r="CLT42" s="285"/>
      <c r="CLU42" s="285"/>
      <c r="CLV42" s="285"/>
      <c r="CLW42" s="285"/>
      <c r="CLX42" s="285"/>
      <c r="CLY42" s="285"/>
      <c r="CLZ42" s="285"/>
      <c r="CMA42" s="285"/>
      <c r="CMB42" s="285"/>
      <c r="CMC42" s="285"/>
      <c r="CMD42" s="285"/>
      <c r="CME42" s="285"/>
      <c r="CMF42" s="285"/>
      <c r="CMG42" s="285"/>
      <c r="CMH42" s="285"/>
      <c r="CMI42" s="285"/>
      <c r="CMJ42" s="285"/>
      <c r="CMK42" s="285"/>
      <c r="CML42" s="285"/>
      <c r="CMM42" s="285"/>
      <c r="CMN42" s="285"/>
      <c r="CMO42" s="285"/>
      <c r="CMP42" s="285"/>
      <c r="CMQ42" s="285"/>
      <c r="CMR42" s="285"/>
      <c r="CMS42" s="285"/>
      <c r="CMT42" s="285"/>
      <c r="CMU42" s="285"/>
      <c r="CMV42" s="285"/>
      <c r="CMW42" s="285"/>
      <c r="CMX42" s="285"/>
      <c r="CMY42" s="285"/>
      <c r="CMZ42" s="285"/>
      <c r="CNA42" s="285"/>
      <c r="CNB42" s="285"/>
      <c r="CNC42" s="285"/>
      <c r="CND42" s="285"/>
      <c r="CNE42" s="285"/>
      <c r="CNF42" s="285"/>
      <c r="CNG42" s="285"/>
      <c r="CNH42" s="285"/>
      <c r="CNI42" s="285"/>
      <c r="CNJ42" s="285"/>
      <c r="CNK42" s="285"/>
      <c r="CNL42" s="285"/>
      <c r="CNM42" s="285"/>
      <c r="CNN42" s="285"/>
      <c r="CNO42" s="285"/>
      <c r="CNP42" s="285"/>
      <c r="CNQ42" s="285"/>
      <c r="CNR42" s="285"/>
      <c r="CNS42" s="285"/>
      <c r="CNT42" s="285"/>
      <c r="CNU42" s="285"/>
      <c r="CNV42" s="285"/>
      <c r="CNW42" s="285"/>
      <c r="CNX42" s="285"/>
      <c r="CNY42" s="285"/>
      <c r="CNZ42" s="285"/>
      <c r="COA42" s="285"/>
      <c r="COB42" s="285"/>
      <c r="COC42" s="285"/>
      <c r="COD42" s="285"/>
      <c r="COE42" s="285"/>
      <c r="COF42" s="285"/>
      <c r="COG42" s="285"/>
      <c r="COH42" s="285"/>
      <c r="COI42" s="285"/>
      <c r="COJ42" s="285"/>
      <c r="COK42" s="285"/>
      <c r="COL42" s="285"/>
      <c r="COM42" s="285"/>
      <c r="CON42" s="285"/>
      <c r="COO42" s="285"/>
      <c r="COP42" s="285"/>
      <c r="COQ42" s="285"/>
      <c r="COR42" s="285"/>
      <c r="COS42" s="285"/>
      <c r="COT42" s="285"/>
      <c r="COU42" s="285"/>
      <c r="COV42" s="285"/>
      <c r="COW42" s="285"/>
      <c r="COX42" s="285"/>
      <c r="COY42" s="285"/>
      <c r="COZ42" s="285"/>
      <c r="CPA42" s="285"/>
      <c r="CPB42" s="285"/>
      <c r="CPC42" s="285"/>
      <c r="CPD42" s="285"/>
      <c r="CPE42" s="285"/>
      <c r="CPF42" s="285"/>
      <c r="CPG42" s="285"/>
      <c r="CPH42" s="285"/>
      <c r="CPI42" s="285"/>
      <c r="CPJ42" s="285"/>
      <c r="CPK42" s="285"/>
      <c r="CPL42" s="285"/>
      <c r="CPM42" s="285"/>
      <c r="CPN42" s="285"/>
      <c r="CPO42" s="285"/>
      <c r="CPP42" s="285"/>
      <c r="CPQ42" s="285"/>
      <c r="CPR42" s="285"/>
      <c r="CPS42" s="285"/>
      <c r="CPT42" s="285"/>
      <c r="CPU42" s="285"/>
      <c r="CPV42" s="285"/>
      <c r="CPW42" s="285"/>
      <c r="CPX42" s="285"/>
      <c r="CPY42" s="285"/>
      <c r="CPZ42" s="285"/>
      <c r="CQA42" s="285"/>
      <c r="CQB42" s="285"/>
      <c r="CQC42" s="285"/>
      <c r="CQD42" s="285"/>
      <c r="CQE42" s="285"/>
      <c r="CQF42" s="285"/>
      <c r="CQG42" s="285"/>
      <c r="CQH42" s="285"/>
      <c r="CQI42" s="285"/>
      <c r="CQJ42" s="285"/>
      <c r="CQK42" s="285"/>
      <c r="CQL42" s="285"/>
      <c r="CQM42" s="285"/>
      <c r="CQN42" s="285"/>
      <c r="CQO42" s="285"/>
      <c r="CQP42" s="285"/>
      <c r="CQQ42" s="285"/>
      <c r="CQR42" s="285"/>
      <c r="CQS42" s="285"/>
      <c r="CQT42" s="285"/>
      <c r="CQU42" s="285"/>
      <c r="CQV42" s="285"/>
      <c r="CQW42" s="285"/>
      <c r="CQX42" s="285"/>
      <c r="CQY42" s="285"/>
      <c r="CQZ42" s="285"/>
      <c r="CRA42" s="285"/>
      <c r="CRB42" s="285"/>
      <c r="CRC42" s="285"/>
      <c r="CRD42" s="285"/>
      <c r="CRE42" s="285"/>
      <c r="CRF42" s="285"/>
      <c r="CRG42" s="285"/>
      <c r="CRH42" s="285"/>
      <c r="CRI42" s="285"/>
      <c r="CRJ42" s="285"/>
      <c r="CRK42" s="285"/>
      <c r="CRL42" s="285"/>
      <c r="CRM42" s="285"/>
      <c r="CRN42" s="285"/>
      <c r="CRO42" s="285"/>
      <c r="CRP42" s="285"/>
      <c r="CRQ42" s="285"/>
      <c r="CRR42" s="285"/>
      <c r="CRS42" s="285"/>
      <c r="CRT42" s="285"/>
      <c r="CRU42" s="285"/>
      <c r="CRV42" s="285"/>
      <c r="CRW42" s="285"/>
      <c r="CRX42" s="285"/>
      <c r="CRY42" s="285"/>
      <c r="CRZ42" s="285"/>
      <c r="CSA42" s="285"/>
      <c r="CSB42" s="285"/>
      <c r="CSC42" s="285"/>
      <c r="CSD42" s="285"/>
      <c r="CSE42" s="285"/>
      <c r="CSF42" s="285"/>
      <c r="CSG42" s="285"/>
      <c r="CSH42" s="285"/>
      <c r="CSI42" s="285"/>
      <c r="CSJ42" s="285"/>
      <c r="CSK42" s="285"/>
      <c r="CSL42" s="285"/>
      <c r="CSM42" s="285"/>
      <c r="CSN42" s="285"/>
      <c r="CSO42" s="285"/>
      <c r="CSP42" s="285"/>
      <c r="CSQ42" s="285"/>
      <c r="CSR42" s="285"/>
      <c r="CSS42" s="285"/>
      <c r="CST42" s="285"/>
      <c r="CSU42" s="285"/>
      <c r="CSV42" s="285"/>
      <c r="CSW42" s="285"/>
      <c r="CSX42" s="285"/>
      <c r="CSY42" s="285"/>
      <c r="CSZ42" s="285"/>
      <c r="CTA42" s="285"/>
      <c r="CTB42" s="285"/>
      <c r="CTC42" s="285"/>
      <c r="CTD42" s="285"/>
      <c r="CTE42" s="285"/>
      <c r="CTF42" s="285"/>
      <c r="CTG42" s="285"/>
      <c r="CTH42" s="285"/>
      <c r="CTI42" s="285"/>
      <c r="CTJ42" s="285"/>
      <c r="CTK42" s="285"/>
      <c r="CTL42" s="285"/>
      <c r="CTM42" s="285"/>
      <c r="CTN42" s="285"/>
      <c r="CTO42" s="285"/>
      <c r="CTP42" s="285"/>
      <c r="CTQ42" s="285"/>
      <c r="CTR42" s="285"/>
      <c r="CTS42" s="285"/>
      <c r="CTT42" s="285"/>
      <c r="CTU42" s="285"/>
      <c r="CTV42" s="285"/>
      <c r="CTW42" s="285"/>
      <c r="CTX42" s="285"/>
      <c r="CTY42" s="285"/>
      <c r="CTZ42" s="285"/>
      <c r="CUA42" s="285"/>
      <c r="CUB42" s="285"/>
      <c r="CUC42" s="285"/>
      <c r="CUD42" s="285"/>
      <c r="CUE42" s="285"/>
      <c r="CUF42" s="285"/>
      <c r="CUG42" s="285"/>
      <c r="CUH42" s="285"/>
      <c r="CUI42" s="285"/>
      <c r="CUJ42" s="285"/>
      <c r="CUK42" s="285"/>
      <c r="CUL42" s="285"/>
      <c r="CUM42" s="285"/>
      <c r="CUN42" s="285"/>
      <c r="CUO42" s="285"/>
      <c r="CUP42" s="285"/>
      <c r="CUQ42" s="285"/>
      <c r="CUR42" s="285"/>
      <c r="CUS42" s="285"/>
      <c r="CUT42" s="285"/>
      <c r="CUU42" s="285"/>
      <c r="CUV42" s="285"/>
      <c r="CUW42" s="285"/>
      <c r="CUX42" s="285"/>
      <c r="CUY42" s="285"/>
      <c r="CUZ42" s="285"/>
      <c r="CVA42" s="285"/>
      <c r="CVB42" s="285"/>
      <c r="CVC42" s="285"/>
      <c r="CVD42" s="285"/>
      <c r="CVE42" s="285"/>
      <c r="CVF42" s="285"/>
      <c r="CVG42" s="285"/>
      <c r="CVH42" s="285"/>
      <c r="CVI42" s="285"/>
      <c r="CVJ42" s="285"/>
      <c r="CVK42" s="285"/>
      <c r="CVL42" s="285"/>
      <c r="CVM42" s="285"/>
      <c r="CVN42" s="285"/>
      <c r="CVO42" s="285"/>
      <c r="CVP42" s="285"/>
      <c r="CVQ42" s="285"/>
      <c r="CVR42" s="285"/>
      <c r="CVS42" s="285"/>
      <c r="CVT42" s="285"/>
      <c r="CVU42" s="285"/>
      <c r="CVV42" s="285"/>
      <c r="CVW42" s="285"/>
      <c r="CVX42" s="285"/>
      <c r="CVY42" s="285"/>
      <c r="CVZ42" s="285"/>
      <c r="CWA42" s="285"/>
      <c r="CWB42" s="285"/>
      <c r="CWC42" s="285"/>
      <c r="CWD42" s="285"/>
      <c r="CWE42" s="285"/>
      <c r="CWF42" s="285"/>
      <c r="CWG42" s="285"/>
      <c r="CWH42" s="285"/>
      <c r="CWI42" s="285"/>
      <c r="CWJ42" s="285"/>
      <c r="CWK42" s="285"/>
      <c r="CWL42" s="285"/>
      <c r="CWM42" s="285"/>
      <c r="CWN42" s="285"/>
      <c r="CWO42" s="285"/>
      <c r="CWP42" s="285"/>
      <c r="CWQ42" s="285"/>
      <c r="CWR42" s="285"/>
      <c r="CWS42" s="285"/>
      <c r="CWT42" s="285"/>
      <c r="CWU42" s="285"/>
      <c r="CWV42" s="285"/>
      <c r="CWW42" s="285"/>
      <c r="CWX42" s="285"/>
      <c r="CWY42" s="285"/>
      <c r="CWZ42" s="285"/>
      <c r="CXA42" s="285"/>
      <c r="CXB42" s="285"/>
      <c r="CXC42" s="285"/>
      <c r="CXD42" s="285"/>
      <c r="CXE42" s="285"/>
      <c r="CXF42" s="285"/>
      <c r="CXG42" s="285"/>
      <c r="CXH42" s="285"/>
      <c r="CXI42" s="285"/>
      <c r="CXJ42" s="285"/>
      <c r="CXK42" s="285"/>
      <c r="CXL42" s="285"/>
      <c r="CXM42" s="285"/>
      <c r="CXN42" s="285"/>
      <c r="CXO42" s="285"/>
      <c r="CXP42" s="285"/>
      <c r="CXQ42" s="285"/>
      <c r="CXR42" s="285"/>
      <c r="CXS42" s="285"/>
      <c r="CXT42" s="285"/>
      <c r="CXU42" s="285"/>
      <c r="CXV42" s="285"/>
      <c r="CXW42" s="285"/>
      <c r="CXX42" s="285"/>
      <c r="CXY42" s="285"/>
      <c r="CXZ42" s="285"/>
      <c r="CYA42" s="285"/>
      <c r="CYB42" s="285"/>
      <c r="CYC42" s="285"/>
      <c r="CYD42" s="285"/>
      <c r="CYE42" s="285"/>
      <c r="CYF42" s="285"/>
      <c r="CYG42" s="285"/>
      <c r="CYH42" s="285"/>
      <c r="CYI42" s="285"/>
      <c r="CYJ42" s="285"/>
      <c r="CYK42" s="285"/>
      <c r="CYL42" s="285"/>
      <c r="CYM42" s="285"/>
      <c r="CYN42" s="285"/>
      <c r="CYO42" s="285"/>
      <c r="CYP42" s="285"/>
      <c r="CYQ42" s="285"/>
      <c r="CYR42" s="285"/>
      <c r="CYS42" s="285"/>
      <c r="CYT42" s="285"/>
      <c r="CYU42" s="285"/>
      <c r="CYV42" s="285"/>
      <c r="CYW42" s="285"/>
      <c r="CYX42" s="285"/>
      <c r="CYY42" s="285"/>
      <c r="CYZ42" s="285"/>
      <c r="CZA42" s="285"/>
      <c r="CZB42" s="285"/>
      <c r="CZC42" s="285"/>
      <c r="CZD42" s="285"/>
      <c r="CZE42" s="285"/>
      <c r="CZF42" s="285"/>
      <c r="CZG42" s="285"/>
      <c r="CZH42" s="285"/>
      <c r="CZI42" s="285"/>
      <c r="CZJ42" s="285"/>
      <c r="CZK42" s="285"/>
      <c r="CZL42" s="285"/>
      <c r="CZM42" s="285"/>
      <c r="CZN42" s="285"/>
      <c r="CZO42" s="285"/>
      <c r="CZP42" s="285"/>
      <c r="CZQ42" s="285"/>
      <c r="CZR42" s="285"/>
      <c r="CZS42" s="285"/>
      <c r="CZT42" s="285"/>
      <c r="CZU42" s="285"/>
      <c r="CZV42" s="285"/>
      <c r="CZW42" s="285"/>
      <c r="CZX42" s="285"/>
      <c r="CZY42" s="285"/>
      <c r="CZZ42" s="285"/>
      <c r="DAA42" s="285"/>
      <c r="DAB42" s="285"/>
      <c r="DAC42" s="285"/>
      <c r="DAD42" s="285"/>
      <c r="DAE42" s="285"/>
      <c r="DAF42" s="285"/>
      <c r="DAG42" s="285"/>
      <c r="DAH42" s="285"/>
      <c r="DAI42" s="285"/>
      <c r="DAJ42" s="285"/>
      <c r="DAK42" s="285"/>
      <c r="DAL42" s="285"/>
      <c r="DAM42" s="285"/>
      <c r="DAN42" s="285"/>
      <c r="DAO42" s="285"/>
      <c r="DAP42" s="285"/>
      <c r="DAQ42" s="285"/>
      <c r="DAR42" s="285"/>
      <c r="DAS42" s="285"/>
      <c r="DAT42" s="285"/>
      <c r="DAU42" s="285"/>
      <c r="DAV42" s="285"/>
      <c r="DAW42" s="285"/>
      <c r="DAX42" s="285"/>
      <c r="DAY42" s="285"/>
      <c r="DAZ42" s="285"/>
      <c r="DBA42" s="285"/>
      <c r="DBB42" s="285"/>
      <c r="DBC42" s="285"/>
      <c r="DBD42" s="285"/>
      <c r="DBE42" s="285"/>
      <c r="DBF42" s="285"/>
      <c r="DBG42" s="285"/>
      <c r="DBH42" s="285"/>
      <c r="DBI42" s="285"/>
      <c r="DBJ42" s="285"/>
      <c r="DBK42" s="285"/>
      <c r="DBL42" s="285"/>
      <c r="DBM42" s="285"/>
      <c r="DBN42" s="285"/>
      <c r="DBO42" s="285"/>
      <c r="DBP42" s="285"/>
      <c r="DBQ42" s="285"/>
      <c r="DBR42" s="285"/>
      <c r="DBS42" s="285"/>
      <c r="DBT42" s="285"/>
      <c r="DBU42" s="285"/>
      <c r="DBV42" s="285"/>
      <c r="DBW42" s="285"/>
      <c r="DBX42" s="285"/>
      <c r="DBY42" s="285"/>
      <c r="DBZ42" s="285"/>
      <c r="DCA42" s="285"/>
      <c r="DCB42" s="285"/>
      <c r="DCC42" s="285"/>
      <c r="DCD42" s="285"/>
      <c r="DCE42" s="285"/>
      <c r="DCF42" s="285"/>
      <c r="DCG42" s="285"/>
      <c r="DCH42" s="285"/>
      <c r="DCI42" s="285"/>
      <c r="DCJ42" s="285"/>
      <c r="DCK42" s="285"/>
      <c r="DCL42" s="285"/>
      <c r="DCM42" s="285"/>
      <c r="DCN42" s="285"/>
      <c r="DCO42" s="285"/>
      <c r="DCP42" s="285"/>
      <c r="DCQ42" s="285"/>
      <c r="DCR42" s="285"/>
      <c r="DCS42" s="285"/>
      <c r="DCT42" s="285"/>
      <c r="DCU42" s="285"/>
      <c r="DCV42" s="285"/>
      <c r="DCW42" s="285"/>
      <c r="DCX42" s="285"/>
      <c r="DCY42" s="285"/>
      <c r="DCZ42" s="285"/>
      <c r="DDA42" s="285"/>
      <c r="DDB42" s="285"/>
      <c r="DDC42" s="285"/>
      <c r="DDD42" s="285"/>
      <c r="DDE42" s="285"/>
      <c r="DDF42" s="285"/>
      <c r="DDG42" s="285"/>
      <c r="DDH42" s="285"/>
      <c r="DDI42" s="285"/>
      <c r="DDJ42" s="285"/>
      <c r="DDK42" s="285"/>
      <c r="DDL42" s="285"/>
      <c r="DDM42" s="285"/>
      <c r="DDN42" s="285"/>
      <c r="DDO42" s="285"/>
      <c r="DDP42" s="285"/>
      <c r="DDQ42" s="285"/>
      <c r="DDR42" s="285"/>
      <c r="DDS42" s="285"/>
      <c r="DDT42" s="285"/>
      <c r="DDU42" s="285"/>
      <c r="DDV42" s="285"/>
      <c r="DDW42" s="285"/>
      <c r="DDX42" s="285"/>
      <c r="DDY42" s="285"/>
      <c r="DDZ42" s="285"/>
      <c r="DEA42" s="285"/>
      <c r="DEB42" s="285"/>
      <c r="DEC42" s="285"/>
      <c r="DED42" s="285"/>
      <c r="DEE42" s="285"/>
      <c r="DEF42" s="285"/>
      <c r="DEG42" s="285"/>
      <c r="DEH42" s="285"/>
      <c r="DEI42" s="285"/>
      <c r="DEJ42" s="285"/>
      <c r="DEK42" s="285"/>
      <c r="DEL42" s="285"/>
      <c r="DEM42" s="285"/>
      <c r="DEN42" s="285"/>
      <c r="DEO42" s="285"/>
      <c r="DEP42" s="285"/>
      <c r="DEQ42" s="285"/>
      <c r="DER42" s="285"/>
      <c r="DES42" s="285"/>
      <c r="DET42" s="285"/>
      <c r="DEU42" s="285"/>
      <c r="DEV42" s="285"/>
      <c r="DEW42" s="285"/>
      <c r="DEX42" s="285"/>
      <c r="DEY42" s="285"/>
      <c r="DEZ42" s="285"/>
      <c r="DFA42" s="285"/>
      <c r="DFB42" s="285"/>
      <c r="DFC42" s="285"/>
      <c r="DFD42" s="285"/>
      <c r="DFE42" s="285"/>
      <c r="DFF42" s="285"/>
      <c r="DFG42" s="285"/>
      <c r="DFH42" s="285"/>
      <c r="DFI42" s="285"/>
      <c r="DFJ42" s="285"/>
      <c r="DFK42" s="285"/>
      <c r="DFL42" s="285"/>
      <c r="DFM42" s="285"/>
      <c r="DFN42" s="285"/>
      <c r="DFO42" s="285"/>
      <c r="DFP42" s="285"/>
      <c r="DFQ42" s="285"/>
      <c r="DFR42" s="285"/>
      <c r="DFS42" s="285"/>
      <c r="DFT42" s="285"/>
      <c r="DFU42" s="285"/>
      <c r="DFV42" s="285"/>
      <c r="DFW42" s="285"/>
      <c r="DFX42" s="285"/>
      <c r="DFY42" s="285"/>
      <c r="DFZ42" s="285"/>
      <c r="DGA42" s="285"/>
      <c r="DGB42" s="285"/>
      <c r="DGC42" s="285"/>
      <c r="DGD42" s="285"/>
      <c r="DGE42" s="285"/>
      <c r="DGF42" s="285"/>
      <c r="DGG42" s="285"/>
      <c r="DGH42" s="285"/>
      <c r="DGI42" s="285"/>
      <c r="DGJ42" s="285"/>
      <c r="DGK42" s="285"/>
      <c r="DGL42" s="285"/>
      <c r="DGM42" s="285"/>
      <c r="DGN42" s="285"/>
      <c r="DGO42" s="285"/>
      <c r="DGP42" s="285"/>
      <c r="DGQ42" s="285"/>
      <c r="DGR42" s="285"/>
      <c r="DGS42" s="285"/>
      <c r="DGT42" s="285"/>
      <c r="DGU42" s="285"/>
      <c r="DGV42" s="285"/>
      <c r="DGW42" s="285"/>
      <c r="DGX42" s="285"/>
      <c r="DGY42" s="285"/>
      <c r="DGZ42" s="285"/>
      <c r="DHA42" s="285"/>
      <c r="DHB42" s="285"/>
      <c r="DHC42" s="285"/>
      <c r="DHD42" s="285"/>
      <c r="DHE42" s="285"/>
      <c r="DHF42" s="285"/>
      <c r="DHG42" s="285"/>
      <c r="DHH42" s="285"/>
      <c r="DHI42" s="285"/>
      <c r="DHJ42" s="285"/>
      <c r="DHK42" s="285"/>
      <c r="DHL42" s="285"/>
      <c r="DHM42" s="285"/>
      <c r="DHN42" s="285"/>
      <c r="DHO42" s="285"/>
      <c r="DHP42" s="285"/>
      <c r="DHQ42" s="285"/>
      <c r="DHR42" s="285"/>
      <c r="DHS42" s="285"/>
      <c r="DHT42" s="285"/>
      <c r="DHU42" s="285"/>
      <c r="DHV42" s="285"/>
      <c r="DHW42" s="285"/>
      <c r="DHX42" s="285"/>
      <c r="DHY42" s="285"/>
      <c r="DHZ42" s="285"/>
      <c r="DIA42" s="285"/>
      <c r="DIB42" s="285"/>
      <c r="DIC42" s="285"/>
      <c r="DID42" s="285"/>
      <c r="DIE42" s="285"/>
      <c r="DIF42" s="285"/>
      <c r="DIG42" s="285"/>
      <c r="DIH42" s="285"/>
      <c r="DII42" s="285"/>
      <c r="DIJ42" s="285"/>
      <c r="DIK42" s="285"/>
      <c r="DIL42" s="285"/>
      <c r="DIM42" s="285"/>
      <c r="DIN42" s="285"/>
      <c r="DIO42" s="285"/>
      <c r="DIP42" s="285"/>
      <c r="DIQ42" s="285"/>
      <c r="DIR42" s="285"/>
      <c r="DIS42" s="285"/>
      <c r="DIT42" s="285"/>
      <c r="DIU42" s="285"/>
      <c r="DIV42" s="285"/>
      <c r="DIW42" s="285"/>
      <c r="DIX42" s="285"/>
      <c r="DIY42" s="285"/>
      <c r="DIZ42" s="285"/>
      <c r="DJA42" s="285"/>
      <c r="DJB42" s="285"/>
      <c r="DJC42" s="285"/>
      <c r="DJD42" s="285"/>
      <c r="DJE42" s="285"/>
      <c r="DJF42" s="285"/>
      <c r="DJG42" s="285"/>
      <c r="DJH42" s="285"/>
      <c r="DJI42" s="285"/>
      <c r="DJJ42" s="285"/>
      <c r="DJK42" s="285"/>
      <c r="DJL42" s="285"/>
      <c r="DJM42" s="285"/>
      <c r="DJN42" s="285"/>
      <c r="DJO42" s="285"/>
      <c r="DJP42" s="285"/>
      <c r="DJQ42" s="285"/>
      <c r="DJR42" s="285"/>
      <c r="DJS42" s="285"/>
      <c r="DJT42" s="285"/>
      <c r="DJU42" s="285"/>
      <c r="DJV42" s="285"/>
      <c r="DJW42" s="285"/>
      <c r="DJX42" s="285"/>
      <c r="DJY42" s="285"/>
      <c r="DJZ42" s="285"/>
      <c r="DKA42" s="285"/>
      <c r="DKB42" s="285"/>
      <c r="DKC42" s="285"/>
      <c r="DKD42" s="285"/>
      <c r="DKE42" s="285"/>
      <c r="DKF42" s="285"/>
      <c r="DKG42" s="285"/>
      <c r="DKH42" s="285"/>
      <c r="DKI42" s="285"/>
      <c r="DKJ42" s="285"/>
      <c r="DKK42" s="285"/>
      <c r="DKL42" s="285"/>
      <c r="DKM42" s="285"/>
      <c r="DKN42" s="285"/>
      <c r="DKO42" s="285"/>
      <c r="DKP42" s="285"/>
      <c r="DKQ42" s="285"/>
      <c r="DKR42" s="285"/>
      <c r="DKS42" s="285"/>
      <c r="DKT42" s="285"/>
      <c r="DKU42" s="285"/>
      <c r="DKV42" s="285"/>
      <c r="DKW42" s="285"/>
      <c r="DKX42" s="285"/>
      <c r="DKY42" s="285"/>
      <c r="DKZ42" s="285"/>
      <c r="DLA42" s="285"/>
      <c r="DLB42" s="285"/>
      <c r="DLC42" s="285"/>
      <c r="DLD42" s="285"/>
      <c r="DLE42" s="285"/>
      <c r="DLF42" s="285"/>
      <c r="DLG42" s="285"/>
      <c r="DLH42" s="285"/>
      <c r="DLI42" s="285"/>
      <c r="DLJ42" s="285"/>
      <c r="DLK42" s="285"/>
      <c r="DLL42" s="285"/>
      <c r="DLM42" s="285"/>
      <c r="DLN42" s="285"/>
      <c r="DLO42" s="285"/>
      <c r="DLP42" s="285"/>
      <c r="DLQ42" s="285"/>
      <c r="DLR42" s="285"/>
      <c r="DLS42" s="285"/>
      <c r="DLT42" s="285"/>
      <c r="DLU42" s="285"/>
      <c r="DLV42" s="285"/>
      <c r="DLW42" s="285"/>
      <c r="DLX42" s="285"/>
      <c r="DLY42" s="285"/>
      <c r="DLZ42" s="285"/>
      <c r="DMA42" s="285"/>
      <c r="DMB42" s="285"/>
      <c r="DMC42" s="285"/>
      <c r="DMD42" s="285"/>
      <c r="DME42" s="285"/>
      <c r="DMF42" s="285"/>
      <c r="DMG42" s="285"/>
      <c r="DMH42" s="285"/>
      <c r="DMI42" s="285"/>
      <c r="DMJ42" s="285"/>
      <c r="DMK42" s="285"/>
      <c r="DML42" s="285"/>
      <c r="DMM42" s="285"/>
      <c r="DMN42" s="285"/>
      <c r="DMO42" s="285"/>
      <c r="DMP42" s="285"/>
      <c r="DMQ42" s="285"/>
      <c r="DMR42" s="285"/>
      <c r="DMS42" s="285"/>
      <c r="DMT42" s="285"/>
      <c r="DMU42" s="285"/>
      <c r="DMV42" s="285"/>
      <c r="DMW42" s="285"/>
      <c r="DMX42" s="285"/>
      <c r="DMY42" s="285"/>
      <c r="DMZ42" s="285"/>
      <c r="DNA42" s="285"/>
      <c r="DNB42" s="285"/>
      <c r="DNC42" s="285"/>
      <c r="DND42" s="285"/>
      <c r="DNE42" s="285"/>
      <c r="DNF42" s="285"/>
      <c r="DNG42" s="285"/>
      <c r="DNH42" s="285"/>
      <c r="DNI42" s="285"/>
      <c r="DNJ42" s="285"/>
      <c r="DNK42" s="285"/>
      <c r="DNL42" s="285"/>
      <c r="DNM42" s="285"/>
      <c r="DNN42" s="285"/>
      <c r="DNO42" s="285"/>
      <c r="DNP42" s="285"/>
      <c r="DNQ42" s="285"/>
      <c r="DNR42" s="285"/>
      <c r="DNS42" s="285"/>
      <c r="DNT42" s="285"/>
      <c r="DNU42" s="285"/>
      <c r="DNV42" s="285"/>
      <c r="DNW42" s="285"/>
      <c r="DNX42" s="285"/>
      <c r="DNY42" s="285"/>
      <c r="DNZ42" s="285"/>
      <c r="DOA42" s="285"/>
      <c r="DOB42" s="285"/>
      <c r="DOC42" s="285"/>
      <c r="DOD42" s="285"/>
      <c r="DOE42" s="285"/>
      <c r="DOF42" s="285"/>
      <c r="DOG42" s="285"/>
      <c r="DOH42" s="285"/>
      <c r="DOI42" s="285"/>
      <c r="DOJ42" s="285"/>
      <c r="DOK42" s="285"/>
      <c r="DOL42" s="285"/>
      <c r="DOM42" s="285"/>
      <c r="DON42" s="285"/>
      <c r="DOO42" s="285"/>
      <c r="DOP42" s="285"/>
      <c r="DOQ42" s="285"/>
      <c r="DOR42" s="285"/>
      <c r="DOS42" s="285"/>
      <c r="DOT42" s="285"/>
      <c r="DOU42" s="285"/>
      <c r="DOV42" s="285"/>
      <c r="DOW42" s="285"/>
      <c r="DOX42" s="285"/>
      <c r="DOY42" s="285"/>
      <c r="DOZ42" s="285"/>
      <c r="DPA42" s="285"/>
      <c r="DPB42" s="285"/>
      <c r="DPC42" s="285"/>
      <c r="DPD42" s="285"/>
      <c r="DPE42" s="285"/>
      <c r="DPF42" s="285"/>
      <c r="DPG42" s="285"/>
      <c r="DPH42" s="285"/>
      <c r="DPI42" s="285"/>
      <c r="DPJ42" s="285"/>
      <c r="DPK42" s="285"/>
      <c r="DPL42" s="285"/>
      <c r="DPM42" s="285"/>
      <c r="DPN42" s="285"/>
      <c r="DPO42" s="285"/>
      <c r="DPP42" s="285"/>
      <c r="DPQ42" s="285"/>
      <c r="DPR42" s="285"/>
      <c r="DPS42" s="285"/>
      <c r="DPT42" s="285"/>
      <c r="DPU42" s="285"/>
      <c r="DPV42" s="285"/>
      <c r="DPW42" s="285"/>
      <c r="DPX42" s="285"/>
      <c r="DPY42" s="285"/>
      <c r="DPZ42" s="285"/>
      <c r="DQA42" s="285"/>
      <c r="DQB42" s="285"/>
      <c r="DQC42" s="285"/>
      <c r="DQD42" s="285"/>
      <c r="DQE42" s="285"/>
      <c r="DQF42" s="285"/>
      <c r="DQG42" s="285"/>
      <c r="DQH42" s="285"/>
      <c r="DQI42" s="285"/>
      <c r="DQJ42" s="285"/>
      <c r="DQK42" s="285"/>
      <c r="DQL42" s="285"/>
      <c r="DQM42" s="285"/>
      <c r="DQN42" s="285"/>
      <c r="DQO42" s="285"/>
      <c r="DQP42" s="285"/>
      <c r="DQQ42" s="285"/>
      <c r="DQR42" s="285"/>
      <c r="DQS42" s="285"/>
      <c r="DQT42" s="285"/>
      <c r="DQU42" s="285"/>
      <c r="DQV42" s="285"/>
      <c r="DQW42" s="285"/>
      <c r="DQX42" s="285"/>
      <c r="DQY42" s="285"/>
      <c r="DQZ42" s="285"/>
      <c r="DRA42" s="285"/>
      <c r="DRB42" s="285"/>
      <c r="DRC42" s="285"/>
      <c r="DRD42" s="285"/>
      <c r="DRE42" s="285"/>
      <c r="DRF42" s="285"/>
      <c r="DRG42" s="285"/>
      <c r="DRH42" s="285"/>
      <c r="DRI42" s="285"/>
      <c r="DRJ42" s="285"/>
      <c r="DRK42" s="285"/>
      <c r="DRL42" s="285"/>
      <c r="DRM42" s="285"/>
      <c r="DRN42" s="285"/>
      <c r="DRO42" s="285"/>
      <c r="DRP42" s="285"/>
      <c r="DRQ42" s="285"/>
      <c r="DRR42" s="285"/>
      <c r="DRS42" s="285"/>
      <c r="DRT42" s="285"/>
      <c r="DRU42" s="285"/>
      <c r="DRV42" s="285"/>
      <c r="DRW42" s="285"/>
      <c r="DRX42" s="285"/>
      <c r="DRY42" s="285"/>
      <c r="DRZ42" s="285"/>
      <c r="DSA42" s="285"/>
      <c r="DSB42" s="285"/>
      <c r="DSC42" s="285"/>
      <c r="DSD42" s="285"/>
      <c r="DSE42" s="285"/>
      <c r="DSF42" s="285"/>
      <c r="DSG42" s="285"/>
      <c r="DSH42" s="285"/>
      <c r="DSI42" s="285"/>
      <c r="DSJ42" s="285"/>
      <c r="DSK42" s="285"/>
      <c r="DSL42" s="285"/>
      <c r="DSM42" s="285"/>
      <c r="DSN42" s="285"/>
      <c r="DSO42" s="285"/>
      <c r="DSP42" s="285"/>
      <c r="DSQ42" s="285"/>
      <c r="DSR42" s="285"/>
      <c r="DSS42" s="285"/>
      <c r="DST42" s="285"/>
      <c r="DSU42" s="285"/>
      <c r="DSV42" s="285"/>
      <c r="DSW42" s="285"/>
      <c r="DSX42" s="285"/>
      <c r="DSY42" s="285"/>
      <c r="DSZ42" s="285"/>
      <c r="DTA42" s="285"/>
      <c r="DTB42" s="285"/>
      <c r="DTC42" s="285"/>
      <c r="DTD42" s="285"/>
      <c r="DTE42" s="285"/>
      <c r="DTF42" s="285"/>
      <c r="DTG42" s="285"/>
      <c r="DTH42" s="285"/>
      <c r="DTI42" s="285"/>
      <c r="DTJ42" s="285"/>
      <c r="DTK42" s="285"/>
      <c r="DTL42" s="285"/>
      <c r="DTM42" s="285"/>
      <c r="DTN42" s="285"/>
      <c r="DTO42" s="285"/>
      <c r="DTP42" s="285"/>
      <c r="DTQ42" s="285"/>
      <c r="DTR42" s="285"/>
      <c r="DTS42" s="285"/>
      <c r="DTT42" s="285"/>
      <c r="DTU42" s="285"/>
      <c r="DTV42" s="285"/>
      <c r="DTW42" s="285"/>
      <c r="DTX42" s="285"/>
      <c r="DTY42" s="285"/>
      <c r="DTZ42" s="285"/>
      <c r="DUA42" s="285"/>
      <c r="DUB42" s="285"/>
      <c r="DUC42" s="285"/>
      <c r="DUD42" s="285"/>
      <c r="DUE42" s="285"/>
      <c r="DUF42" s="285"/>
      <c r="DUG42" s="285"/>
      <c r="DUH42" s="285"/>
      <c r="DUI42" s="285"/>
      <c r="DUJ42" s="285"/>
      <c r="DUK42" s="285"/>
      <c r="DUL42" s="285"/>
      <c r="DUM42" s="285"/>
      <c r="DUN42" s="285"/>
      <c r="DUO42" s="285"/>
      <c r="DUP42" s="285"/>
      <c r="DUQ42" s="285"/>
      <c r="DUR42" s="285"/>
      <c r="DUS42" s="285"/>
      <c r="DUT42" s="285"/>
      <c r="DUU42" s="285"/>
      <c r="DUV42" s="285"/>
      <c r="DUW42" s="285"/>
      <c r="DUX42" s="285"/>
      <c r="DUY42" s="285"/>
      <c r="DUZ42" s="285"/>
      <c r="DVA42" s="285"/>
      <c r="DVB42" s="285"/>
      <c r="DVC42" s="285"/>
      <c r="DVD42" s="285"/>
      <c r="DVE42" s="285"/>
      <c r="DVF42" s="285"/>
      <c r="DVG42" s="285"/>
      <c r="DVH42" s="285"/>
      <c r="DVI42" s="285"/>
      <c r="DVJ42" s="285"/>
      <c r="DVK42" s="285"/>
      <c r="DVL42" s="285"/>
      <c r="DVM42" s="285"/>
      <c r="DVN42" s="285"/>
      <c r="DVO42" s="285"/>
      <c r="DVP42" s="285"/>
      <c r="DVQ42" s="285"/>
      <c r="DVR42" s="285"/>
      <c r="DVS42" s="285"/>
      <c r="DVT42" s="285"/>
      <c r="DVU42" s="285"/>
      <c r="DVV42" s="285"/>
      <c r="DVW42" s="285"/>
      <c r="DVX42" s="285"/>
      <c r="DVY42" s="285"/>
      <c r="DVZ42" s="285"/>
      <c r="DWA42" s="285"/>
      <c r="DWB42" s="285"/>
      <c r="DWC42" s="285"/>
      <c r="DWD42" s="285"/>
      <c r="DWE42" s="285"/>
      <c r="DWF42" s="285"/>
      <c r="DWG42" s="285"/>
      <c r="DWH42" s="285"/>
      <c r="DWI42" s="285"/>
      <c r="DWJ42" s="285"/>
      <c r="DWK42" s="285"/>
      <c r="DWL42" s="285"/>
      <c r="DWM42" s="285"/>
      <c r="DWN42" s="285"/>
      <c r="DWO42" s="285"/>
      <c r="DWP42" s="285"/>
      <c r="DWQ42" s="285"/>
      <c r="DWR42" s="285"/>
      <c r="DWS42" s="285"/>
      <c r="DWT42" s="285"/>
      <c r="DWU42" s="285"/>
      <c r="DWV42" s="285"/>
      <c r="DWW42" s="285"/>
      <c r="DWX42" s="285"/>
      <c r="DWY42" s="285"/>
      <c r="DWZ42" s="285"/>
      <c r="DXA42" s="285"/>
      <c r="DXB42" s="285"/>
      <c r="DXC42" s="285"/>
      <c r="DXD42" s="285"/>
      <c r="DXE42" s="285"/>
      <c r="DXF42" s="285"/>
      <c r="DXG42" s="285"/>
      <c r="DXH42" s="285"/>
      <c r="DXI42" s="285"/>
      <c r="DXJ42" s="285"/>
      <c r="DXK42" s="285"/>
      <c r="DXL42" s="285"/>
      <c r="DXM42" s="285"/>
      <c r="DXN42" s="285"/>
      <c r="DXO42" s="285"/>
      <c r="DXP42" s="285"/>
      <c r="DXQ42" s="285"/>
      <c r="DXR42" s="285"/>
      <c r="DXS42" s="285"/>
      <c r="DXT42" s="285"/>
      <c r="DXU42" s="285"/>
      <c r="DXV42" s="285"/>
      <c r="DXW42" s="285"/>
      <c r="DXX42" s="285"/>
      <c r="DXY42" s="285"/>
      <c r="DXZ42" s="285"/>
      <c r="DYA42" s="285"/>
      <c r="DYB42" s="285"/>
      <c r="DYC42" s="285"/>
      <c r="DYD42" s="285"/>
      <c r="DYE42" s="285"/>
      <c r="DYF42" s="285"/>
      <c r="DYG42" s="285"/>
      <c r="DYH42" s="285"/>
      <c r="DYI42" s="285"/>
      <c r="DYJ42" s="285"/>
      <c r="DYK42" s="285"/>
      <c r="DYL42" s="285"/>
      <c r="DYM42" s="285"/>
      <c r="DYN42" s="285"/>
      <c r="DYO42" s="285"/>
      <c r="DYP42" s="285"/>
      <c r="DYQ42" s="285"/>
      <c r="DYR42" s="285"/>
      <c r="DYS42" s="285"/>
      <c r="DYT42" s="285"/>
      <c r="DYU42" s="285"/>
      <c r="DYV42" s="285"/>
      <c r="DYW42" s="285"/>
      <c r="DYX42" s="285"/>
      <c r="DYY42" s="285"/>
      <c r="DYZ42" s="285"/>
      <c r="DZA42" s="285"/>
      <c r="DZB42" s="285"/>
      <c r="DZC42" s="285"/>
      <c r="DZD42" s="285"/>
      <c r="DZE42" s="285"/>
      <c r="DZF42" s="285"/>
      <c r="DZG42" s="285"/>
      <c r="DZH42" s="285"/>
      <c r="DZI42" s="285"/>
      <c r="DZJ42" s="285"/>
      <c r="DZK42" s="285"/>
      <c r="DZL42" s="285"/>
      <c r="DZM42" s="285"/>
      <c r="DZN42" s="285"/>
      <c r="DZO42" s="285"/>
      <c r="DZP42" s="285"/>
      <c r="DZQ42" s="285"/>
      <c r="DZR42" s="285"/>
      <c r="DZS42" s="285"/>
      <c r="DZT42" s="285"/>
      <c r="DZU42" s="285"/>
      <c r="DZV42" s="285"/>
      <c r="DZW42" s="285"/>
      <c r="DZX42" s="285"/>
      <c r="DZY42" s="285"/>
      <c r="DZZ42" s="285"/>
      <c r="EAA42" s="285"/>
      <c r="EAB42" s="285"/>
      <c r="EAC42" s="285"/>
      <c r="EAD42" s="285"/>
      <c r="EAE42" s="285"/>
      <c r="EAF42" s="285"/>
      <c r="EAG42" s="285"/>
      <c r="EAH42" s="285"/>
      <c r="EAI42" s="285"/>
      <c r="EAJ42" s="285"/>
      <c r="EAK42" s="285"/>
      <c r="EAL42" s="285"/>
      <c r="EAM42" s="285"/>
      <c r="EAN42" s="285"/>
      <c r="EAO42" s="285"/>
      <c r="EAP42" s="285"/>
      <c r="EAQ42" s="285"/>
      <c r="EAR42" s="285"/>
      <c r="EAS42" s="285"/>
      <c r="EAT42" s="285"/>
      <c r="EAU42" s="285"/>
      <c r="EAV42" s="285"/>
      <c r="EAW42" s="285"/>
      <c r="EAX42" s="285"/>
      <c r="EAY42" s="285"/>
      <c r="EAZ42" s="285"/>
      <c r="EBA42" s="285"/>
      <c r="EBB42" s="285"/>
      <c r="EBC42" s="285"/>
      <c r="EBD42" s="285"/>
      <c r="EBE42" s="285"/>
      <c r="EBF42" s="285"/>
      <c r="EBG42" s="285"/>
      <c r="EBH42" s="285"/>
      <c r="EBI42" s="285"/>
      <c r="EBJ42" s="285"/>
      <c r="EBK42" s="285"/>
      <c r="EBL42" s="285"/>
      <c r="EBM42" s="285"/>
      <c r="EBN42" s="285"/>
      <c r="EBO42" s="285"/>
      <c r="EBP42" s="285"/>
      <c r="EBQ42" s="285"/>
      <c r="EBR42" s="285"/>
      <c r="EBS42" s="285"/>
      <c r="EBT42" s="285"/>
      <c r="EBU42" s="285"/>
      <c r="EBV42" s="285"/>
      <c r="EBW42" s="285"/>
      <c r="EBX42" s="285"/>
      <c r="EBY42" s="285"/>
      <c r="EBZ42" s="285"/>
      <c r="ECA42" s="285"/>
      <c r="ECB42" s="285"/>
      <c r="ECC42" s="285"/>
      <c r="ECD42" s="285"/>
      <c r="ECE42" s="285"/>
      <c r="ECF42" s="285"/>
      <c r="ECG42" s="285"/>
      <c r="ECH42" s="285"/>
      <c r="ECI42" s="285"/>
      <c r="ECJ42" s="285"/>
      <c r="ECK42" s="285"/>
      <c r="ECL42" s="285"/>
      <c r="ECM42" s="285"/>
      <c r="ECN42" s="285"/>
      <c r="ECO42" s="285"/>
      <c r="ECP42" s="285"/>
      <c r="ECQ42" s="285"/>
      <c r="ECR42" s="285"/>
      <c r="ECS42" s="285"/>
      <c r="ECT42" s="285"/>
      <c r="ECU42" s="285"/>
      <c r="ECV42" s="285"/>
      <c r="ECW42" s="285"/>
      <c r="ECX42" s="285"/>
      <c r="ECY42" s="285"/>
      <c r="ECZ42" s="285"/>
      <c r="EDA42" s="285"/>
      <c r="EDB42" s="285"/>
      <c r="EDC42" s="285"/>
      <c r="EDD42" s="285"/>
      <c r="EDE42" s="285"/>
      <c r="EDF42" s="285"/>
      <c r="EDG42" s="285"/>
      <c r="EDH42" s="285"/>
      <c r="EDI42" s="285"/>
      <c r="EDJ42" s="285"/>
      <c r="EDK42" s="285"/>
      <c r="EDL42" s="285"/>
      <c r="EDM42" s="285"/>
      <c r="EDN42" s="285"/>
      <c r="EDO42" s="285"/>
      <c r="EDP42" s="285"/>
      <c r="EDQ42" s="285"/>
      <c r="EDR42" s="285"/>
      <c r="EDS42" s="285"/>
      <c r="EDT42" s="285"/>
      <c r="EDU42" s="285"/>
      <c r="EDV42" s="285"/>
      <c r="EDW42" s="285"/>
      <c r="EDX42" s="285"/>
      <c r="EDY42" s="285"/>
      <c r="EDZ42" s="285"/>
      <c r="EEA42" s="285"/>
      <c r="EEB42" s="285"/>
      <c r="EEC42" s="285"/>
      <c r="EED42" s="285"/>
      <c r="EEE42" s="285"/>
      <c r="EEF42" s="285"/>
      <c r="EEG42" s="285"/>
      <c r="EEH42" s="285"/>
      <c r="EEI42" s="285"/>
      <c r="EEJ42" s="285"/>
      <c r="EEK42" s="285"/>
      <c r="EEL42" s="285"/>
      <c r="EEM42" s="285"/>
      <c r="EEN42" s="285"/>
      <c r="EEO42" s="285"/>
      <c r="EEP42" s="285"/>
      <c r="EEQ42" s="285"/>
      <c r="EER42" s="285"/>
      <c r="EES42" s="285"/>
      <c r="EET42" s="285"/>
      <c r="EEU42" s="285"/>
      <c r="EEV42" s="285"/>
      <c r="EEW42" s="285"/>
      <c r="EEX42" s="285"/>
      <c r="EEY42" s="285"/>
      <c r="EEZ42" s="285"/>
      <c r="EFA42" s="285"/>
      <c r="EFB42" s="285"/>
      <c r="EFC42" s="285"/>
      <c r="EFD42" s="285"/>
      <c r="EFE42" s="285"/>
      <c r="EFF42" s="285"/>
      <c r="EFG42" s="285"/>
      <c r="EFH42" s="285"/>
      <c r="EFI42" s="285"/>
      <c r="EFJ42" s="285"/>
      <c r="EFK42" s="285"/>
      <c r="EFL42" s="285"/>
      <c r="EFM42" s="285"/>
      <c r="EFN42" s="285"/>
      <c r="EFO42" s="285"/>
      <c r="EFP42" s="285"/>
      <c r="EFQ42" s="285"/>
      <c r="EFR42" s="285"/>
      <c r="EFS42" s="285"/>
      <c r="EFT42" s="285"/>
      <c r="EFU42" s="285"/>
      <c r="EFV42" s="285"/>
      <c r="EFW42" s="285"/>
      <c r="EFX42" s="285"/>
      <c r="EFY42" s="285"/>
      <c r="EFZ42" s="285"/>
      <c r="EGA42" s="285"/>
      <c r="EGB42" s="285"/>
      <c r="EGC42" s="285"/>
      <c r="EGD42" s="285"/>
      <c r="EGE42" s="285"/>
      <c r="EGF42" s="285"/>
      <c r="EGG42" s="285"/>
      <c r="EGH42" s="285"/>
      <c r="EGI42" s="285"/>
      <c r="EGJ42" s="285"/>
      <c r="EGK42" s="285"/>
      <c r="EGL42" s="285"/>
      <c r="EGM42" s="285"/>
      <c r="EGN42" s="285"/>
      <c r="EGO42" s="285"/>
      <c r="EGP42" s="285"/>
      <c r="EGQ42" s="285"/>
      <c r="EGR42" s="285"/>
      <c r="EGS42" s="285"/>
      <c r="EGT42" s="285"/>
      <c r="EGU42" s="285"/>
      <c r="EGV42" s="285"/>
      <c r="EGW42" s="285"/>
      <c r="EGX42" s="285"/>
      <c r="EGY42" s="285"/>
      <c r="EGZ42" s="285"/>
      <c r="EHA42" s="285"/>
      <c r="EHB42" s="285"/>
      <c r="EHC42" s="285"/>
      <c r="EHD42" s="285"/>
      <c r="EHE42" s="285"/>
      <c r="EHF42" s="285"/>
      <c r="EHG42" s="285"/>
      <c r="EHH42" s="285"/>
      <c r="EHI42" s="285"/>
      <c r="EHJ42" s="285"/>
      <c r="EHK42" s="285"/>
      <c r="EHL42" s="285"/>
      <c r="EHM42" s="285"/>
      <c r="EHN42" s="285"/>
      <c r="EHO42" s="285"/>
      <c r="EHP42" s="285"/>
      <c r="EHQ42" s="285"/>
      <c r="EHR42" s="285"/>
      <c r="EHS42" s="285"/>
      <c r="EHT42" s="285"/>
      <c r="EHU42" s="285"/>
      <c r="EHV42" s="285"/>
      <c r="EHW42" s="285"/>
      <c r="EHX42" s="285"/>
      <c r="EHY42" s="285"/>
      <c r="EHZ42" s="285"/>
      <c r="EIA42" s="285"/>
      <c r="EIB42" s="285"/>
      <c r="EIC42" s="285"/>
      <c r="EID42" s="285"/>
      <c r="EIE42" s="285"/>
      <c r="EIF42" s="285"/>
      <c r="EIG42" s="285"/>
      <c r="EIH42" s="285"/>
      <c r="EII42" s="285"/>
      <c r="EIJ42" s="285"/>
      <c r="EIK42" s="285"/>
      <c r="EIL42" s="285"/>
      <c r="EIM42" s="285"/>
      <c r="EIN42" s="285"/>
      <c r="EIO42" s="285"/>
      <c r="EIP42" s="285"/>
      <c r="EIQ42" s="285"/>
      <c r="EIR42" s="285"/>
      <c r="EIS42" s="285"/>
      <c r="EIT42" s="285"/>
      <c r="EIU42" s="285"/>
      <c r="EIV42" s="285"/>
      <c r="EIW42" s="285"/>
      <c r="EIX42" s="285"/>
      <c r="EIY42" s="285"/>
      <c r="EIZ42" s="285"/>
      <c r="EJA42" s="285"/>
      <c r="EJB42" s="285"/>
      <c r="EJC42" s="285"/>
      <c r="EJD42" s="285"/>
      <c r="EJE42" s="285"/>
      <c r="EJF42" s="285"/>
      <c r="EJG42" s="285"/>
      <c r="EJH42" s="285"/>
      <c r="EJI42" s="285"/>
      <c r="EJJ42" s="285"/>
      <c r="EJK42" s="285"/>
      <c r="EJL42" s="285"/>
      <c r="EJM42" s="285"/>
      <c r="EJN42" s="285"/>
      <c r="EJO42" s="285"/>
      <c r="EJP42" s="285"/>
      <c r="EJQ42" s="285"/>
      <c r="EJR42" s="285"/>
      <c r="EJS42" s="285"/>
      <c r="EJT42" s="285"/>
      <c r="EJU42" s="285"/>
      <c r="EJV42" s="285"/>
      <c r="EJW42" s="285"/>
      <c r="EJX42" s="285"/>
      <c r="EJY42" s="285"/>
      <c r="EJZ42" s="285"/>
      <c r="EKA42" s="285"/>
      <c r="EKB42" s="285"/>
      <c r="EKC42" s="285"/>
      <c r="EKD42" s="285"/>
      <c r="EKE42" s="285"/>
      <c r="EKF42" s="285"/>
      <c r="EKG42" s="285"/>
      <c r="EKH42" s="285"/>
      <c r="EKI42" s="285"/>
      <c r="EKJ42" s="285"/>
      <c r="EKK42" s="285"/>
      <c r="EKL42" s="285"/>
      <c r="EKM42" s="285"/>
      <c r="EKN42" s="285"/>
      <c r="EKO42" s="285"/>
      <c r="EKP42" s="285"/>
      <c r="EKQ42" s="285"/>
      <c r="EKR42" s="285"/>
      <c r="EKS42" s="285"/>
      <c r="EKT42" s="285"/>
      <c r="EKU42" s="285"/>
      <c r="EKV42" s="285"/>
      <c r="EKW42" s="285"/>
      <c r="EKX42" s="285"/>
      <c r="EKY42" s="285"/>
      <c r="EKZ42" s="285"/>
      <c r="ELA42" s="285"/>
      <c r="ELB42" s="285"/>
      <c r="ELC42" s="285"/>
      <c r="ELD42" s="285"/>
      <c r="ELE42" s="285"/>
      <c r="ELF42" s="285"/>
      <c r="ELG42" s="285"/>
      <c r="ELH42" s="285"/>
      <c r="ELI42" s="285"/>
      <c r="ELJ42" s="285"/>
      <c r="ELK42" s="285"/>
      <c r="ELL42" s="285"/>
      <c r="ELM42" s="285"/>
      <c r="ELN42" s="285"/>
      <c r="ELO42" s="285"/>
      <c r="ELP42" s="285"/>
      <c r="ELQ42" s="285"/>
      <c r="ELR42" s="285"/>
      <c r="ELS42" s="285"/>
      <c r="ELT42" s="285"/>
      <c r="ELU42" s="285"/>
      <c r="ELV42" s="285"/>
      <c r="ELW42" s="285"/>
      <c r="ELX42" s="285"/>
      <c r="ELY42" s="285"/>
      <c r="ELZ42" s="285"/>
      <c r="EMA42" s="285"/>
      <c r="EMB42" s="285"/>
      <c r="EMC42" s="285"/>
      <c r="EMD42" s="285"/>
      <c r="EME42" s="285"/>
      <c r="EMF42" s="285"/>
      <c r="EMG42" s="285"/>
      <c r="EMH42" s="285"/>
      <c r="EMI42" s="285"/>
      <c r="EMJ42" s="285"/>
      <c r="EMK42" s="285"/>
      <c r="EML42" s="285"/>
      <c r="EMM42" s="285"/>
      <c r="EMN42" s="285"/>
      <c r="EMO42" s="285"/>
      <c r="EMP42" s="285"/>
      <c r="EMQ42" s="285"/>
      <c r="EMR42" s="285"/>
      <c r="EMS42" s="285"/>
      <c r="EMT42" s="285"/>
      <c r="EMU42" s="285"/>
      <c r="EMV42" s="285"/>
      <c r="EMW42" s="285"/>
      <c r="EMX42" s="285"/>
      <c r="EMY42" s="285"/>
      <c r="EMZ42" s="285"/>
      <c r="ENA42" s="285"/>
      <c r="ENB42" s="285"/>
      <c r="ENC42" s="285"/>
      <c r="END42" s="285"/>
      <c r="ENE42" s="285"/>
      <c r="ENF42" s="285"/>
      <c r="ENG42" s="285"/>
      <c r="ENH42" s="285"/>
      <c r="ENI42" s="285"/>
      <c r="ENJ42" s="285"/>
      <c r="ENK42" s="285"/>
      <c r="ENL42" s="285"/>
      <c r="ENM42" s="285"/>
      <c r="ENN42" s="285"/>
      <c r="ENO42" s="285"/>
      <c r="ENP42" s="285"/>
      <c r="ENQ42" s="285"/>
      <c r="ENR42" s="285"/>
      <c r="ENS42" s="285"/>
      <c r="ENT42" s="285"/>
      <c r="ENU42" s="285"/>
      <c r="ENV42" s="285"/>
      <c r="ENW42" s="285"/>
      <c r="ENX42" s="285"/>
      <c r="ENY42" s="285"/>
      <c r="ENZ42" s="285"/>
      <c r="EOA42" s="285"/>
      <c r="EOB42" s="285"/>
      <c r="EOC42" s="285"/>
      <c r="EOD42" s="285"/>
      <c r="EOE42" s="285"/>
      <c r="EOF42" s="285"/>
      <c r="EOG42" s="285"/>
      <c r="EOH42" s="285"/>
      <c r="EOI42" s="285"/>
      <c r="EOJ42" s="285"/>
      <c r="EOK42" s="285"/>
      <c r="EOL42" s="285"/>
      <c r="EOM42" s="285"/>
      <c r="EON42" s="285"/>
      <c r="EOO42" s="285"/>
      <c r="EOP42" s="285"/>
      <c r="EOQ42" s="285"/>
      <c r="EOR42" s="285"/>
      <c r="EOS42" s="285"/>
      <c r="EOT42" s="285"/>
      <c r="EOU42" s="285"/>
      <c r="EOV42" s="285"/>
      <c r="EOW42" s="285"/>
      <c r="EOX42" s="285"/>
      <c r="EOY42" s="285"/>
      <c r="EOZ42" s="285"/>
      <c r="EPA42" s="285"/>
      <c r="EPB42" s="285"/>
      <c r="EPC42" s="285"/>
      <c r="EPD42" s="285"/>
      <c r="EPE42" s="285"/>
      <c r="EPF42" s="285"/>
      <c r="EPG42" s="285"/>
      <c r="EPH42" s="285"/>
      <c r="EPI42" s="285"/>
      <c r="EPJ42" s="285"/>
      <c r="EPK42" s="285"/>
      <c r="EPL42" s="285"/>
      <c r="EPM42" s="285"/>
      <c r="EPN42" s="285"/>
      <c r="EPO42" s="285"/>
      <c r="EPP42" s="285"/>
      <c r="EPQ42" s="285"/>
      <c r="EPR42" s="285"/>
      <c r="EPS42" s="285"/>
      <c r="EPT42" s="285"/>
      <c r="EPU42" s="285"/>
      <c r="EPV42" s="285"/>
      <c r="EPW42" s="285"/>
      <c r="EPX42" s="285"/>
      <c r="EPY42" s="285"/>
      <c r="EPZ42" s="285"/>
      <c r="EQA42" s="285"/>
      <c r="EQB42" s="285"/>
      <c r="EQC42" s="285"/>
      <c r="EQD42" s="285"/>
      <c r="EQE42" s="285"/>
      <c r="EQF42" s="285"/>
      <c r="EQG42" s="285"/>
      <c r="EQH42" s="285"/>
      <c r="EQI42" s="285"/>
      <c r="EQJ42" s="285"/>
      <c r="EQK42" s="285"/>
      <c r="EQL42" s="285"/>
      <c r="EQM42" s="285"/>
      <c r="EQN42" s="285"/>
      <c r="EQO42" s="285"/>
      <c r="EQP42" s="285"/>
      <c r="EQQ42" s="285"/>
      <c r="EQR42" s="285"/>
      <c r="EQS42" s="285"/>
      <c r="EQT42" s="285"/>
      <c r="EQU42" s="285"/>
      <c r="EQV42" s="285"/>
      <c r="EQW42" s="285"/>
      <c r="EQX42" s="285"/>
      <c r="EQY42" s="285"/>
      <c r="EQZ42" s="285"/>
      <c r="ERA42" s="285"/>
      <c r="ERB42" s="285"/>
      <c r="ERC42" s="285"/>
      <c r="ERD42" s="285"/>
      <c r="ERE42" s="285"/>
      <c r="ERF42" s="285"/>
      <c r="ERG42" s="285"/>
      <c r="ERH42" s="285"/>
      <c r="ERI42" s="285"/>
      <c r="ERJ42" s="285"/>
      <c r="ERK42" s="285"/>
      <c r="ERL42" s="285"/>
      <c r="ERM42" s="285"/>
      <c r="ERN42" s="285"/>
      <c r="ERO42" s="285"/>
      <c r="ERP42" s="285"/>
      <c r="ERQ42" s="285"/>
      <c r="ERR42" s="285"/>
      <c r="ERS42" s="285"/>
      <c r="ERT42" s="285"/>
      <c r="ERU42" s="285"/>
      <c r="ERV42" s="285"/>
      <c r="ERW42" s="285"/>
      <c r="ERX42" s="285"/>
      <c r="ERY42" s="285"/>
      <c r="ERZ42" s="285"/>
      <c r="ESA42" s="285"/>
      <c r="ESB42" s="285"/>
      <c r="ESC42" s="285"/>
      <c r="ESD42" s="285"/>
      <c r="ESE42" s="285"/>
      <c r="ESF42" s="285"/>
      <c r="ESG42" s="285"/>
      <c r="ESH42" s="285"/>
      <c r="ESI42" s="285"/>
      <c r="ESJ42" s="285"/>
      <c r="ESK42" s="285"/>
      <c r="ESL42" s="285"/>
      <c r="ESM42" s="285"/>
      <c r="ESN42" s="285"/>
      <c r="ESO42" s="285"/>
      <c r="ESP42" s="285"/>
      <c r="ESQ42" s="285"/>
      <c r="ESR42" s="285"/>
      <c r="ESS42" s="285"/>
      <c r="EST42" s="285"/>
      <c r="ESU42" s="285"/>
      <c r="ESV42" s="285"/>
      <c r="ESW42" s="285"/>
      <c r="ESX42" s="285"/>
      <c r="ESY42" s="285"/>
      <c r="ESZ42" s="285"/>
      <c r="ETA42" s="285"/>
      <c r="ETB42" s="285"/>
      <c r="ETC42" s="285"/>
      <c r="ETD42" s="285"/>
      <c r="ETE42" s="285"/>
      <c r="ETF42" s="285"/>
      <c r="ETG42" s="285"/>
      <c r="ETH42" s="285"/>
      <c r="ETI42" s="285"/>
      <c r="ETJ42" s="285"/>
      <c r="ETK42" s="285"/>
      <c r="ETL42" s="285"/>
      <c r="ETM42" s="285"/>
      <c r="ETN42" s="285"/>
      <c r="ETO42" s="285"/>
      <c r="ETP42" s="285"/>
      <c r="ETQ42" s="285"/>
      <c r="ETR42" s="285"/>
      <c r="ETS42" s="285"/>
      <c r="ETT42" s="285"/>
      <c r="ETU42" s="285"/>
      <c r="ETV42" s="285"/>
      <c r="ETW42" s="285"/>
      <c r="ETX42" s="285"/>
      <c r="ETY42" s="285"/>
      <c r="ETZ42" s="285"/>
      <c r="EUA42" s="285"/>
      <c r="EUB42" s="285"/>
      <c r="EUC42" s="285"/>
      <c r="EUD42" s="285"/>
      <c r="EUE42" s="285"/>
      <c r="EUF42" s="285"/>
      <c r="EUG42" s="285"/>
      <c r="EUH42" s="285"/>
      <c r="EUI42" s="285"/>
      <c r="EUJ42" s="285"/>
      <c r="EUK42" s="285"/>
      <c r="EUL42" s="285"/>
      <c r="EUM42" s="285"/>
      <c r="EUN42" s="285"/>
      <c r="EUO42" s="285"/>
      <c r="EUP42" s="285"/>
      <c r="EUQ42" s="285"/>
      <c r="EUR42" s="285"/>
      <c r="EUS42" s="285"/>
      <c r="EUT42" s="285"/>
      <c r="EUU42" s="285"/>
      <c r="EUV42" s="285"/>
      <c r="EUW42" s="285"/>
      <c r="EUX42" s="285"/>
      <c r="EUY42" s="285"/>
      <c r="EUZ42" s="285"/>
      <c r="EVA42" s="285"/>
      <c r="EVB42" s="285"/>
      <c r="EVC42" s="285"/>
      <c r="EVD42" s="285"/>
      <c r="EVE42" s="285"/>
      <c r="EVF42" s="285"/>
      <c r="EVG42" s="285"/>
      <c r="EVH42" s="285"/>
      <c r="EVI42" s="285"/>
      <c r="EVJ42" s="285"/>
      <c r="EVK42" s="285"/>
      <c r="EVL42" s="285"/>
      <c r="EVM42" s="285"/>
      <c r="EVN42" s="285"/>
      <c r="EVO42" s="285"/>
      <c r="EVP42" s="285"/>
      <c r="EVQ42" s="285"/>
      <c r="EVR42" s="285"/>
      <c r="EVS42" s="285"/>
      <c r="EVT42" s="285"/>
      <c r="EVU42" s="285"/>
      <c r="EVV42" s="285"/>
      <c r="EVW42" s="285"/>
      <c r="EVX42" s="285"/>
      <c r="EVY42" s="285"/>
      <c r="EVZ42" s="285"/>
      <c r="EWA42" s="285"/>
      <c r="EWB42" s="285"/>
      <c r="EWC42" s="285"/>
      <c r="EWD42" s="285"/>
      <c r="EWE42" s="285"/>
      <c r="EWF42" s="285"/>
      <c r="EWG42" s="285"/>
      <c r="EWH42" s="285"/>
      <c r="EWI42" s="285"/>
      <c r="EWJ42" s="285"/>
      <c r="EWK42" s="285"/>
      <c r="EWL42" s="285"/>
      <c r="EWM42" s="285"/>
      <c r="EWN42" s="285"/>
      <c r="EWO42" s="285"/>
      <c r="EWP42" s="285"/>
      <c r="EWQ42" s="285"/>
      <c r="EWR42" s="285"/>
      <c r="EWS42" s="285"/>
      <c r="EWT42" s="285"/>
      <c r="EWU42" s="285"/>
      <c r="EWV42" s="285"/>
      <c r="EWW42" s="285"/>
      <c r="EWX42" s="285"/>
      <c r="EWY42" s="285"/>
      <c r="EWZ42" s="285"/>
      <c r="EXA42" s="285"/>
      <c r="EXB42" s="285"/>
      <c r="EXC42" s="285"/>
      <c r="EXD42" s="285"/>
      <c r="EXE42" s="285"/>
      <c r="EXF42" s="285"/>
      <c r="EXG42" s="285"/>
      <c r="EXH42" s="285"/>
      <c r="EXI42" s="285"/>
      <c r="EXJ42" s="285"/>
      <c r="EXK42" s="285"/>
      <c r="EXL42" s="285"/>
      <c r="EXM42" s="285"/>
      <c r="EXN42" s="285"/>
      <c r="EXO42" s="285"/>
      <c r="EXP42" s="285"/>
      <c r="EXQ42" s="285"/>
      <c r="EXR42" s="285"/>
      <c r="EXS42" s="285"/>
      <c r="EXT42" s="285"/>
      <c r="EXU42" s="285"/>
      <c r="EXV42" s="285"/>
      <c r="EXW42" s="285"/>
      <c r="EXX42" s="285"/>
      <c r="EXY42" s="285"/>
      <c r="EXZ42" s="285"/>
      <c r="EYA42" s="285"/>
      <c r="EYB42" s="285"/>
      <c r="EYC42" s="285"/>
      <c r="EYD42" s="285"/>
      <c r="EYE42" s="285"/>
      <c r="EYF42" s="285"/>
      <c r="EYG42" s="285"/>
      <c r="EYH42" s="285"/>
      <c r="EYI42" s="285"/>
      <c r="EYJ42" s="285"/>
      <c r="EYK42" s="285"/>
      <c r="EYL42" s="285"/>
      <c r="EYM42" s="285"/>
      <c r="EYN42" s="285"/>
      <c r="EYO42" s="285"/>
      <c r="EYP42" s="285"/>
      <c r="EYQ42" s="285"/>
      <c r="EYR42" s="285"/>
      <c r="EYS42" s="285"/>
      <c r="EYT42" s="285"/>
      <c r="EYU42" s="285"/>
      <c r="EYV42" s="285"/>
      <c r="EYW42" s="285"/>
      <c r="EYX42" s="285"/>
      <c r="EYY42" s="285"/>
      <c r="EYZ42" s="285"/>
      <c r="EZA42" s="285"/>
      <c r="EZB42" s="285"/>
      <c r="EZC42" s="285"/>
      <c r="EZD42" s="285"/>
      <c r="EZE42" s="285"/>
      <c r="EZF42" s="285"/>
      <c r="EZG42" s="285"/>
      <c r="EZH42" s="285"/>
      <c r="EZI42" s="285"/>
      <c r="EZJ42" s="285"/>
      <c r="EZK42" s="285"/>
      <c r="EZL42" s="285"/>
      <c r="EZM42" s="285"/>
      <c r="EZN42" s="285"/>
      <c r="EZO42" s="285"/>
      <c r="EZP42" s="285"/>
      <c r="EZQ42" s="285"/>
      <c r="EZR42" s="285"/>
      <c r="EZS42" s="285"/>
      <c r="EZT42" s="285"/>
      <c r="EZU42" s="285"/>
      <c r="EZV42" s="285"/>
      <c r="EZW42" s="285"/>
      <c r="EZX42" s="285"/>
      <c r="EZY42" s="285"/>
      <c r="EZZ42" s="285"/>
      <c r="FAA42" s="285"/>
      <c r="FAB42" s="285"/>
      <c r="FAC42" s="285"/>
      <c r="FAD42" s="285"/>
      <c r="FAE42" s="285"/>
      <c r="FAF42" s="285"/>
      <c r="FAG42" s="285"/>
      <c r="FAH42" s="285"/>
      <c r="FAI42" s="285"/>
      <c r="FAJ42" s="285"/>
      <c r="FAK42" s="285"/>
      <c r="FAL42" s="285"/>
      <c r="FAM42" s="285"/>
      <c r="FAN42" s="285"/>
      <c r="FAO42" s="285"/>
      <c r="FAP42" s="285"/>
      <c r="FAQ42" s="285"/>
      <c r="FAR42" s="285"/>
      <c r="FAS42" s="285"/>
      <c r="FAT42" s="285"/>
      <c r="FAU42" s="285"/>
      <c r="FAV42" s="285"/>
      <c r="FAW42" s="285"/>
      <c r="FAX42" s="285"/>
      <c r="FAY42" s="285"/>
      <c r="FAZ42" s="285"/>
      <c r="FBA42" s="285"/>
      <c r="FBB42" s="285"/>
      <c r="FBC42" s="285"/>
      <c r="FBD42" s="285"/>
      <c r="FBE42" s="285"/>
      <c r="FBF42" s="285"/>
      <c r="FBG42" s="285"/>
      <c r="FBH42" s="285"/>
      <c r="FBI42" s="285"/>
      <c r="FBJ42" s="285"/>
      <c r="FBK42" s="285"/>
      <c r="FBL42" s="285"/>
      <c r="FBM42" s="285"/>
      <c r="FBN42" s="285"/>
      <c r="FBO42" s="285"/>
      <c r="FBP42" s="285"/>
      <c r="FBQ42" s="285"/>
      <c r="FBR42" s="285"/>
      <c r="FBS42" s="285"/>
      <c r="FBT42" s="285"/>
      <c r="FBU42" s="285"/>
      <c r="FBV42" s="285"/>
      <c r="FBW42" s="285"/>
      <c r="FBX42" s="285"/>
      <c r="FBY42" s="285"/>
      <c r="FBZ42" s="285"/>
      <c r="FCA42" s="285"/>
      <c r="FCB42" s="285"/>
      <c r="FCC42" s="285"/>
      <c r="FCD42" s="285"/>
      <c r="FCE42" s="285"/>
      <c r="FCF42" s="285"/>
      <c r="FCG42" s="285"/>
      <c r="FCH42" s="285"/>
      <c r="FCI42" s="285"/>
      <c r="FCJ42" s="285"/>
      <c r="FCK42" s="285"/>
      <c r="FCL42" s="285"/>
      <c r="FCM42" s="285"/>
      <c r="FCN42" s="285"/>
      <c r="FCO42" s="285"/>
      <c r="FCP42" s="285"/>
      <c r="FCQ42" s="285"/>
      <c r="FCR42" s="285"/>
      <c r="FCS42" s="285"/>
      <c r="FCT42" s="285"/>
      <c r="FCU42" s="285"/>
      <c r="FCV42" s="285"/>
      <c r="FCW42" s="285"/>
      <c r="FCX42" s="285"/>
      <c r="FCY42" s="285"/>
      <c r="FCZ42" s="285"/>
      <c r="FDA42" s="285"/>
      <c r="FDB42" s="285"/>
      <c r="FDC42" s="285"/>
      <c r="FDD42" s="285"/>
      <c r="FDE42" s="285"/>
      <c r="FDF42" s="285"/>
      <c r="FDG42" s="285"/>
      <c r="FDH42" s="285"/>
      <c r="FDI42" s="285"/>
      <c r="FDJ42" s="285"/>
      <c r="FDK42" s="285"/>
      <c r="FDL42" s="285"/>
      <c r="FDM42" s="285"/>
      <c r="FDN42" s="285"/>
      <c r="FDO42" s="285"/>
      <c r="FDP42" s="285"/>
      <c r="FDQ42" s="285"/>
      <c r="FDR42" s="285"/>
      <c r="FDS42" s="285"/>
      <c r="FDT42" s="285"/>
      <c r="FDU42" s="285"/>
      <c r="FDV42" s="285"/>
      <c r="FDW42" s="285"/>
      <c r="FDX42" s="285"/>
      <c r="FDY42" s="285"/>
      <c r="FDZ42" s="285"/>
      <c r="FEA42" s="285"/>
      <c r="FEB42" s="285"/>
      <c r="FEC42" s="285"/>
      <c r="FED42" s="285"/>
      <c r="FEE42" s="285"/>
      <c r="FEF42" s="285"/>
      <c r="FEG42" s="285"/>
      <c r="FEH42" s="285"/>
      <c r="FEI42" s="285"/>
      <c r="FEJ42" s="285"/>
      <c r="FEK42" s="285"/>
      <c r="FEL42" s="285"/>
      <c r="FEM42" s="285"/>
      <c r="FEN42" s="285"/>
      <c r="FEO42" s="285"/>
      <c r="FEP42" s="285"/>
      <c r="FEQ42" s="285"/>
      <c r="FER42" s="285"/>
      <c r="FES42" s="285"/>
      <c r="FET42" s="285"/>
      <c r="FEU42" s="285"/>
      <c r="FEV42" s="285"/>
      <c r="FEW42" s="285"/>
      <c r="FEX42" s="285"/>
      <c r="FEY42" s="285"/>
      <c r="FEZ42" s="285"/>
      <c r="FFA42" s="285"/>
      <c r="FFB42" s="285"/>
      <c r="FFC42" s="285"/>
      <c r="FFD42" s="285"/>
      <c r="FFE42" s="285"/>
      <c r="FFF42" s="285"/>
      <c r="FFG42" s="285"/>
      <c r="FFH42" s="285"/>
      <c r="FFI42" s="285"/>
      <c r="FFJ42" s="285"/>
      <c r="FFK42" s="285"/>
      <c r="FFL42" s="285"/>
      <c r="FFM42" s="285"/>
      <c r="FFN42" s="285"/>
      <c r="FFO42" s="285"/>
      <c r="FFP42" s="285"/>
      <c r="FFQ42" s="285"/>
      <c r="FFR42" s="285"/>
      <c r="FFS42" s="285"/>
      <c r="FFT42" s="285"/>
      <c r="FFU42" s="285"/>
      <c r="FFV42" s="285"/>
      <c r="FFW42" s="285"/>
      <c r="FFX42" s="285"/>
      <c r="FFY42" s="285"/>
      <c r="FFZ42" s="285"/>
      <c r="FGA42" s="285"/>
      <c r="FGB42" s="285"/>
      <c r="FGC42" s="285"/>
      <c r="FGD42" s="285"/>
      <c r="FGE42" s="285"/>
      <c r="FGF42" s="285"/>
      <c r="FGG42" s="285"/>
      <c r="FGH42" s="285"/>
      <c r="FGI42" s="285"/>
      <c r="FGJ42" s="285"/>
      <c r="FGK42" s="285"/>
      <c r="FGL42" s="285"/>
      <c r="FGM42" s="285"/>
      <c r="FGN42" s="285"/>
      <c r="FGO42" s="285"/>
      <c r="FGP42" s="285"/>
      <c r="FGQ42" s="285"/>
      <c r="FGR42" s="285"/>
      <c r="FGS42" s="285"/>
      <c r="FGT42" s="285"/>
      <c r="FGU42" s="285"/>
      <c r="FGV42" s="285"/>
      <c r="FGW42" s="285"/>
      <c r="FGX42" s="285"/>
      <c r="FGY42" s="285"/>
      <c r="FGZ42" s="285"/>
      <c r="FHA42" s="285"/>
      <c r="FHB42" s="285"/>
      <c r="FHC42" s="285"/>
      <c r="FHD42" s="285"/>
      <c r="FHE42" s="285"/>
      <c r="FHF42" s="285"/>
      <c r="FHG42" s="285"/>
      <c r="FHH42" s="285"/>
      <c r="FHI42" s="285"/>
      <c r="FHJ42" s="285"/>
      <c r="FHK42" s="285"/>
      <c r="FHL42" s="285"/>
      <c r="FHM42" s="285"/>
      <c r="FHN42" s="285"/>
      <c r="FHO42" s="285"/>
      <c r="FHP42" s="285"/>
      <c r="FHQ42" s="285"/>
      <c r="FHR42" s="285"/>
      <c r="FHS42" s="285"/>
      <c r="FHT42" s="285"/>
      <c r="FHU42" s="285"/>
      <c r="FHV42" s="285"/>
      <c r="FHW42" s="285"/>
      <c r="FHX42" s="285"/>
      <c r="FHY42" s="285"/>
      <c r="FHZ42" s="285"/>
      <c r="FIA42" s="285"/>
      <c r="FIB42" s="285"/>
      <c r="FIC42" s="285"/>
      <c r="FID42" s="285"/>
      <c r="FIE42" s="285"/>
      <c r="FIF42" s="285"/>
      <c r="FIG42" s="285"/>
      <c r="FIH42" s="285"/>
      <c r="FII42" s="285"/>
      <c r="FIJ42" s="285"/>
      <c r="FIK42" s="285"/>
      <c r="FIL42" s="285"/>
      <c r="FIM42" s="285"/>
      <c r="FIN42" s="285"/>
      <c r="FIO42" s="285"/>
      <c r="FIP42" s="285"/>
      <c r="FIQ42" s="285"/>
      <c r="FIR42" s="285"/>
      <c r="FIS42" s="285"/>
      <c r="FIT42" s="285"/>
      <c r="FIU42" s="285"/>
      <c r="FIV42" s="285"/>
      <c r="FIW42" s="285"/>
      <c r="FIX42" s="285"/>
      <c r="FIY42" s="285"/>
      <c r="FIZ42" s="285"/>
      <c r="FJA42" s="285"/>
      <c r="FJB42" s="285"/>
      <c r="FJC42" s="285"/>
      <c r="FJD42" s="285"/>
      <c r="FJE42" s="285"/>
      <c r="FJF42" s="285"/>
      <c r="FJG42" s="285"/>
      <c r="FJH42" s="285"/>
      <c r="FJI42" s="285"/>
      <c r="FJJ42" s="285"/>
      <c r="FJK42" s="285"/>
      <c r="FJL42" s="285"/>
      <c r="FJM42" s="285"/>
      <c r="FJN42" s="285"/>
      <c r="FJO42" s="285"/>
      <c r="FJP42" s="285"/>
      <c r="FJQ42" s="285"/>
      <c r="FJR42" s="285"/>
      <c r="FJS42" s="285"/>
      <c r="FJT42" s="285"/>
      <c r="FJU42" s="285"/>
      <c r="FJV42" s="285"/>
      <c r="FJW42" s="285"/>
      <c r="FJX42" s="285"/>
      <c r="FJY42" s="285"/>
      <c r="FJZ42" s="285"/>
      <c r="FKA42" s="285"/>
      <c r="FKB42" s="285"/>
      <c r="FKC42" s="285"/>
      <c r="FKD42" s="285"/>
      <c r="FKE42" s="285"/>
      <c r="FKF42" s="285"/>
      <c r="FKG42" s="285"/>
      <c r="FKH42" s="285"/>
      <c r="FKI42" s="285"/>
      <c r="FKJ42" s="285"/>
      <c r="FKK42" s="285"/>
      <c r="FKL42" s="285"/>
      <c r="FKM42" s="285"/>
      <c r="FKN42" s="285"/>
      <c r="FKO42" s="285"/>
      <c r="FKP42" s="285"/>
      <c r="FKQ42" s="285"/>
      <c r="FKR42" s="285"/>
      <c r="FKS42" s="285"/>
      <c r="FKT42" s="285"/>
      <c r="FKU42" s="285"/>
      <c r="FKV42" s="285"/>
      <c r="FKW42" s="285"/>
      <c r="FKX42" s="285"/>
      <c r="FKY42" s="285"/>
      <c r="FKZ42" s="285"/>
      <c r="FLA42" s="285"/>
      <c r="FLB42" s="285"/>
      <c r="FLC42" s="285"/>
      <c r="FLD42" s="285"/>
      <c r="FLE42" s="285"/>
      <c r="FLF42" s="285"/>
      <c r="FLG42" s="285"/>
      <c r="FLH42" s="285"/>
      <c r="FLI42" s="285"/>
      <c r="FLJ42" s="285"/>
      <c r="FLK42" s="285"/>
      <c r="FLL42" s="285"/>
      <c r="FLM42" s="285"/>
      <c r="FLN42" s="285"/>
      <c r="FLO42" s="285"/>
      <c r="FLP42" s="285"/>
      <c r="FLQ42" s="285"/>
      <c r="FLR42" s="285"/>
      <c r="FLS42" s="285"/>
      <c r="FLT42" s="285"/>
      <c r="FLU42" s="285"/>
      <c r="FLV42" s="285"/>
      <c r="FLW42" s="285"/>
      <c r="FLX42" s="285"/>
      <c r="FLY42" s="285"/>
      <c r="FLZ42" s="285"/>
      <c r="FMA42" s="285"/>
      <c r="FMB42" s="285"/>
      <c r="FMC42" s="285"/>
      <c r="FMD42" s="285"/>
      <c r="FME42" s="285"/>
      <c r="FMF42" s="285"/>
      <c r="FMG42" s="285"/>
      <c r="FMH42" s="285"/>
      <c r="FMI42" s="285"/>
      <c r="FMJ42" s="285"/>
      <c r="FMK42" s="285"/>
      <c r="FML42" s="285"/>
      <c r="FMM42" s="285"/>
      <c r="FMN42" s="285"/>
      <c r="FMO42" s="285"/>
      <c r="FMP42" s="285"/>
      <c r="FMQ42" s="285"/>
      <c r="FMR42" s="285"/>
      <c r="FMS42" s="285"/>
      <c r="FMT42" s="285"/>
      <c r="FMU42" s="285"/>
      <c r="FMV42" s="285"/>
      <c r="FMW42" s="285"/>
      <c r="FMX42" s="285"/>
      <c r="FMY42" s="285"/>
      <c r="FMZ42" s="285"/>
      <c r="FNA42" s="285"/>
      <c r="FNB42" s="285"/>
      <c r="FNC42" s="285"/>
      <c r="FND42" s="285"/>
      <c r="FNE42" s="285"/>
      <c r="FNF42" s="285"/>
      <c r="FNG42" s="285"/>
      <c r="FNH42" s="285"/>
      <c r="FNI42" s="285"/>
      <c r="FNJ42" s="285"/>
      <c r="FNK42" s="285"/>
      <c r="FNL42" s="285"/>
      <c r="FNM42" s="285"/>
      <c r="FNN42" s="285"/>
      <c r="FNO42" s="285"/>
      <c r="FNP42" s="285"/>
      <c r="FNQ42" s="285"/>
      <c r="FNR42" s="285"/>
      <c r="FNS42" s="285"/>
      <c r="FNT42" s="285"/>
      <c r="FNU42" s="285"/>
      <c r="FNV42" s="285"/>
      <c r="FNW42" s="285"/>
      <c r="FNX42" s="285"/>
      <c r="FNY42" s="285"/>
      <c r="FNZ42" s="285"/>
      <c r="FOA42" s="285"/>
      <c r="FOB42" s="285"/>
      <c r="FOC42" s="285"/>
      <c r="FOD42" s="285"/>
      <c r="FOE42" s="285"/>
      <c r="FOF42" s="285"/>
      <c r="FOG42" s="285"/>
      <c r="FOH42" s="285"/>
      <c r="FOI42" s="285"/>
      <c r="FOJ42" s="285"/>
      <c r="FOK42" s="285"/>
      <c r="FOL42" s="285"/>
      <c r="FOM42" s="285"/>
      <c r="FON42" s="285"/>
      <c r="FOO42" s="285"/>
      <c r="FOP42" s="285"/>
      <c r="FOQ42" s="285"/>
      <c r="FOR42" s="285"/>
      <c r="FOS42" s="285"/>
      <c r="FOT42" s="285"/>
      <c r="FOU42" s="285"/>
      <c r="FOV42" s="285"/>
      <c r="FOW42" s="285"/>
      <c r="FOX42" s="285"/>
      <c r="FOY42" s="285"/>
      <c r="FOZ42" s="285"/>
      <c r="FPA42" s="285"/>
      <c r="FPB42" s="285"/>
      <c r="FPC42" s="285"/>
      <c r="FPD42" s="285"/>
      <c r="FPE42" s="285"/>
      <c r="FPF42" s="285"/>
      <c r="FPG42" s="285"/>
      <c r="FPH42" s="285"/>
      <c r="FPI42" s="285"/>
      <c r="FPJ42" s="285"/>
      <c r="FPK42" s="285"/>
      <c r="FPL42" s="285"/>
      <c r="FPM42" s="285"/>
      <c r="FPN42" s="285"/>
      <c r="FPO42" s="285"/>
      <c r="FPP42" s="285"/>
      <c r="FPQ42" s="285"/>
      <c r="FPR42" s="285"/>
      <c r="FPS42" s="285"/>
      <c r="FPT42" s="285"/>
      <c r="FPU42" s="285"/>
      <c r="FPV42" s="285"/>
      <c r="FPW42" s="285"/>
      <c r="FPX42" s="285"/>
      <c r="FPY42" s="285"/>
      <c r="FPZ42" s="285"/>
      <c r="FQA42" s="285"/>
      <c r="FQB42" s="285"/>
      <c r="FQC42" s="285"/>
      <c r="FQD42" s="285"/>
      <c r="FQE42" s="285"/>
      <c r="FQF42" s="285"/>
      <c r="FQG42" s="285"/>
      <c r="FQH42" s="285"/>
      <c r="FQI42" s="285"/>
      <c r="FQJ42" s="285"/>
      <c r="FQK42" s="285"/>
      <c r="FQL42" s="285"/>
      <c r="FQM42" s="285"/>
      <c r="FQN42" s="285"/>
      <c r="FQO42" s="285"/>
      <c r="FQP42" s="285"/>
      <c r="FQQ42" s="285"/>
      <c r="FQR42" s="285"/>
      <c r="FQS42" s="285"/>
      <c r="FQT42" s="285"/>
      <c r="FQU42" s="285"/>
      <c r="FQV42" s="285"/>
      <c r="FQW42" s="285"/>
      <c r="FQX42" s="285"/>
      <c r="FQY42" s="285"/>
      <c r="FQZ42" s="285"/>
      <c r="FRA42" s="285"/>
      <c r="FRB42" s="285"/>
      <c r="FRC42" s="285"/>
      <c r="FRD42" s="285"/>
      <c r="FRE42" s="285"/>
      <c r="FRF42" s="285"/>
      <c r="FRG42" s="285"/>
      <c r="FRH42" s="285"/>
      <c r="FRI42" s="285"/>
      <c r="FRJ42" s="285"/>
      <c r="FRK42" s="285"/>
      <c r="FRL42" s="285"/>
      <c r="FRM42" s="285"/>
      <c r="FRN42" s="285"/>
      <c r="FRO42" s="285"/>
      <c r="FRP42" s="285"/>
      <c r="FRQ42" s="285"/>
      <c r="FRR42" s="285"/>
      <c r="FRS42" s="285"/>
      <c r="FRT42" s="285"/>
      <c r="FRU42" s="285"/>
      <c r="FRV42" s="285"/>
      <c r="FRW42" s="285"/>
      <c r="FRX42" s="285"/>
      <c r="FRY42" s="285"/>
      <c r="FRZ42" s="285"/>
      <c r="FSA42" s="285"/>
      <c r="FSB42" s="285"/>
      <c r="FSC42" s="285"/>
      <c r="FSD42" s="285"/>
      <c r="FSE42" s="285"/>
      <c r="FSF42" s="285"/>
      <c r="FSG42" s="285"/>
      <c r="FSH42" s="285"/>
      <c r="FSI42" s="285"/>
      <c r="FSJ42" s="285"/>
      <c r="FSK42" s="285"/>
      <c r="FSL42" s="285"/>
      <c r="FSM42" s="285"/>
      <c r="FSN42" s="285"/>
      <c r="FSO42" s="285"/>
      <c r="FSP42" s="285"/>
      <c r="FSQ42" s="285"/>
      <c r="FSR42" s="285"/>
      <c r="FSS42" s="285"/>
      <c r="FST42" s="285"/>
      <c r="FSU42" s="285"/>
      <c r="FSV42" s="285"/>
      <c r="FSW42" s="285"/>
      <c r="FSX42" s="285"/>
      <c r="FSY42" s="285"/>
      <c r="FSZ42" s="285"/>
      <c r="FTA42" s="285"/>
      <c r="FTB42" s="285"/>
      <c r="FTC42" s="285"/>
      <c r="FTD42" s="285"/>
      <c r="FTE42" s="285"/>
      <c r="FTF42" s="285"/>
      <c r="FTG42" s="285"/>
      <c r="FTH42" s="285"/>
      <c r="FTI42" s="285"/>
      <c r="FTJ42" s="285"/>
      <c r="FTK42" s="285"/>
      <c r="FTL42" s="285"/>
      <c r="FTM42" s="285"/>
      <c r="FTN42" s="285"/>
      <c r="FTO42" s="285"/>
      <c r="FTP42" s="285"/>
      <c r="FTQ42" s="285"/>
      <c r="FTR42" s="285"/>
      <c r="FTS42" s="285"/>
      <c r="FTT42" s="285"/>
      <c r="FTU42" s="285"/>
      <c r="FTV42" s="285"/>
      <c r="FTW42" s="285"/>
      <c r="FTX42" s="285"/>
      <c r="FTY42" s="285"/>
      <c r="FTZ42" s="285"/>
      <c r="FUA42" s="285"/>
      <c r="FUB42" s="285"/>
      <c r="FUC42" s="285"/>
      <c r="FUD42" s="285"/>
      <c r="FUE42" s="285"/>
      <c r="FUF42" s="285"/>
      <c r="FUG42" s="285"/>
      <c r="FUH42" s="285"/>
      <c r="FUI42" s="285"/>
      <c r="FUJ42" s="285"/>
      <c r="FUK42" s="285"/>
      <c r="FUL42" s="285"/>
      <c r="FUM42" s="285"/>
      <c r="FUN42" s="285"/>
      <c r="FUO42" s="285"/>
      <c r="FUP42" s="285"/>
      <c r="FUQ42" s="285"/>
      <c r="FUR42" s="285"/>
      <c r="FUS42" s="285"/>
      <c r="FUT42" s="285"/>
      <c r="FUU42" s="285"/>
      <c r="FUV42" s="285"/>
      <c r="FUW42" s="285"/>
      <c r="FUX42" s="285"/>
      <c r="FUY42" s="285"/>
      <c r="FUZ42" s="285"/>
      <c r="FVA42" s="285"/>
      <c r="FVB42" s="285"/>
      <c r="FVC42" s="285"/>
      <c r="FVD42" s="285"/>
      <c r="FVE42" s="285"/>
      <c r="FVF42" s="285"/>
      <c r="FVG42" s="285"/>
      <c r="FVH42" s="285"/>
      <c r="FVI42" s="285"/>
      <c r="FVJ42" s="285"/>
      <c r="FVK42" s="285"/>
      <c r="FVL42" s="285"/>
      <c r="FVM42" s="285"/>
      <c r="FVN42" s="285"/>
      <c r="FVO42" s="285"/>
      <c r="FVP42" s="285"/>
      <c r="FVQ42" s="285"/>
      <c r="FVR42" s="285"/>
      <c r="FVS42" s="285"/>
      <c r="FVT42" s="285"/>
      <c r="FVU42" s="285"/>
      <c r="FVV42" s="285"/>
      <c r="FVW42" s="285"/>
      <c r="FVX42" s="285"/>
      <c r="FVY42" s="285"/>
      <c r="FVZ42" s="285"/>
      <c r="FWA42" s="285"/>
      <c r="FWB42" s="285"/>
      <c r="FWC42" s="285"/>
      <c r="FWD42" s="285"/>
      <c r="FWE42" s="285"/>
      <c r="FWF42" s="285"/>
      <c r="FWG42" s="285"/>
      <c r="FWH42" s="285"/>
      <c r="FWI42" s="285"/>
      <c r="FWJ42" s="285"/>
      <c r="FWK42" s="285"/>
      <c r="FWL42" s="285"/>
      <c r="FWM42" s="285"/>
      <c r="FWN42" s="285"/>
      <c r="FWO42" s="285"/>
      <c r="FWP42" s="285"/>
      <c r="FWQ42" s="285"/>
      <c r="FWR42" s="285"/>
      <c r="FWS42" s="285"/>
      <c r="FWT42" s="285"/>
      <c r="FWU42" s="285"/>
      <c r="FWV42" s="285"/>
      <c r="FWW42" s="285"/>
      <c r="FWX42" s="285"/>
      <c r="FWY42" s="285"/>
      <c r="FWZ42" s="285"/>
      <c r="FXA42" s="285"/>
      <c r="FXB42" s="285"/>
      <c r="FXC42" s="285"/>
      <c r="FXD42" s="285"/>
      <c r="FXE42" s="285"/>
      <c r="FXF42" s="285"/>
      <c r="FXG42" s="285"/>
      <c r="FXH42" s="285"/>
      <c r="FXI42" s="285"/>
      <c r="FXJ42" s="285"/>
      <c r="FXK42" s="285"/>
      <c r="FXL42" s="285"/>
      <c r="FXM42" s="285"/>
      <c r="FXN42" s="285"/>
      <c r="FXO42" s="285"/>
      <c r="FXP42" s="285"/>
      <c r="FXQ42" s="285"/>
      <c r="FXR42" s="285"/>
      <c r="FXS42" s="285"/>
      <c r="FXT42" s="285"/>
      <c r="FXU42" s="285"/>
      <c r="FXV42" s="285"/>
      <c r="FXW42" s="285"/>
      <c r="FXX42" s="285"/>
      <c r="FXY42" s="285"/>
      <c r="FXZ42" s="285"/>
      <c r="FYA42" s="285"/>
      <c r="FYB42" s="285"/>
      <c r="FYC42" s="285"/>
      <c r="FYD42" s="285"/>
      <c r="FYE42" s="285"/>
      <c r="FYF42" s="285"/>
      <c r="FYG42" s="285"/>
      <c r="FYH42" s="285"/>
      <c r="FYI42" s="285"/>
      <c r="FYJ42" s="285"/>
      <c r="FYK42" s="285"/>
      <c r="FYL42" s="285"/>
      <c r="FYM42" s="285"/>
      <c r="FYN42" s="285"/>
      <c r="FYO42" s="285"/>
      <c r="FYP42" s="285"/>
      <c r="FYQ42" s="285"/>
      <c r="FYR42" s="285"/>
      <c r="FYS42" s="285"/>
      <c r="FYT42" s="285"/>
      <c r="FYU42" s="285"/>
      <c r="FYV42" s="285"/>
      <c r="FYW42" s="285"/>
      <c r="FYX42" s="285"/>
      <c r="FYY42" s="285"/>
      <c r="FYZ42" s="285"/>
      <c r="FZA42" s="285"/>
      <c r="FZB42" s="285"/>
      <c r="FZC42" s="285"/>
      <c r="FZD42" s="285"/>
      <c r="FZE42" s="285"/>
      <c r="FZF42" s="285"/>
      <c r="FZG42" s="285"/>
      <c r="FZH42" s="285"/>
      <c r="FZI42" s="285"/>
      <c r="FZJ42" s="285"/>
      <c r="FZK42" s="285"/>
      <c r="FZL42" s="285"/>
      <c r="FZM42" s="285"/>
      <c r="FZN42" s="285"/>
      <c r="FZO42" s="285"/>
      <c r="FZP42" s="285"/>
      <c r="FZQ42" s="285"/>
      <c r="FZR42" s="285"/>
      <c r="FZS42" s="285"/>
      <c r="FZT42" s="285"/>
      <c r="FZU42" s="285"/>
      <c r="FZV42" s="285"/>
      <c r="FZW42" s="285"/>
      <c r="FZX42" s="285"/>
      <c r="FZY42" s="285"/>
      <c r="FZZ42" s="285"/>
      <c r="GAA42" s="285"/>
      <c r="GAB42" s="285"/>
      <c r="GAC42" s="285"/>
      <c r="GAD42" s="285"/>
      <c r="GAE42" s="285"/>
      <c r="GAF42" s="285"/>
      <c r="GAG42" s="285"/>
      <c r="GAH42" s="285"/>
      <c r="GAI42" s="285"/>
      <c r="GAJ42" s="285"/>
      <c r="GAK42" s="285"/>
      <c r="GAL42" s="285"/>
      <c r="GAM42" s="285"/>
      <c r="GAN42" s="285"/>
      <c r="GAO42" s="285"/>
      <c r="GAP42" s="285"/>
      <c r="GAQ42" s="285"/>
      <c r="GAR42" s="285"/>
      <c r="GAS42" s="285"/>
      <c r="GAT42" s="285"/>
      <c r="GAU42" s="285"/>
      <c r="GAV42" s="285"/>
      <c r="GAW42" s="285"/>
      <c r="GAX42" s="285"/>
      <c r="GAY42" s="285"/>
      <c r="GAZ42" s="285"/>
      <c r="GBA42" s="285"/>
      <c r="GBB42" s="285"/>
      <c r="GBC42" s="285"/>
      <c r="GBD42" s="285"/>
      <c r="GBE42" s="285"/>
      <c r="GBF42" s="285"/>
      <c r="GBG42" s="285"/>
      <c r="GBH42" s="285"/>
      <c r="GBI42" s="285"/>
      <c r="GBJ42" s="285"/>
      <c r="GBK42" s="285"/>
      <c r="GBL42" s="285"/>
      <c r="GBM42" s="285"/>
      <c r="GBN42" s="285"/>
      <c r="GBO42" s="285"/>
      <c r="GBP42" s="285"/>
      <c r="GBQ42" s="285"/>
      <c r="GBR42" s="285"/>
      <c r="GBS42" s="285"/>
      <c r="GBT42" s="285"/>
      <c r="GBU42" s="285"/>
      <c r="GBV42" s="285"/>
      <c r="GBW42" s="285"/>
      <c r="GBX42" s="285"/>
      <c r="GBY42" s="285"/>
      <c r="GBZ42" s="285"/>
      <c r="GCA42" s="285"/>
      <c r="GCB42" s="285"/>
      <c r="GCC42" s="285"/>
      <c r="GCD42" s="285"/>
      <c r="GCE42" s="285"/>
      <c r="GCF42" s="285"/>
      <c r="GCG42" s="285"/>
      <c r="GCH42" s="285"/>
      <c r="GCI42" s="285"/>
      <c r="GCJ42" s="285"/>
      <c r="GCK42" s="285"/>
      <c r="GCL42" s="285"/>
      <c r="GCM42" s="285"/>
      <c r="GCN42" s="285"/>
      <c r="GCO42" s="285"/>
      <c r="GCP42" s="285"/>
      <c r="GCQ42" s="285"/>
      <c r="GCR42" s="285"/>
      <c r="GCS42" s="285"/>
      <c r="GCT42" s="285"/>
      <c r="GCU42" s="285"/>
      <c r="GCV42" s="285"/>
      <c r="GCW42" s="285"/>
      <c r="GCX42" s="285"/>
      <c r="GCY42" s="285"/>
      <c r="GCZ42" s="285"/>
      <c r="GDA42" s="285"/>
      <c r="GDB42" s="285"/>
      <c r="GDC42" s="285"/>
      <c r="GDD42" s="285"/>
      <c r="GDE42" s="285"/>
      <c r="GDF42" s="285"/>
      <c r="GDG42" s="285"/>
      <c r="GDH42" s="285"/>
      <c r="GDI42" s="285"/>
      <c r="GDJ42" s="285"/>
      <c r="GDK42" s="285"/>
      <c r="GDL42" s="285"/>
      <c r="GDM42" s="285"/>
      <c r="GDN42" s="285"/>
      <c r="GDO42" s="285"/>
      <c r="GDP42" s="285"/>
      <c r="GDQ42" s="285"/>
      <c r="GDR42" s="285"/>
      <c r="GDS42" s="285"/>
      <c r="GDT42" s="285"/>
      <c r="GDU42" s="285"/>
      <c r="GDV42" s="285"/>
      <c r="GDW42" s="285"/>
      <c r="GDX42" s="285"/>
      <c r="GDY42" s="285"/>
      <c r="GDZ42" s="285"/>
      <c r="GEA42" s="285"/>
      <c r="GEB42" s="285"/>
      <c r="GEC42" s="285"/>
      <c r="GED42" s="285"/>
      <c r="GEE42" s="285"/>
      <c r="GEF42" s="285"/>
      <c r="GEG42" s="285"/>
      <c r="GEH42" s="285"/>
      <c r="GEI42" s="285"/>
      <c r="GEJ42" s="285"/>
      <c r="GEK42" s="285"/>
      <c r="GEL42" s="285"/>
      <c r="GEM42" s="285"/>
      <c r="GEN42" s="285"/>
      <c r="GEO42" s="285"/>
      <c r="GEP42" s="285"/>
      <c r="GEQ42" s="285"/>
      <c r="GER42" s="285"/>
      <c r="GES42" s="285"/>
      <c r="GET42" s="285"/>
      <c r="GEU42" s="285"/>
      <c r="GEV42" s="285"/>
      <c r="GEW42" s="285"/>
      <c r="GEX42" s="285"/>
      <c r="GEY42" s="285"/>
      <c r="GEZ42" s="285"/>
      <c r="GFA42" s="285"/>
      <c r="GFB42" s="285"/>
      <c r="GFC42" s="285"/>
      <c r="GFD42" s="285"/>
      <c r="GFE42" s="285"/>
      <c r="GFF42" s="285"/>
      <c r="GFG42" s="285"/>
      <c r="GFH42" s="285"/>
      <c r="GFI42" s="285"/>
      <c r="GFJ42" s="285"/>
      <c r="GFK42" s="285"/>
      <c r="GFL42" s="285"/>
      <c r="GFM42" s="285"/>
      <c r="GFN42" s="285"/>
      <c r="GFO42" s="285"/>
      <c r="GFP42" s="285"/>
      <c r="GFQ42" s="285"/>
      <c r="GFR42" s="285"/>
      <c r="GFS42" s="285"/>
      <c r="GFT42" s="285"/>
      <c r="GFU42" s="285"/>
      <c r="GFV42" s="285"/>
      <c r="GFW42" s="285"/>
      <c r="GFX42" s="285"/>
      <c r="GFY42" s="285"/>
      <c r="GFZ42" s="285"/>
      <c r="GGA42" s="285"/>
      <c r="GGB42" s="285"/>
      <c r="GGC42" s="285"/>
      <c r="GGD42" s="285"/>
      <c r="GGE42" s="285"/>
      <c r="GGF42" s="285"/>
      <c r="GGG42" s="285"/>
      <c r="GGH42" s="285"/>
      <c r="GGI42" s="285"/>
      <c r="GGJ42" s="285"/>
      <c r="GGK42" s="285"/>
      <c r="GGL42" s="285"/>
      <c r="GGM42" s="285"/>
      <c r="GGN42" s="285"/>
      <c r="GGO42" s="285"/>
      <c r="GGP42" s="285"/>
      <c r="GGQ42" s="285"/>
      <c r="GGR42" s="285"/>
      <c r="GGS42" s="285"/>
      <c r="GGT42" s="285"/>
      <c r="GGU42" s="285"/>
      <c r="GGV42" s="285"/>
      <c r="GGW42" s="285"/>
      <c r="GGX42" s="285"/>
      <c r="GGY42" s="285"/>
      <c r="GGZ42" s="285"/>
      <c r="GHA42" s="285"/>
      <c r="GHB42" s="285"/>
      <c r="GHC42" s="285"/>
      <c r="GHD42" s="285"/>
      <c r="GHE42" s="285"/>
      <c r="GHF42" s="285"/>
      <c r="GHG42" s="285"/>
      <c r="GHH42" s="285"/>
      <c r="GHI42" s="285"/>
      <c r="GHJ42" s="285"/>
      <c r="GHK42" s="285"/>
      <c r="GHL42" s="285"/>
      <c r="GHM42" s="285"/>
      <c r="GHN42" s="285"/>
      <c r="GHO42" s="285"/>
      <c r="GHP42" s="285"/>
      <c r="GHQ42" s="285"/>
      <c r="GHR42" s="285"/>
      <c r="GHS42" s="285"/>
      <c r="GHT42" s="285"/>
      <c r="GHU42" s="285"/>
      <c r="GHV42" s="285"/>
      <c r="GHW42" s="285"/>
      <c r="GHX42" s="285"/>
      <c r="GHY42" s="285"/>
      <c r="GHZ42" s="285"/>
      <c r="GIA42" s="285"/>
      <c r="GIB42" s="285"/>
      <c r="GIC42" s="285"/>
      <c r="GID42" s="285"/>
      <c r="GIE42" s="285"/>
      <c r="GIF42" s="285"/>
      <c r="GIG42" s="285"/>
      <c r="GIH42" s="285"/>
      <c r="GII42" s="285"/>
      <c r="GIJ42" s="285"/>
      <c r="GIK42" s="285"/>
      <c r="GIL42" s="285"/>
      <c r="GIM42" s="285"/>
      <c r="GIN42" s="285"/>
      <c r="GIO42" s="285"/>
      <c r="GIP42" s="285"/>
      <c r="GIQ42" s="285"/>
      <c r="GIR42" s="285"/>
      <c r="GIS42" s="285"/>
      <c r="GIT42" s="285"/>
      <c r="GIU42" s="285"/>
      <c r="GIV42" s="285"/>
      <c r="GIW42" s="285"/>
      <c r="GIX42" s="285"/>
      <c r="GIY42" s="285"/>
      <c r="GIZ42" s="285"/>
      <c r="GJA42" s="285"/>
      <c r="GJB42" s="285"/>
      <c r="GJC42" s="285"/>
      <c r="GJD42" s="285"/>
      <c r="GJE42" s="285"/>
      <c r="GJF42" s="285"/>
      <c r="GJG42" s="285"/>
      <c r="GJH42" s="285"/>
      <c r="GJI42" s="285"/>
      <c r="GJJ42" s="285"/>
      <c r="GJK42" s="285"/>
      <c r="GJL42" s="285"/>
      <c r="GJM42" s="285"/>
      <c r="GJN42" s="285"/>
      <c r="GJO42" s="285"/>
      <c r="GJP42" s="285"/>
      <c r="GJQ42" s="285"/>
      <c r="GJR42" s="285"/>
      <c r="GJS42" s="285"/>
      <c r="GJT42" s="285"/>
      <c r="GJU42" s="285"/>
      <c r="GJV42" s="285"/>
      <c r="GJW42" s="285"/>
      <c r="GJX42" s="285"/>
      <c r="GJY42" s="285"/>
      <c r="GJZ42" s="285"/>
      <c r="GKA42" s="285"/>
      <c r="GKB42" s="285"/>
      <c r="GKC42" s="285"/>
      <c r="GKD42" s="285"/>
      <c r="GKE42" s="285"/>
      <c r="GKF42" s="285"/>
      <c r="GKG42" s="285"/>
      <c r="GKH42" s="285"/>
      <c r="GKI42" s="285"/>
      <c r="GKJ42" s="285"/>
      <c r="GKK42" s="285"/>
      <c r="GKL42" s="285"/>
      <c r="GKM42" s="285"/>
      <c r="GKN42" s="285"/>
      <c r="GKO42" s="285"/>
      <c r="GKP42" s="285"/>
      <c r="GKQ42" s="285"/>
      <c r="GKR42" s="285"/>
      <c r="GKS42" s="285"/>
      <c r="GKT42" s="285"/>
      <c r="GKU42" s="285"/>
      <c r="GKV42" s="285"/>
      <c r="GKW42" s="285"/>
      <c r="GKX42" s="285"/>
      <c r="GKY42" s="285"/>
      <c r="GKZ42" s="285"/>
      <c r="GLA42" s="285"/>
      <c r="GLB42" s="285"/>
      <c r="GLC42" s="285"/>
      <c r="GLD42" s="285"/>
      <c r="GLE42" s="285"/>
      <c r="GLF42" s="285"/>
      <c r="GLG42" s="285"/>
      <c r="GLH42" s="285"/>
      <c r="GLI42" s="285"/>
      <c r="GLJ42" s="285"/>
      <c r="GLK42" s="285"/>
      <c r="GLL42" s="285"/>
      <c r="GLM42" s="285"/>
      <c r="GLN42" s="285"/>
      <c r="GLO42" s="285"/>
      <c r="GLP42" s="285"/>
      <c r="GLQ42" s="285"/>
      <c r="GLR42" s="285"/>
      <c r="GLS42" s="285"/>
      <c r="GLT42" s="285"/>
      <c r="GLU42" s="285"/>
      <c r="GLV42" s="285"/>
      <c r="GLW42" s="285"/>
      <c r="GLX42" s="285"/>
      <c r="GLY42" s="285"/>
      <c r="GLZ42" s="285"/>
      <c r="GMA42" s="285"/>
      <c r="GMB42" s="285"/>
      <c r="GMC42" s="285"/>
      <c r="GMD42" s="285"/>
      <c r="GME42" s="285"/>
      <c r="GMF42" s="285"/>
      <c r="GMG42" s="285"/>
      <c r="GMH42" s="285"/>
      <c r="GMI42" s="285"/>
      <c r="GMJ42" s="285"/>
      <c r="GMK42" s="285"/>
      <c r="GML42" s="285"/>
      <c r="GMM42" s="285"/>
      <c r="GMN42" s="285"/>
      <c r="GMO42" s="285"/>
      <c r="GMP42" s="285"/>
      <c r="GMQ42" s="285"/>
      <c r="GMR42" s="285"/>
      <c r="GMS42" s="285"/>
      <c r="GMT42" s="285"/>
      <c r="GMU42" s="285"/>
      <c r="GMV42" s="285"/>
      <c r="GMW42" s="285"/>
      <c r="GMX42" s="285"/>
      <c r="GMY42" s="285"/>
      <c r="GMZ42" s="285"/>
      <c r="GNA42" s="285"/>
      <c r="GNB42" s="285"/>
      <c r="GNC42" s="285"/>
      <c r="GND42" s="285"/>
      <c r="GNE42" s="285"/>
      <c r="GNF42" s="285"/>
      <c r="GNG42" s="285"/>
      <c r="GNH42" s="285"/>
      <c r="GNI42" s="285"/>
      <c r="GNJ42" s="285"/>
      <c r="GNK42" s="285"/>
      <c r="GNL42" s="285"/>
      <c r="GNM42" s="285"/>
      <c r="GNN42" s="285"/>
      <c r="GNO42" s="285"/>
      <c r="GNP42" s="285"/>
      <c r="GNQ42" s="285"/>
      <c r="GNR42" s="285"/>
      <c r="GNS42" s="285"/>
      <c r="GNT42" s="285"/>
      <c r="GNU42" s="285"/>
      <c r="GNV42" s="285"/>
      <c r="GNW42" s="285"/>
      <c r="GNX42" s="285"/>
      <c r="GNY42" s="285"/>
      <c r="GNZ42" s="285"/>
      <c r="GOA42" s="285"/>
      <c r="GOB42" s="285"/>
      <c r="GOC42" s="285"/>
      <c r="GOD42" s="285"/>
      <c r="GOE42" s="285"/>
      <c r="GOF42" s="285"/>
      <c r="GOG42" s="285"/>
      <c r="GOH42" s="285"/>
      <c r="GOI42" s="285"/>
      <c r="GOJ42" s="285"/>
      <c r="GOK42" s="285"/>
      <c r="GOL42" s="285"/>
      <c r="GOM42" s="285"/>
      <c r="GON42" s="285"/>
      <c r="GOO42" s="285"/>
      <c r="GOP42" s="285"/>
      <c r="GOQ42" s="285"/>
      <c r="GOR42" s="285"/>
      <c r="GOS42" s="285"/>
      <c r="GOT42" s="285"/>
      <c r="GOU42" s="285"/>
      <c r="GOV42" s="285"/>
      <c r="GOW42" s="285"/>
      <c r="GOX42" s="285"/>
      <c r="GOY42" s="285"/>
      <c r="GOZ42" s="285"/>
      <c r="GPA42" s="285"/>
      <c r="GPB42" s="285"/>
      <c r="GPC42" s="285"/>
      <c r="GPD42" s="285"/>
      <c r="GPE42" s="285"/>
      <c r="GPF42" s="285"/>
      <c r="GPG42" s="285"/>
      <c r="GPH42" s="285"/>
      <c r="GPI42" s="285"/>
      <c r="GPJ42" s="285"/>
      <c r="GPK42" s="285"/>
      <c r="GPL42" s="285"/>
      <c r="GPM42" s="285"/>
      <c r="GPN42" s="285"/>
      <c r="GPO42" s="285"/>
      <c r="GPP42" s="285"/>
      <c r="GPQ42" s="285"/>
      <c r="GPR42" s="285"/>
      <c r="GPS42" s="285"/>
      <c r="GPT42" s="285"/>
      <c r="GPU42" s="285"/>
      <c r="GPV42" s="285"/>
      <c r="GPW42" s="285"/>
      <c r="GPX42" s="285"/>
      <c r="GPY42" s="285"/>
      <c r="GPZ42" s="285"/>
      <c r="GQA42" s="285"/>
      <c r="GQB42" s="285"/>
      <c r="GQC42" s="285"/>
      <c r="GQD42" s="285"/>
      <c r="GQE42" s="285"/>
      <c r="GQF42" s="285"/>
      <c r="GQG42" s="285"/>
      <c r="GQH42" s="285"/>
      <c r="GQI42" s="285"/>
      <c r="GQJ42" s="285"/>
      <c r="GQK42" s="285"/>
      <c r="GQL42" s="285"/>
      <c r="GQM42" s="285"/>
      <c r="GQN42" s="285"/>
      <c r="GQO42" s="285"/>
      <c r="GQP42" s="285"/>
      <c r="GQQ42" s="285"/>
      <c r="GQR42" s="285"/>
      <c r="GQS42" s="285"/>
      <c r="GQT42" s="285"/>
      <c r="GQU42" s="285"/>
      <c r="GQV42" s="285"/>
      <c r="GQW42" s="285"/>
      <c r="GQX42" s="285"/>
      <c r="GQY42" s="285"/>
      <c r="GQZ42" s="285"/>
      <c r="GRA42" s="285"/>
      <c r="GRB42" s="285"/>
      <c r="GRC42" s="285"/>
      <c r="GRD42" s="285"/>
      <c r="GRE42" s="285"/>
      <c r="GRF42" s="285"/>
      <c r="GRG42" s="285"/>
      <c r="GRH42" s="285"/>
      <c r="GRI42" s="285"/>
      <c r="GRJ42" s="285"/>
      <c r="GRK42" s="285"/>
      <c r="GRL42" s="285"/>
      <c r="GRM42" s="285"/>
      <c r="GRN42" s="285"/>
      <c r="GRO42" s="285"/>
      <c r="GRP42" s="285"/>
      <c r="GRQ42" s="285"/>
      <c r="GRR42" s="285"/>
      <c r="GRS42" s="285"/>
      <c r="GRT42" s="285"/>
      <c r="GRU42" s="285"/>
      <c r="GRV42" s="285"/>
      <c r="GRW42" s="285"/>
      <c r="GRX42" s="285"/>
      <c r="GRY42" s="285"/>
      <c r="GRZ42" s="285"/>
      <c r="GSA42" s="285"/>
      <c r="GSB42" s="285"/>
      <c r="GSC42" s="285"/>
      <c r="GSD42" s="285"/>
      <c r="GSE42" s="285"/>
      <c r="GSF42" s="285"/>
      <c r="GSG42" s="285"/>
      <c r="GSH42" s="285"/>
      <c r="GSI42" s="285"/>
      <c r="GSJ42" s="285"/>
      <c r="GSK42" s="285"/>
      <c r="GSL42" s="285"/>
      <c r="GSM42" s="285"/>
      <c r="GSN42" s="285"/>
      <c r="GSO42" s="285"/>
      <c r="GSP42" s="285"/>
      <c r="GSQ42" s="285"/>
      <c r="GSR42" s="285"/>
      <c r="GSS42" s="285"/>
      <c r="GST42" s="285"/>
      <c r="GSU42" s="285"/>
      <c r="GSV42" s="285"/>
      <c r="GSW42" s="285"/>
      <c r="GSX42" s="285"/>
      <c r="GSY42" s="285"/>
      <c r="GSZ42" s="285"/>
      <c r="GTA42" s="285"/>
      <c r="GTB42" s="285"/>
      <c r="GTC42" s="285"/>
      <c r="GTD42" s="285"/>
      <c r="GTE42" s="285"/>
      <c r="GTF42" s="285"/>
      <c r="GTG42" s="285"/>
      <c r="GTH42" s="285"/>
      <c r="GTI42" s="285"/>
      <c r="GTJ42" s="285"/>
      <c r="GTK42" s="285"/>
      <c r="GTL42" s="285"/>
      <c r="GTM42" s="285"/>
      <c r="GTN42" s="285"/>
      <c r="GTO42" s="285"/>
      <c r="GTP42" s="285"/>
      <c r="GTQ42" s="285"/>
      <c r="GTR42" s="285"/>
      <c r="GTS42" s="285"/>
      <c r="GTT42" s="285"/>
      <c r="GTU42" s="285"/>
      <c r="GTV42" s="285"/>
      <c r="GTW42" s="285"/>
      <c r="GTX42" s="285"/>
      <c r="GTY42" s="285"/>
      <c r="GTZ42" s="285"/>
      <c r="GUA42" s="285"/>
      <c r="GUB42" s="285"/>
      <c r="GUC42" s="285"/>
      <c r="GUD42" s="285"/>
      <c r="GUE42" s="285"/>
      <c r="GUF42" s="285"/>
      <c r="GUG42" s="285"/>
      <c r="GUH42" s="285"/>
      <c r="GUI42" s="285"/>
      <c r="GUJ42" s="285"/>
      <c r="GUK42" s="285"/>
      <c r="GUL42" s="285"/>
      <c r="GUM42" s="285"/>
      <c r="GUN42" s="285"/>
      <c r="GUO42" s="285"/>
      <c r="GUP42" s="285"/>
      <c r="GUQ42" s="285"/>
      <c r="GUR42" s="285"/>
      <c r="GUS42" s="285"/>
      <c r="GUT42" s="285"/>
      <c r="GUU42" s="285"/>
      <c r="GUV42" s="285"/>
      <c r="GUW42" s="285"/>
      <c r="GUX42" s="285"/>
      <c r="GUY42" s="285"/>
      <c r="GUZ42" s="285"/>
      <c r="GVA42" s="285"/>
      <c r="GVB42" s="285"/>
      <c r="GVC42" s="285"/>
      <c r="GVD42" s="285"/>
      <c r="GVE42" s="285"/>
      <c r="GVF42" s="285"/>
      <c r="GVG42" s="285"/>
      <c r="GVH42" s="285"/>
      <c r="GVI42" s="285"/>
      <c r="GVJ42" s="285"/>
      <c r="GVK42" s="285"/>
      <c r="GVL42" s="285"/>
      <c r="GVM42" s="285"/>
      <c r="GVN42" s="285"/>
      <c r="GVO42" s="285"/>
      <c r="GVP42" s="285"/>
      <c r="GVQ42" s="285"/>
      <c r="GVR42" s="285"/>
      <c r="GVS42" s="285"/>
      <c r="GVT42" s="285"/>
      <c r="GVU42" s="285"/>
      <c r="GVV42" s="285"/>
      <c r="GVW42" s="285"/>
      <c r="GVX42" s="285"/>
      <c r="GVY42" s="285"/>
      <c r="GVZ42" s="285"/>
      <c r="GWA42" s="285"/>
      <c r="GWB42" s="285"/>
      <c r="GWC42" s="285"/>
      <c r="GWD42" s="285"/>
      <c r="GWE42" s="285"/>
      <c r="GWF42" s="285"/>
      <c r="GWG42" s="285"/>
      <c r="GWH42" s="285"/>
      <c r="GWI42" s="285"/>
      <c r="GWJ42" s="285"/>
      <c r="GWK42" s="285"/>
      <c r="GWL42" s="285"/>
      <c r="GWM42" s="285"/>
      <c r="GWN42" s="285"/>
      <c r="GWO42" s="285"/>
      <c r="GWP42" s="285"/>
      <c r="GWQ42" s="285"/>
      <c r="GWR42" s="285"/>
      <c r="GWS42" s="285"/>
      <c r="GWT42" s="285"/>
      <c r="GWU42" s="285"/>
      <c r="GWV42" s="285"/>
      <c r="GWW42" s="285"/>
      <c r="GWX42" s="285"/>
      <c r="GWY42" s="285"/>
      <c r="GWZ42" s="285"/>
      <c r="GXA42" s="285"/>
      <c r="GXB42" s="285"/>
      <c r="GXC42" s="285"/>
      <c r="GXD42" s="285"/>
      <c r="GXE42" s="285"/>
      <c r="GXF42" s="285"/>
      <c r="GXG42" s="285"/>
      <c r="GXH42" s="285"/>
      <c r="GXI42" s="285"/>
      <c r="GXJ42" s="285"/>
      <c r="GXK42" s="285"/>
      <c r="GXL42" s="285"/>
      <c r="GXM42" s="285"/>
      <c r="GXN42" s="285"/>
      <c r="GXO42" s="285"/>
      <c r="GXP42" s="285"/>
      <c r="GXQ42" s="285"/>
      <c r="GXR42" s="285"/>
      <c r="GXS42" s="285"/>
      <c r="GXT42" s="285"/>
      <c r="GXU42" s="285"/>
      <c r="GXV42" s="285"/>
      <c r="GXW42" s="285"/>
      <c r="GXX42" s="285"/>
      <c r="GXY42" s="285"/>
      <c r="GXZ42" s="285"/>
      <c r="GYA42" s="285"/>
      <c r="GYB42" s="285"/>
      <c r="GYC42" s="285"/>
      <c r="GYD42" s="285"/>
      <c r="GYE42" s="285"/>
      <c r="GYF42" s="285"/>
      <c r="GYG42" s="285"/>
      <c r="GYH42" s="285"/>
      <c r="GYI42" s="285"/>
      <c r="GYJ42" s="285"/>
      <c r="GYK42" s="285"/>
      <c r="GYL42" s="285"/>
      <c r="GYM42" s="285"/>
      <c r="GYN42" s="285"/>
      <c r="GYO42" s="285"/>
      <c r="GYP42" s="285"/>
      <c r="GYQ42" s="285"/>
      <c r="GYR42" s="285"/>
      <c r="GYS42" s="285"/>
      <c r="GYT42" s="285"/>
      <c r="GYU42" s="285"/>
      <c r="GYV42" s="285"/>
      <c r="GYW42" s="285"/>
      <c r="GYX42" s="285"/>
      <c r="GYY42" s="285"/>
      <c r="GYZ42" s="285"/>
      <c r="GZA42" s="285"/>
      <c r="GZB42" s="285"/>
      <c r="GZC42" s="285"/>
      <c r="GZD42" s="285"/>
      <c r="GZE42" s="285"/>
      <c r="GZF42" s="285"/>
      <c r="GZG42" s="285"/>
      <c r="GZH42" s="285"/>
      <c r="GZI42" s="285"/>
      <c r="GZJ42" s="285"/>
      <c r="GZK42" s="285"/>
      <c r="GZL42" s="285"/>
      <c r="GZM42" s="285"/>
      <c r="GZN42" s="285"/>
      <c r="GZO42" s="285"/>
      <c r="GZP42" s="285"/>
      <c r="GZQ42" s="285"/>
      <c r="GZR42" s="285"/>
      <c r="GZS42" s="285"/>
      <c r="GZT42" s="285"/>
      <c r="GZU42" s="285"/>
      <c r="GZV42" s="285"/>
      <c r="GZW42" s="285"/>
      <c r="GZX42" s="285"/>
      <c r="GZY42" s="285"/>
      <c r="GZZ42" s="285"/>
      <c r="HAA42" s="285"/>
      <c r="HAB42" s="285"/>
      <c r="HAC42" s="285"/>
      <c r="HAD42" s="285"/>
      <c r="HAE42" s="285"/>
      <c r="HAF42" s="285"/>
      <c r="HAG42" s="285"/>
      <c r="HAH42" s="285"/>
      <c r="HAI42" s="285"/>
      <c r="HAJ42" s="285"/>
      <c r="HAK42" s="285"/>
      <c r="HAL42" s="285"/>
      <c r="HAM42" s="285"/>
      <c r="HAN42" s="285"/>
      <c r="HAO42" s="285"/>
      <c r="HAP42" s="285"/>
      <c r="HAQ42" s="285"/>
      <c r="HAR42" s="285"/>
      <c r="HAS42" s="285"/>
      <c r="HAT42" s="285"/>
      <c r="HAU42" s="285"/>
      <c r="HAV42" s="285"/>
      <c r="HAW42" s="285"/>
      <c r="HAX42" s="285"/>
      <c r="HAY42" s="285"/>
      <c r="HAZ42" s="285"/>
      <c r="HBA42" s="285"/>
      <c r="HBB42" s="285"/>
      <c r="HBC42" s="285"/>
      <c r="HBD42" s="285"/>
      <c r="HBE42" s="285"/>
      <c r="HBF42" s="285"/>
      <c r="HBG42" s="285"/>
      <c r="HBH42" s="285"/>
      <c r="HBI42" s="285"/>
      <c r="HBJ42" s="285"/>
      <c r="HBK42" s="285"/>
      <c r="HBL42" s="285"/>
      <c r="HBM42" s="285"/>
      <c r="HBN42" s="285"/>
      <c r="HBO42" s="285"/>
      <c r="HBP42" s="285"/>
      <c r="HBQ42" s="285"/>
      <c r="HBR42" s="285"/>
      <c r="HBS42" s="285"/>
      <c r="HBT42" s="285"/>
      <c r="HBU42" s="285"/>
      <c r="HBV42" s="285"/>
      <c r="HBW42" s="285"/>
      <c r="HBX42" s="285"/>
      <c r="HBY42" s="285"/>
      <c r="HBZ42" s="285"/>
      <c r="HCA42" s="285"/>
      <c r="HCB42" s="285"/>
      <c r="HCC42" s="285"/>
      <c r="HCD42" s="285"/>
      <c r="HCE42" s="285"/>
      <c r="HCF42" s="285"/>
      <c r="HCG42" s="285"/>
      <c r="HCH42" s="285"/>
      <c r="HCI42" s="285"/>
      <c r="HCJ42" s="285"/>
      <c r="HCK42" s="285"/>
      <c r="HCL42" s="285"/>
      <c r="HCM42" s="285"/>
      <c r="HCN42" s="285"/>
      <c r="HCO42" s="285"/>
      <c r="HCP42" s="285"/>
      <c r="HCQ42" s="285"/>
      <c r="HCR42" s="285"/>
      <c r="HCS42" s="285"/>
      <c r="HCT42" s="285"/>
      <c r="HCU42" s="285"/>
      <c r="HCV42" s="285"/>
      <c r="HCW42" s="285"/>
      <c r="HCX42" s="285"/>
      <c r="HCY42" s="285"/>
      <c r="HCZ42" s="285"/>
      <c r="HDA42" s="285"/>
      <c r="HDB42" s="285"/>
      <c r="HDC42" s="285"/>
      <c r="HDD42" s="285"/>
      <c r="HDE42" s="285"/>
      <c r="HDF42" s="285"/>
      <c r="HDG42" s="285"/>
      <c r="HDH42" s="285"/>
      <c r="HDI42" s="285"/>
      <c r="HDJ42" s="285"/>
      <c r="HDK42" s="285"/>
      <c r="HDL42" s="285"/>
      <c r="HDM42" s="285"/>
      <c r="HDN42" s="285"/>
      <c r="HDO42" s="285"/>
      <c r="HDP42" s="285"/>
      <c r="HDQ42" s="285"/>
      <c r="HDR42" s="285"/>
      <c r="HDS42" s="285"/>
      <c r="HDT42" s="285"/>
      <c r="HDU42" s="285"/>
      <c r="HDV42" s="285"/>
      <c r="HDW42" s="285"/>
      <c r="HDX42" s="285"/>
      <c r="HDY42" s="285"/>
      <c r="HDZ42" s="285"/>
      <c r="HEA42" s="285"/>
      <c r="HEB42" s="285"/>
      <c r="HEC42" s="285"/>
      <c r="HED42" s="285"/>
      <c r="HEE42" s="285"/>
      <c r="HEF42" s="285"/>
      <c r="HEG42" s="285"/>
      <c r="HEH42" s="285"/>
      <c r="HEI42" s="285"/>
      <c r="HEJ42" s="285"/>
      <c r="HEK42" s="285"/>
      <c r="HEL42" s="285"/>
      <c r="HEM42" s="285"/>
      <c r="HEN42" s="285"/>
      <c r="HEO42" s="285"/>
      <c r="HEP42" s="285"/>
      <c r="HEQ42" s="285"/>
      <c r="HER42" s="285"/>
      <c r="HES42" s="285"/>
      <c r="HET42" s="285"/>
      <c r="HEU42" s="285"/>
      <c r="HEV42" s="285"/>
      <c r="HEW42" s="285"/>
      <c r="HEX42" s="285"/>
      <c r="HEY42" s="285"/>
      <c r="HEZ42" s="285"/>
      <c r="HFA42" s="285"/>
      <c r="HFB42" s="285"/>
      <c r="HFC42" s="285"/>
      <c r="HFD42" s="285"/>
      <c r="HFE42" s="285"/>
      <c r="HFF42" s="285"/>
      <c r="HFG42" s="285"/>
      <c r="HFH42" s="285"/>
      <c r="HFI42" s="285"/>
      <c r="HFJ42" s="285"/>
      <c r="HFK42" s="285"/>
      <c r="HFL42" s="285"/>
      <c r="HFM42" s="285"/>
      <c r="HFN42" s="285"/>
      <c r="HFO42" s="285"/>
      <c r="HFP42" s="285"/>
      <c r="HFQ42" s="285"/>
      <c r="HFR42" s="285"/>
      <c r="HFS42" s="285"/>
      <c r="HFT42" s="285"/>
      <c r="HFU42" s="285"/>
      <c r="HFV42" s="285"/>
      <c r="HFW42" s="285"/>
      <c r="HFX42" s="285"/>
      <c r="HFY42" s="285"/>
      <c r="HFZ42" s="285"/>
      <c r="HGA42" s="285"/>
      <c r="HGB42" s="285"/>
      <c r="HGC42" s="285"/>
      <c r="HGD42" s="285"/>
      <c r="HGE42" s="285"/>
      <c r="HGF42" s="285"/>
      <c r="HGG42" s="285"/>
      <c r="HGH42" s="285"/>
      <c r="HGI42" s="285"/>
      <c r="HGJ42" s="285"/>
      <c r="HGK42" s="285"/>
      <c r="HGL42" s="285"/>
      <c r="HGM42" s="285"/>
      <c r="HGN42" s="285"/>
      <c r="HGO42" s="285"/>
      <c r="HGP42" s="285"/>
      <c r="HGQ42" s="285"/>
      <c r="HGR42" s="285"/>
      <c r="HGS42" s="285"/>
      <c r="HGT42" s="285"/>
      <c r="HGU42" s="285"/>
      <c r="HGV42" s="285"/>
      <c r="HGW42" s="285"/>
      <c r="HGX42" s="285"/>
      <c r="HGY42" s="285"/>
      <c r="HGZ42" s="285"/>
      <c r="HHA42" s="285"/>
      <c r="HHB42" s="285"/>
      <c r="HHC42" s="285"/>
      <c r="HHD42" s="285"/>
      <c r="HHE42" s="285"/>
      <c r="HHF42" s="285"/>
      <c r="HHG42" s="285"/>
      <c r="HHH42" s="285"/>
      <c r="HHI42" s="285"/>
      <c r="HHJ42" s="285"/>
      <c r="HHK42" s="285"/>
      <c r="HHL42" s="285"/>
      <c r="HHM42" s="285"/>
      <c r="HHN42" s="285"/>
      <c r="HHO42" s="285"/>
      <c r="HHP42" s="285"/>
      <c r="HHQ42" s="285"/>
      <c r="HHR42" s="285"/>
      <c r="HHS42" s="285"/>
      <c r="HHT42" s="285"/>
      <c r="HHU42" s="285"/>
      <c r="HHV42" s="285"/>
      <c r="HHW42" s="285"/>
      <c r="HHX42" s="285"/>
      <c r="HHY42" s="285"/>
      <c r="HHZ42" s="285"/>
      <c r="HIA42" s="285"/>
      <c r="HIB42" s="285"/>
      <c r="HIC42" s="285"/>
      <c r="HID42" s="285"/>
      <c r="HIE42" s="285"/>
      <c r="HIF42" s="285"/>
      <c r="HIG42" s="285"/>
      <c r="HIH42" s="285"/>
      <c r="HII42" s="285"/>
      <c r="HIJ42" s="285"/>
      <c r="HIK42" s="285"/>
      <c r="HIL42" s="285"/>
      <c r="HIM42" s="285"/>
      <c r="HIN42" s="285"/>
      <c r="HIO42" s="285"/>
      <c r="HIP42" s="285"/>
      <c r="HIQ42" s="285"/>
      <c r="HIR42" s="285"/>
      <c r="HIS42" s="285"/>
      <c r="HIT42" s="285"/>
      <c r="HIU42" s="285"/>
      <c r="HIV42" s="285"/>
      <c r="HIW42" s="285"/>
      <c r="HIX42" s="285"/>
      <c r="HIY42" s="285"/>
      <c r="HIZ42" s="285"/>
      <c r="HJA42" s="285"/>
      <c r="HJB42" s="285"/>
      <c r="HJC42" s="285"/>
      <c r="HJD42" s="285"/>
      <c r="HJE42" s="285"/>
      <c r="HJF42" s="285"/>
      <c r="HJG42" s="285"/>
      <c r="HJH42" s="285"/>
      <c r="HJI42" s="285"/>
      <c r="HJJ42" s="285"/>
      <c r="HJK42" s="285"/>
      <c r="HJL42" s="285"/>
      <c r="HJM42" s="285"/>
      <c r="HJN42" s="285"/>
      <c r="HJO42" s="285"/>
      <c r="HJP42" s="285"/>
      <c r="HJQ42" s="285"/>
      <c r="HJR42" s="285"/>
      <c r="HJS42" s="285"/>
      <c r="HJT42" s="285"/>
      <c r="HJU42" s="285"/>
      <c r="HJV42" s="285"/>
      <c r="HJW42" s="285"/>
      <c r="HJX42" s="285"/>
      <c r="HJY42" s="285"/>
      <c r="HJZ42" s="285"/>
      <c r="HKA42" s="285"/>
      <c r="HKB42" s="285"/>
      <c r="HKC42" s="285"/>
      <c r="HKD42" s="285"/>
      <c r="HKE42" s="285"/>
      <c r="HKF42" s="285"/>
      <c r="HKG42" s="285"/>
      <c r="HKH42" s="285"/>
      <c r="HKI42" s="285"/>
      <c r="HKJ42" s="285"/>
      <c r="HKK42" s="285"/>
      <c r="HKL42" s="285"/>
      <c r="HKM42" s="285"/>
      <c r="HKN42" s="285"/>
      <c r="HKO42" s="285"/>
      <c r="HKP42" s="285"/>
      <c r="HKQ42" s="285"/>
      <c r="HKR42" s="285"/>
      <c r="HKS42" s="285"/>
      <c r="HKT42" s="285"/>
      <c r="HKU42" s="285"/>
      <c r="HKV42" s="285"/>
      <c r="HKW42" s="285"/>
      <c r="HKX42" s="285"/>
      <c r="HKY42" s="285"/>
      <c r="HKZ42" s="285"/>
      <c r="HLA42" s="285"/>
      <c r="HLB42" s="285"/>
      <c r="HLC42" s="285"/>
      <c r="HLD42" s="285"/>
      <c r="HLE42" s="285"/>
      <c r="HLF42" s="285"/>
      <c r="HLG42" s="285"/>
      <c r="HLH42" s="285"/>
      <c r="HLI42" s="285"/>
      <c r="HLJ42" s="285"/>
      <c r="HLK42" s="285"/>
      <c r="HLL42" s="285"/>
      <c r="HLM42" s="285"/>
      <c r="HLN42" s="285"/>
      <c r="HLO42" s="285"/>
      <c r="HLP42" s="285"/>
      <c r="HLQ42" s="285"/>
      <c r="HLR42" s="285"/>
      <c r="HLS42" s="285"/>
      <c r="HLT42" s="285"/>
      <c r="HLU42" s="285"/>
      <c r="HLV42" s="285"/>
      <c r="HLW42" s="285"/>
      <c r="HLX42" s="285"/>
      <c r="HLY42" s="285"/>
      <c r="HLZ42" s="285"/>
      <c r="HMA42" s="285"/>
      <c r="HMB42" s="285"/>
      <c r="HMC42" s="285"/>
      <c r="HMD42" s="285"/>
      <c r="HME42" s="285"/>
      <c r="HMF42" s="285"/>
      <c r="HMG42" s="285"/>
      <c r="HMH42" s="285"/>
      <c r="HMI42" s="285"/>
      <c r="HMJ42" s="285"/>
      <c r="HMK42" s="285"/>
      <c r="HML42" s="285"/>
      <c r="HMM42" s="285"/>
      <c r="HMN42" s="285"/>
      <c r="HMO42" s="285"/>
      <c r="HMP42" s="285"/>
      <c r="HMQ42" s="285"/>
      <c r="HMR42" s="285"/>
      <c r="HMS42" s="285"/>
      <c r="HMT42" s="285"/>
      <c r="HMU42" s="285"/>
      <c r="HMV42" s="285"/>
      <c r="HMW42" s="285"/>
      <c r="HMX42" s="285"/>
      <c r="HMY42" s="285"/>
      <c r="HMZ42" s="285"/>
      <c r="HNA42" s="285"/>
      <c r="HNB42" s="285"/>
      <c r="HNC42" s="285"/>
      <c r="HND42" s="285"/>
      <c r="HNE42" s="285"/>
      <c r="HNF42" s="285"/>
      <c r="HNG42" s="285"/>
      <c r="HNH42" s="285"/>
      <c r="HNI42" s="285"/>
      <c r="HNJ42" s="285"/>
      <c r="HNK42" s="285"/>
      <c r="HNL42" s="285"/>
      <c r="HNM42" s="285"/>
      <c r="HNN42" s="285"/>
      <c r="HNO42" s="285"/>
      <c r="HNP42" s="285"/>
      <c r="HNQ42" s="285"/>
      <c r="HNR42" s="285"/>
      <c r="HNS42" s="285"/>
      <c r="HNT42" s="285"/>
      <c r="HNU42" s="285"/>
      <c r="HNV42" s="285"/>
      <c r="HNW42" s="285"/>
      <c r="HNX42" s="285"/>
      <c r="HNY42" s="285"/>
      <c r="HNZ42" s="285"/>
      <c r="HOA42" s="285"/>
      <c r="HOB42" s="285"/>
      <c r="HOC42" s="285"/>
      <c r="HOD42" s="285"/>
      <c r="HOE42" s="285"/>
      <c r="HOF42" s="285"/>
      <c r="HOG42" s="285"/>
      <c r="HOH42" s="285"/>
      <c r="HOI42" s="285"/>
      <c r="HOJ42" s="285"/>
      <c r="HOK42" s="285"/>
      <c r="HOL42" s="285"/>
      <c r="HOM42" s="285"/>
      <c r="HON42" s="285"/>
      <c r="HOO42" s="285"/>
      <c r="HOP42" s="285"/>
      <c r="HOQ42" s="285"/>
      <c r="HOR42" s="285"/>
      <c r="HOS42" s="285"/>
      <c r="HOT42" s="285"/>
      <c r="HOU42" s="285"/>
      <c r="HOV42" s="285"/>
      <c r="HOW42" s="285"/>
      <c r="HOX42" s="285"/>
      <c r="HOY42" s="285"/>
      <c r="HOZ42" s="285"/>
      <c r="HPA42" s="285"/>
      <c r="HPB42" s="285"/>
      <c r="HPC42" s="285"/>
      <c r="HPD42" s="285"/>
      <c r="HPE42" s="285"/>
      <c r="HPF42" s="285"/>
      <c r="HPG42" s="285"/>
      <c r="HPH42" s="285"/>
      <c r="HPI42" s="285"/>
      <c r="HPJ42" s="285"/>
      <c r="HPK42" s="285"/>
      <c r="HPL42" s="285"/>
      <c r="HPM42" s="285"/>
      <c r="HPN42" s="285"/>
      <c r="HPO42" s="285"/>
      <c r="HPP42" s="285"/>
      <c r="HPQ42" s="285"/>
      <c r="HPR42" s="285"/>
      <c r="HPS42" s="285"/>
      <c r="HPT42" s="285"/>
      <c r="HPU42" s="285"/>
      <c r="HPV42" s="285"/>
      <c r="HPW42" s="285"/>
      <c r="HPX42" s="285"/>
      <c r="HPY42" s="285"/>
      <c r="HPZ42" s="285"/>
      <c r="HQA42" s="285"/>
      <c r="HQB42" s="285"/>
      <c r="HQC42" s="285"/>
      <c r="HQD42" s="285"/>
      <c r="HQE42" s="285"/>
      <c r="HQF42" s="285"/>
      <c r="HQG42" s="285"/>
      <c r="HQH42" s="285"/>
      <c r="HQI42" s="285"/>
      <c r="HQJ42" s="285"/>
      <c r="HQK42" s="285"/>
      <c r="HQL42" s="285"/>
      <c r="HQM42" s="285"/>
      <c r="HQN42" s="285"/>
      <c r="HQO42" s="285"/>
      <c r="HQP42" s="285"/>
      <c r="HQQ42" s="285"/>
      <c r="HQR42" s="285"/>
      <c r="HQS42" s="285"/>
      <c r="HQT42" s="285"/>
      <c r="HQU42" s="285"/>
      <c r="HQV42" s="285"/>
      <c r="HQW42" s="285"/>
      <c r="HQX42" s="285"/>
      <c r="HQY42" s="285"/>
      <c r="HQZ42" s="285"/>
      <c r="HRA42" s="285"/>
      <c r="HRB42" s="285"/>
      <c r="HRC42" s="285"/>
      <c r="HRD42" s="285"/>
      <c r="HRE42" s="285"/>
      <c r="HRF42" s="285"/>
      <c r="HRG42" s="285"/>
      <c r="HRH42" s="285"/>
      <c r="HRI42" s="285"/>
      <c r="HRJ42" s="285"/>
      <c r="HRK42" s="285"/>
      <c r="HRL42" s="285"/>
      <c r="HRM42" s="285"/>
      <c r="HRN42" s="285"/>
      <c r="HRO42" s="285"/>
      <c r="HRP42" s="285"/>
      <c r="HRQ42" s="285"/>
      <c r="HRR42" s="285"/>
      <c r="HRS42" s="285"/>
      <c r="HRT42" s="285"/>
      <c r="HRU42" s="285"/>
      <c r="HRV42" s="285"/>
      <c r="HRW42" s="285"/>
      <c r="HRX42" s="285"/>
      <c r="HRY42" s="285"/>
      <c r="HRZ42" s="285"/>
      <c r="HSA42" s="285"/>
      <c r="HSB42" s="285"/>
      <c r="HSC42" s="285"/>
      <c r="HSD42" s="285"/>
      <c r="HSE42" s="285"/>
      <c r="HSF42" s="285"/>
      <c r="HSG42" s="285"/>
      <c r="HSH42" s="285"/>
      <c r="HSI42" s="285"/>
      <c r="HSJ42" s="285"/>
      <c r="HSK42" s="285"/>
      <c r="HSL42" s="285"/>
      <c r="HSM42" s="285"/>
      <c r="HSN42" s="285"/>
      <c r="HSO42" s="285"/>
      <c r="HSP42" s="285"/>
      <c r="HSQ42" s="285"/>
      <c r="HSR42" s="285"/>
      <c r="HSS42" s="285"/>
      <c r="HST42" s="285"/>
      <c r="HSU42" s="285"/>
      <c r="HSV42" s="285"/>
      <c r="HSW42" s="285"/>
      <c r="HSX42" s="285"/>
      <c r="HSY42" s="285"/>
      <c r="HSZ42" s="285"/>
      <c r="HTA42" s="285"/>
      <c r="HTB42" s="285"/>
      <c r="HTC42" s="285"/>
      <c r="HTD42" s="285"/>
      <c r="HTE42" s="285"/>
      <c r="HTF42" s="285"/>
      <c r="HTG42" s="285"/>
      <c r="HTH42" s="285"/>
      <c r="HTI42" s="285"/>
      <c r="HTJ42" s="285"/>
      <c r="HTK42" s="285"/>
      <c r="HTL42" s="285"/>
      <c r="HTM42" s="285"/>
      <c r="HTN42" s="285"/>
      <c r="HTO42" s="285"/>
      <c r="HTP42" s="285"/>
      <c r="HTQ42" s="285"/>
      <c r="HTR42" s="285"/>
      <c r="HTS42" s="285"/>
      <c r="HTT42" s="285"/>
      <c r="HTU42" s="285"/>
      <c r="HTV42" s="285"/>
      <c r="HTW42" s="285"/>
      <c r="HTX42" s="285"/>
      <c r="HTY42" s="285"/>
      <c r="HTZ42" s="285"/>
      <c r="HUA42" s="285"/>
      <c r="HUB42" s="285"/>
      <c r="HUC42" s="285"/>
      <c r="HUD42" s="285"/>
      <c r="HUE42" s="285"/>
      <c r="HUF42" s="285"/>
      <c r="HUG42" s="285"/>
      <c r="HUH42" s="285"/>
      <c r="HUI42" s="285"/>
      <c r="HUJ42" s="285"/>
      <c r="HUK42" s="285"/>
      <c r="HUL42" s="285"/>
      <c r="HUM42" s="285"/>
      <c r="HUN42" s="285"/>
      <c r="HUO42" s="285"/>
      <c r="HUP42" s="285"/>
      <c r="HUQ42" s="285"/>
      <c r="HUR42" s="285"/>
      <c r="HUS42" s="285"/>
      <c r="HUT42" s="285"/>
      <c r="HUU42" s="285"/>
      <c r="HUV42" s="285"/>
      <c r="HUW42" s="285"/>
      <c r="HUX42" s="285"/>
      <c r="HUY42" s="285"/>
      <c r="HUZ42" s="285"/>
      <c r="HVA42" s="285"/>
      <c r="HVB42" s="285"/>
      <c r="HVC42" s="285"/>
      <c r="HVD42" s="285"/>
      <c r="HVE42" s="285"/>
      <c r="HVF42" s="285"/>
      <c r="HVG42" s="285"/>
      <c r="HVH42" s="285"/>
      <c r="HVI42" s="285"/>
      <c r="HVJ42" s="285"/>
      <c r="HVK42" s="285"/>
      <c r="HVL42" s="285"/>
      <c r="HVM42" s="285"/>
      <c r="HVN42" s="285"/>
      <c r="HVO42" s="285"/>
      <c r="HVP42" s="285"/>
      <c r="HVQ42" s="285"/>
      <c r="HVR42" s="285"/>
      <c r="HVS42" s="285"/>
      <c r="HVT42" s="285"/>
      <c r="HVU42" s="285"/>
      <c r="HVV42" s="285"/>
      <c r="HVW42" s="285"/>
      <c r="HVX42" s="285"/>
      <c r="HVY42" s="285"/>
      <c r="HVZ42" s="285"/>
      <c r="HWA42" s="285"/>
      <c r="HWB42" s="285"/>
      <c r="HWC42" s="285"/>
      <c r="HWD42" s="285"/>
      <c r="HWE42" s="285"/>
      <c r="HWF42" s="285"/>
      <c r="HWG42" s="285"/>
      <c r="HWH42" s="285"/>
      <c r="HWI42" s="285"/>
      <c r="HWJ42" s="285"/>
      <c r="HWK42" s="285"/>
      <c r="HWL42" s="285"/>
      <c r="HWM42" s="285"/>
      <c r="HWN42" s="285"/>
      <c r="HWO42" s="285"/>
      <c r="HWP42" s="285"/>
      <c r="HWQ42" s="285"/>
      <c r="HWR42" s="285"/>
      <c r="HWS42" s="285"/>
      <c r="HWT42" s="285"/>
      <c r="HWU42" s="285"/>
      <c r="HWV42" s="285"/>
      <c r="HWW42" s="285"/>
      <c r="HWX42" s="285"/>
      <c r="HWY42" s="285"/>
      <c r="HWZ42" s="285"/>
      <c r="HXA42" s="285"/>
      <c r="HXB42" s="285"/>
      <c r="HXC42" s="285"/>
      <c r="HXD42" s="285"/>
      <c r="HXE42" s="285"/>
      <c r="HXF42" s="285"/>
      <c r="HXG42" s="285"/>
      <c r="HXH42" s="285"/>
      <c r="HXI42" s="285"/>
      <c r="HXJ42" s="285"/>
      <c r="HXK42" s="285"/>
      <c r="HXL42" s="285"/>
      <c r="HXM42" s="285"/>
      <c r="HXN42" s="285"/>
      <c r="HXO42" s="285"/>
      <c r="HXP42" s="285"/>
      <c r="HXQ42" s="285"/>
      <c r="HXR42" s="285"/>
      <c r="HXS42" s="285"/>
      <c r="HXT42" s="285"/>
      <c r="HXU42" s="285"/>
      <c r="HXV42" s="285"/>
      <c r="HXW42" s="285"/>
      <c r="HXX42" s="285"/>
      <c r="HXY42" s="285"/>
      <c r="HXZ42" s="285"/>
      <c r="HYA42" s="285"/>
      <c r="HYB42" s="285"/>
      <c r="HYC42" s="285"/>
      <c r="HYD42" s="285"/>
      <c r="HYE42" s="285"/>
      <c r="HYF42" s="285"/>
      <c r="HYG42" s="285"/>
      <c r="HYH42" s="285"/>
      <c r="HYI42" s="285"/>
      <c r="HYJ42" s="285"/>
      <c r="HYK42" s="285"/>
      <c r="HYL42" s="285"/>
      <c r="HYM42" s="285"/>
      <c r="HYN42" s="285"/>
      <c r="HYO42" s="285"/>
      <c r="HYP42" s="285"/>
      <c r="HYQ42" s="285"/>
      <c r="HYR42" s="285"/>
      <c r="HYS42" s="285"/>
      <c r="HYT42" s="285"/>
      <c r="HYU42" s="285"/>
      <c r="HYV42" s="285"/>
      <c r="HYW42" s="285"/>
      <c r="HYX42" s="285"/>
      <c r="HYY42" s="285"/>
      <c r="HYZ42" s="285"/>
      <c r="HZA42" s="285"/>
      <c r="HZB42" s="285"/>
      <c r="HZC42" s="285"/>
      <c r="HZD42" s="285"/>
      <c r="HZE42" s="285"/>
      <c r="HZF42" s="285"/>
      <c r="HZG42" s="285"/>
      <c r="HZH42" s="285"/>
      <c r="HZI42" s="285"/>
      <c r="HZJ42" s="285"/>
      <c r="HZK42" s="285"/>
      <c r="HZL42" s="285"/>
      <c r="HZM42" s="285"/>
      <c r="HZN42" s="285"/>
      <c r="HZO42" s="285"/>
      <c r="HZP42" s="285"/>
      <c r="HZQ42" s="285"/>
      <c r="HZR42" s="285"/>
      <c r="HZS42" s="285"/>
      <c r="HZT42" s="285"/>
      <c r="HZU42" s="285"/>
      <c r="HZV42" s="285"/>
      <c r="HZW42" s="285"/>
      <c r="HZX42" s="285"/>
      <c r="HZY42" s="285"/>
      <c r="HZZ42" s="285"/>
      <c r="IAA42" s="285"/>
      <c r="IAB42" s="285"/>
      <c r="IAC42" s="285"/>
      <c r="IAD42" s="285"/>
      <c r="IAE42" s="285"/>
      <c r="IAF42" s="285"/>
      <c r="IAG42" s="285"/>
      <c r="IAH42" s="285"/>
      <c r="IAI42" s="285"/>
      <c r="IAJ42" s="285"/>
      <c r="IAK42" s="285"/>
      <c r="IAL42" s="285"/>
      <c r="IAM42" s="285"/>
      <c r="IAN42" s="285"/>
      <c r="IAO42" s="285"/>
      <c r="IAP42" s="285"/>
      <c r="IAQ42" s="285"/>
      <c r="IAR42" s="285"/>
      <c r="IAS42" s="285"/>
      <c r="IAT42" s="285"/>
      <c r="IAU42" s="285"/>
      <c r="IAV42" s="285"/>
      <c r="IAW42" s="285"/>
      <c r="IAX42" s="285"/>
      <c r="IAY42" s="285"/>
      <c r="IAZ42" s="285"/>
      <c r="IBA42" s="285"/>
      <c r="IBB42" s="285"/>
      <c r="IBC42" s="285"/>
      <c r="IBD42" s="285"/>
      <c r="IBE42" s="285"/>
      <c r="IBF42" s="285"/>
      <c r="IBG42" s="285"/>
      <c r="IBH42" s="285"/>
      <c r="IBI42" s="285"/>
      <c r="IBJ42" s="285"/>
      <c r="IBK42" s="285"/>
      <c r="IBL42" s="285"/>
      <c r="IBM42" s="285"/>
      <c r="IBN42" s="285"/>
      <c r="IBO42" s="285"/>
      <c r="IBP42" s="285"/>
      <c r="IBQ42" s="285"/>
      <c r="IBR42" s="285"/>
      <c r="IBS42" s="285"/>
      <c r="IBT42" s="285"/>
      <c r="IBU42" s="285"/>
      <c r="IBV42" s="285"/>
      <c r="IBW42" s="285"/>
      <c r="IBX42" s="285"/>
      <c r="IBY42" s="285"/>
      <c r="IBZ42" s="285"/>
      <c r="ICA42" s="285"/>
      <c r="ICB42" s="285"/>
      <c r="ICC42" s="285"/>
      <c r="ICD42" s="285"/>
      <c r="ICE42" s="285"/>
      <c r="ICF42" s="285"/>
      <c r="ICG42" s="285"/>
      <c r="ICH42" s="285"/>
      <c r="ICI42" s="285"/>
      <c r="ICJ42" s="285"/>
      <c r="ICK42" s="285"/>
      <c r="ICL42" s="285"/>
      <c r="ICM42" s="285"/>
      <c r="ICN42" s="285"/>
      <c r="ICO42" s="285"/>
      <c r="ICP42" s="285"/>
      <c r="ICQ42" s="285"/>
      <c r="ICR42" s="285"/>
      <c r="ICS42" s="285"/>
      <c r="ICT42" s="285"/>
      <c r="ICU42" s="285"/>
      <c r="ICV42" s="285"/>
      <c r="ICW42" s="285"/>
      <c r="ICX42" s="285"/>
      <c r="ICY42" s="285"/>
      <c r="ICZ42" s="285"/>
      <c r="IDA42" s="285"/>
      <c r="IDB42" s="285"/>
      <c r="IDC42" s="285"/>
      <c r="IDD42" s="285"/>
      <c r="IDE42" s="285"/>
      <c r="IDF42" s="285"/>
      <c r="IDG42" s="285"/>
      <c r="IDH42" s="285"/>
      <c r="IDI42" s="285"/>
      <c r="IDJ42" s="285"/>
      <c r="IDK42" s="285"/>
      <c r="IDL42" s="285"/>
      <c r="IDM42" s="285"/>
      <c r="IDN42" s="285"/>
      <c r="IDO42" s="285"/>
      <c r="IDP42" s="285"/>
      <c r="IDQ42" s="285"/>
      <c r="IDR42" s="285"/>
      <c r="IDS42" s="285"/>
      <c r="IDT42" s="285"/>
      <c r="IDU42" s="285"/>
      <c r="IDV42" s="285"/>
      <c r="IDW42" s="285"/>
      <c r="IDX42" s="285"/>
      <c r="IDY42" s="285"/>
      <c r="IDZ42" s="285"/>
      <c r="IEA42" s="285"/>
      <c r="IEB42" s="285"/>
      <c r="IEC42" s="285"/>
      <c r="IED42" s="285"/>
      <c r="IEE42" s="285"/>
      <c r="IEF42" s="285"/>
      <c r="IEG42" s="285"/>
      <c r="IEH42" s="285"/>
      <c r="IEI42" s="285"/>
      <c r="IEJ42" s="285"/>
      <c r="IEK42" s="285"/>
      <c r="IEL42" s="285"/>
      <c r="IEM42" s="285"/>
      <c r="IEN42" s="285"/>
      <c r="IEO42" s="285"/>
      <c r="IEP42" s="285"/>
      <c r="IEQ42" s="285"/>
      <c r="IER42" s="285"/>
      <c r="IES42" s="285"/>
      <c r="IET42" s="285"/>
      <c r="IEU42" s="285"/>
      <c r="IEV42" s="285"/>
      <c r="IEW42" s="285"/>
      <c r="IEX42" s="285"/>
      <c r="IEY42" s="285"/>
      <c r="IEZ42" s="285"/>
      <c r="IFA42" s="285"/>
      <c r="IFB42" s="285"/>
      <c r="IFC42" s="285"/>
      <c r="IFD42" s="285"/>
      <c r="IFE42" s="285"/>
      <c r="IFF42" s="285"/>
      <c r="IFG42" s="285"/>
      <c r="IFH42" s="285"/>
      <c r="IFI42" s="285"/>
      <c r="IFJ42" s="285"/>
      <c r="IFK42" s="285"/>
      <c r="IFL42" s="285"/>
      <c r="IFM42" s="285"/>
      <c r="IFN42" s="285"/>
      <c r="IFO42" s="285"/>
      <c r="IFP42" s="285"/>
      <c r="IFQ42" s="285"/>
      <c r="IFR42" s="285"/>
      <c r="IFS42" s="285"/>
      <c r="IFT42" s="285"/>
      <c r="IFU42" s="285"/>
      <c r="IFV42" s="285"/>
      <c r="IFW42" s="285"/>
      <c r="IFX42" s="285"/>
      <c r="IFY42" s="285"/>
      <c r="IFZ42" s="285"/>
      <c r="IGA42" s="285"/>
      <c r="IGB42" s="285"/>
      <c r="IGC42" s="285"/>
      <c r="IGD42" s="285"/>
      <c r="IGE42" s="285"/>
      <c r="IGF42" s="285"/>
      <c r="IGG42" s="285"/>
      <c r="IGH42" s="285"/>
      <c r="IGI42" s="285"/>
      <c r="IGJ42" s="285"/>
      <c r="IGK42" s="285"/>
      <c r="IGL42" s="285"/>
      <c r="IGM42" s="285"/>
      <c r="IGN42" s="285"/>
      <c r="IGO42" s="285"/>
      <c r="IGP42" s="285"/>
      <c r="IGQ42" s="285"/>
      <c r="IGR42" s="285"/>
      <c r="IGS42" s="285"/>
      <c r="IGT42" s="285"/>
      <c r="IGU42" s="285"/>
      <c r="IGV42" s="285"/>
      <c r="IGW42" s="285"/>
      <c r="IGX42" s="285"/>
      <c r="IGY42" s="285"/>
      <c r="IGZ42" s="285"/>
      <c r="IHA42" s="285"/>
      <c r="IHB42" s="285"/>
      <c r="IHC42" s="285"/>
      <c r="IHD42" s="285"/>
      <c r="IHE42" s="285"/>
      <c r="IHF42" s="285"/>
      <c r="IHG42" s="285"/>
      <c r="IHH42" s="285"/>
      <c r="IHI42" s="285"/>
      <c r="IHJ42" s="285"/>
      <c r="IHK42" s="285"/>
      <c r="IHL42" s="285"/>
      <c r="IHM42" s="285"/>
      <c r="IHN42" s="285"/>
      <c r="IHO42" s="285"/>
      <c r="IHP42" s="285"/>
      <c r="IHQ42" s="285"/>
      <c r="IHR42" s="285"/>
      <c r="IHS42" s="285"/>
      <c r="IHT42" s="285"/>
      <c r="IHU42" s="285"/>
      <c r="IHV42" s="285"/>
      <c r="IHW42" s="285"/>
      <c r="IHX42" s="285"/>
      <c r="IHY42" s="285"/>
      <c r="IHZ42" s="285"/>
      <c r="IIA42" s="285"/>
      <c r="IIB42" s="285"/>
      <c r="IIC42" s="285"/>
      <c r="IID42" s="285"/>
      <c r="IIE42" s="285"/>
      <c r="IIF42" s="285"/>
      <c r="IIG42" s="285"/>
      <c r="IIH42" s="285"/>
      <c r="III42" s="285"/>
      <c r="IIJ42" s="285"/>
      <c r="IIK42" s="285"/>
      <c r="IIL42" s="285"/>
      <c r="IIM42" s="285"/>
      <c r="IIN42" s="285"/>
      <c r="IIO42" s="285"/>
      <c r="IIP42" s="285"/>
      <c r="IIQ42" s="285"/>
      <c r="IIR42" s="285"/>
      <c r="IIS42" s="285"/>
      <c r="IIT42" s="285"/>
      <c r="IIU42" s="285"/>
      <c r="IIV42" s="285"/>
      <c r="IIW42" s="285"/>
      <c r="IIX42" s="285"/>
      <c r="IIY42" s="285"/>
      <c r="IIZ42" s="285"/>
      <c r="IJA42" s="285"/>
      <c r="IJB42" s="285"/>
      <c r="IJC42" s="285"/>
      <c r="IJD42" s="285"/>
      <c r="IJE42" s="285"/>
      <c r="IJF42" s="285"/>
      <c r="IJG42" s="285"/>
      <c r="IJH42" s="285"/>
      <c r="IJI42" s="285"/>
      <c r="IJJ42" s="285"/>
      <c r="IJK42" s="285"/>
      <c r="IJL42" s="285"/>
      <c r="IJM42" s="285"/>
      <c r="IJN42" s="285"/>
      <c r="IJO42" s="285"/>
      <c r="IJP42" s="285"/>
      <c r="IJQ42" s="285"/>
      <c r="IJR42" s="285"/>
      <c r="IJS42" s="285"/>
      <c r="IJT42" s="285"/>
      <c r="IJU42" s="285"/>
      <c r="IJV42" s="285"/>
      <c r="IJW42" s="285"/>
      <c r="IJX42" s="285"/>
      <c r="IJY42" s="285"/>
      <c r="IJZ42" s="285"/>
      <c r="IKA42" s="285"/>
      <c r="IKB42" s="285"/>
      <c r="IKC42" s="285"/>
      <c r="IKD42" s="285"/>
      <c r="IKE42" s="285"/>
      <c r="IKF42" s="285"/>
      <c r="IKG42" s="285"/>
      <c r="IKH42" s="285"/>
      <c r="IKI42" s="285"/>
      <c r="IKJ42" s="285"/>
      <c r="IKK42" s="285"/>
      <c r="IKL42" s="285"/>
      <c r="IKM42" s="285"/>
      <c r="IKN42" s="285"/>
      <c r="IKO42" s="285"/>
      <c r="IKP42" s="285"/>
      <c r="IKQ42" s="285"/>
      <c r="IKR42" s="285"/>
      <c r="IKS42" s="285"/>
      <c r="IKT42" s="285"/>
      <c r="IKU42" s="285"/>
      <c r="IKV42" s="285"/>
      <c r="IKW42" s="285"/>
      <c r="IKX42" s="285"/>
      <c r="IKY42" s="285"/>
      <c r="IKZ42" s="285"/>
      <c r="ILA42" s="285"/>
      <c r="ILB42" s="285"/>
      <c r="ILC42" s="285"/>
      <c r="ILD42" s="285"/>
      <c r="ILE42" s="285"/>
      <c r="ILF42" s="285"/>
      <c r="ILG42" s="285"/>
      <c r="ILH42" s="285"/>
      <c r="ILI42" s="285"/>
      <c r="ILJ42" s="285"/>
      <c r="ILK42" s="285"/>
      <c r="ILL42" s="285"/>
      <c r="ILM42" s="285"/>
      <c r="ILN42" s="285"/>
      <c r="ILO42" s="285"/>
      <c r="ILP42" s="285"/>
      <c r="ILQ42" s="285"/>
      <c r="ILR42" s="285"/>
      <c r="ILS42" s="285"/>
      <c r="ILT42" s="285"/>
      <c r="ILU42" s="285"/>
      <c r="ILV42" s="285"/>
      <c r="ILW42" s="285"/>
      <c r="ILX42" s="285"/>
      <c r="ILY42" s="285"/>
      <c r="ILZ42" s="285"/>
      <c r="IMA42" s="285"/>
      <c r="IMB42" s="285"/>
      <c r="IMC42" s="285"/>
      <c r="IMD42" s="285"/>
      <c r="IME42" s="285"/>
      <c r="IMF42" s="285"/>
      <c r="IMG42" s="285"/>
      <c r="IMH42" s="285"/>
      <c r="IMI42" s="285"/>
      <c r="IMJ42" s="285"/>
      <c r="IMK42" s="285"/>
      <c r="IML42" s="285"/>
      <c r="IMM42" s="285"/>
      <c r="IMN42" s="285"/>
      <c r="IMO42" s="285"/>
      <c r="IMP42" s="285"/>
      <c r="IMQ42" s="285"/>
      <c r="IMR42" s="285"/>
      <c r="IMS42" s="285"/>
      <c r="IMT42" s="285"/>
      <c r="IMU42" s="285"/>
      <c r="IMV42" s="285"/>
      <c r="IMW42" s="285"/>
      <c r="IMX42" s="285"/>
      <c r="IMY42" s="285"/>
      <c r="IMZ42" s="285"/>
      <c r="INA42" s="285"/>
      <c r="INB42" s="285"/>
      <c r="INC42" s="285"/>
      <c r="IND42" s="285"/>
      <c r="INE42" s="285"/>
      <c r="INF42" s="285"/>
      <c r="ING42" s="285"/>
      <c r="INH42" s="285"/>
      <c r="INI42" s="285"/>
      <c r="INJ42" s="285"/>
      <c r="INK42" s="285"/>
      <c r="INL42" s="285"/>
      <c r="INM42" s="285"/>
      <c r="INN42" s="285"/>
      <c r="INO42" s="285"/>
      <c r="INP42" s="285"/>
      <c r="INQ42" s="285"/>
      <c r="INR42" s="285"/>
      <c r="INS42" s="285"/>
      <c r="INT42" s="285"/>
      <c r="INU42" s="285"/>
      <c r="INV42" s="285"/>
      <c r="INW42" s="285"/>
      <c r="INX42" s="285"/>
      <c r="INY42" s="285"/>
      <c r="INZ42" s="285"/>
      <c r="IOA42" s="285"/>
      <c r="IOB42" s="285"/>
      <c r="IOC42" s="285"/>
      <c r="IOD42" s="285"/>
      <c r="IOE42" s="285"/>
      <c r="IOF42" s="285"/>
      <c r="IOG42" s="285"/>
      <c r="IOH42" s="285"/>
      <c r="IOI42" s="285"/>
      <c r="IOJ42" s="285"/>
      <c r="IOK42" s="285"/>
      <c r="IOL42" s="285"/>
      <c r="IOM42" s="285"/>
      <c r="ION42" s="285"/>
      <c r="IOO42" s="285"/>
      <c r="IOP42" s="285"/>
      <c r="IOQ42" s="285"/>
      <c r="IOR42" s="285"/>
      <c r="IOS42" s="285"/>
      <c r="IOT42" s="285"/>
      <c r="IOU42" s="285"/>
      <c r="IOV42" s="285"/>
      <c r="IOW42" s="285"/>
      <c r="IOX42" s="285"/>
      <c r="IOY42" s="285"/>
      <c r="IOZ42" s="285"/>
      <c r="IPA42" s="285"/>
      <c r="IPB42" s="285"/>
      <c r="IPC42" s="285"/>
      <c r="IPD42" s="285"/>
      <c r="IPE42" s="285"/>
      <c r="IPF42" s="285"/>
      <c r="IPG42" s="285"/>
      <c r="IPH42" s="285"/>
      <c r="IPI42" s="285"/>
      <c r="IPJ42" s="285"/>
      <c r="IPK42" s="285"/>
      <c r="IPL42" s="285"/>
      <c r="IPM42" s="285"/>
      <c r="IPN42" s="285"/>
      <c r="IPO42" s="285"/>
      <c r="IPP42" s="285"/>
      <c r="IPQ42" s="285"/>
      <c r="IPR42" s="285"/>
      <c r="IPS42" s="285"/>
      <c r="IPT42" s="285"/>
      <c r="IPU42" s="285"/>
      <c r="IPV42" s="285"/>
      <c r="IPW42" s="285"/>
      <c r="IPX42" s="285"/>
      <c r="IPY42" s="285"/>
      <c r="IPZ42" s="285"/>
      <c r="IQA42" s="285"/>
      <c r="IQB42" s="285"/>
      <c r="IQC42" s="285"/>
      <c r="IQD42" s="285"/>
      <c r="IQE42" s="285"/>
      <c r="IQF42" s="285"/>
      <c r="IQG42" s="285"/>
      <c r="IQH42" s="285"/>
      <c r="IQI42" s="285"/>
      <c r="IQJ42" s="285"/>
      <c r="IQK42" s="285"/>
      <c r="IQL42" s="285"/>
      <c r="IQM42" s="285"/>
      <c r="IQN42" s="285"/>
      <c r="IQO42" s="285"/>
      <c r="IQP42" s="285"/>
      <c r="IQQ42" s="285"/>
      <c r="IQR42" s="285"/>
      <c r="IQS42" s="285"/>
      <c r="IQT42" s="285"/>
      <c r="IQU42" s="285"/>
      <c r="IQV42" s="285"/>
      <c r="IQW42" s="285"/>
      <c r="IQX42" s="285"/>
      <c r="IQY42" s="285"/>
      <c r="IQZ42" s="285"/>
      <c r="IRA42" s="285"/>
      <c r="IRB42" s="285"/>
      <c r="IRC42" s="285"/>
      <c r="IRD42" s="285"/>
      <c r="IRE42" s="285"/>
      <c r="IRF42" s="285"/>
      <c r="IRG42" s="285"/>
      <c r="IRH42" s="285"/>
      <c r="IRI42" s="285"/>
      <c r="IRJ42" s="285"/>
      <c r="IRK42" s="285"/>
      <c r="IRL42" s="285"/>
      <c r="IRM42" s="285"/>
      <c r="IRN42" s="285"/>
      <c r="IRO42" s="285"/>
      <c r="IRP42" s="285"/>
      <c r="IRQ42" s="285"/>
      <c r="IRR42" s="285"/>
      <c r="IRS42" s="285"/>
      <c r="IRT42" s="285"/>
      <c r="IRU42" s="285"/>
      <c r="IRV42" s="285"/>
      <c r="IRW42" s="285"/>
      <c r="IRX42" s="285"/>
      <c r="IRY42" s="285"/>
      <c r="IRZ42" s="285"/>
      <c r="ISA42" s="285"/>
      <c r="ISB42" s="285"/>
      <c r="ISC42" s="285"/>
      <c r="ISD42" s="285"/>
      <c r="ISE42" s="285"/>
      <c r="ISF42" s="285"/>
      <c r="ISG42" s="285"/>
      <c r="ISH42" s="285"/>
      <c r="ISI42" s="285"/>
      <c r="ISJ42" s="285"/>
      <c r="ISK42" s="285"/>
      <c r="ISL42" s="285"/>
      <c r="ISM42" s="285"/>
      <c r="ISN42" s="285"/>
      <c r="ISO42" s="285"/>
      <c r="ISP42" s="285"/>
      <c r="ISQ42" s="285"/>
      <c r="ISR42" s="285"/>
      <c r="ISS42" s="285"/>
      <c r="IST42" s="285"/>
      <c r="ISU42" s="285"/>
      <c r="ISV42" s="285"/>
      <c r="ISW42" s="285"/>
      <c r="ISX42" s="285"/>
      <c r="ISY42" s="285"/>
      <c r="ISZ42" s="285"/>
      <c r="ITA42" s="285"/>
      <c r="ITB42" s="285"/>
      <c r="ITC42" s="285"/>
      <c r="ITD42" s="285"/>
      <c r="ITE42" s="285"/>
      <c r="ITF42" s="285"/>
      <c r="ITG42" s="285"/>
      <c r="ITH42" s="285"/>
      <c r="ITI42" s="285"/>
      <c r="ITJ42" s="285"/>
      <c r="ITK42" s="285"/>
      <c r="ITL42" s="285"/>
      <c r="ITM42" s="285"/>
      <c r="ITN42" s="285"/>
      <c r="ITO42" s="285"/>
      <c r="ITP42" s="285"/>
      <c r="ITQ42" s="285"/>
      <c r="ITR42" s="285"/>
      <c r="ITS42" s="285"/>
      <c r="ITT42" s="285"/>
      <c r="ITU42" s="285"/>
      <c r="ITV42" s="285"/>
      <c r="ITW42" s="285"/>
      <c r="ITX42" s="285"/>
      <c r="ITY42" s="285"/>
      <c r="ITZ42" s="285"/>
      <c r="IUA42" s="285"/>
      <c r="IUB42" s="285"/>
      <c r="IUC42" s="285"/>
      <c r="IUD42" s="285"/>
      <c r="IUE42" s="285"/>
      <c r="IUF42" s="285"/>
      <c r="IUG42" s="285"/>
      <c r="IUH42" s="285"/>
      <c r="IUI42" s="285"/>
      <c r="IUJ42" s="285"/>
      <c r="IUK42" s="285"/>
      <c r="IUL42" s="285"/>
      <c r="IUM42" s="285"/>
      <c r="IUN42" s="285"/>
      <c r="IUO42" s="285"/>
      <c r="IUP42" s="285"/>
      <c r="IUQ42" s="285"/>
      <c r="IUR42" s="285"/>
      <c r="IUS42" s="285"/>
      <c r="IUT42" s="285"/>
      <c r="IUU42" s="285"/>
      <c r="IUV42" s="285"/>
      <c r="IUW42" s="285"/>
      <c r="IUX42" s="285"/>
      <c r="IUY42" s="285"/>
      <c r="IUZ42" s="285"/>
      <c r="IVA42" s="285"/>
      <c r="IVB42" s="285"/>
      <c r="IVC42" s="285"/>
      <c r="IVD42" s="285"/>
      <c r="IVE42" s="285"/>
      <c r="IVF42" s="285"/>
      <c r="IVG42" s="285"/>
      <c r="IVH42" s="285"/>
      <c r="IVI42" s="285"/>
      <c r="IVJ42" s="285"/>
      <c r="IVK42" s="285"/>
      <c r="IVL42" s="285"/>
      <c r="IVM42" s="285"/>
      <c r="IVN42" s="285"/>
      <c r="IVO42" s="285"/>
      <c r="IVP42" s="285"/>
      <c r="IVQ42" s="285"/>
      <c r="IVR42" s="285"/>
      <c r="IVS42" s="285"/>
      <c r="IVT42" s="285"/>
      <c r="IVU42" s="285"/>
      <c r="IVV42" s="285"/>
      <c r="IVW42" s="285"/>
      <c r="IVX42" s="285"/>
      <c r="IVY42" s="285"/>
      <c r="IVZ42" s="285"/>
      <c r="IWA42" s="285"/>
      <c r="IWB42" s="285"/>
      <c r="IWC42" s="285"/>
      <c r="IWD42" s="285"/>
      <c r="IWE42" s="285"/>
      <c r="IWF42" s="285"/>
      <c r="IWG42" s="285"/>
      <c r="IWH42" s="285"/>
      <c r="IWI42" s="285"/>
      <c r="IWJ42" s="285"/>
      <c r="IWK42" s="285"/>
      <c r="IWL42" s="285"/>
      <c r="IWM42" s="285"/>
      <c r="IWN42" s="285"/>
      <c r="IWO42" s="285"/>
      <c r="IWP42" s="285"/>
      <c r="IWQ42" s="285"/>
      <c r="IWR42" s="285"/>
      <c r="IWS42" s="285"/>
      <c r="IWT42" s="285"/>
      <c r="IWU42" s="285"/>
      <c r="IWV42" s="285"/>
      <c r="IWW42" s="285"/>
      <c r="IWX42" s="285"/>
      <c r="IWY42" s="285"/>
      <c r="IWZ42" s="285"/>
      <c r="IXA42" s="285"/>
      <c r="IXB42" s="285"/>
      <c r="IXC42" s="285"/>
      <c r="IXD42" s="285"/>
      <c r="IXE42" s="285"/>
      <c r="IXF42" s="285"/>
      <c r="IXG42" s="285"/>
      <c r="IXH42" s="285"/>
      <c r="IXI42" s="285"/>
      <c r="IXJ42" s="285"/>
      <c r="IXK42" s="285"/>
      <c r="IXL42" s="285"/>
      <c r="IXM42" s="285"/>
      <c r="IXN42" s="285"/>
      <c r="IXO42" s="285"/>
      <c r="IXP42" s="285"/>
      <c r="IXQ42" s="285"/>
      <c r="IXR42" s="285"/>
      <c r="IXS42" s="285"/>
      <c r="IXT42" s="285"/>
      <c r="IXU42" s="285"/>
      <c r="IXV42" s="285"/>
      <c r="IXW42" s="285"/>
      <c r="IXX42" s="285"/>
      <c r="IXY42" s="285"/>
      <c r="IXZ42" s="285"/>
      <c r="IYA42" s="285"/>
      <c r="IYB42" s="285"/>
      <c r="IYC42" s="285"/>
      <c r="IYD42" s="285"/>
      <c r="IYE42" s="285"/>
      <c r="IYF42" s="285"/>
      <c r="IYG42" s="285"/>
      <c r="IYH42" s="285"/>
      <c r="IYI42" s="285"/>
      <c r="IYJ42" s="285"/>
      <c r="IYK42" s="285"/>
      <c r="IYL42" s="285"/>
      <c r="IYM42" s="285"/>
      <c r="IYN42" s="285"/>
      <c r="IYO42" s="285"/>
      <c r="IYP42" s="285"/>
      <c r="IYQ42" s="285"/>
      <c r="IYR42" s="285"/>
      <c r="IYS42" s="285"/>
      <c r="IYT42" s="285"/>
      <c r="IYU42" s="285"/>
      <c r="IYV42" s="285"/>
      <c r="IYW42" s="285"/>
      <c r="IYX42" s="285"/>
      <c r="IYY42" s="285"/>
      <c r="IYZ42" s="285"/>
      <c r="IZA42" s="285"/>
      <c r="IZB42" s="285"/>
      <c r="IZC42" s="285"/>
      <c r="IZD42" s="285"/>
      <c r="IZE42" s="285"/>
      <c r="IZF42" s="285"/>
      <c r="IZG42" s="285"/>
      <c r="IZH42" s="285"/>
      <c r="IZI42" s="285"/>
      <c r="IZJ42" s="285"/>
      <c r="IZK42" s="285"/>
      <c r="IZL42" s="285"/>
      <c r="IZM42" s="285"/>
      <c r="IZN42" s="285"/>
      <c r="IZO42" s="285"/>
      <c r="IZP42" s="285"/>
      <c r="IZQ42" s="285"/>
      <c r="IZR42" s="285"/>
      <c r="IZS42" s="285"/>
      <c r="IZT42" s="285"/>
      <c r="IZU42" s="285"/>
      <c r="IZV42" s="285"/>
      <c r="IZW42" s="285"/>
      <c r="IZX42" s="285"/>
      <c r="IZY42" s="285"/>
      <c r="IZZ42" s="285"/>
      <c r="JAA42" s="285"/>
      <c r="JAB42" s="285"/>
      <c r="JAC42" s="285"/>
      <c r="JAD42" s="285"/>
      <c r="JAE42" s="285"/>
      <c r="JAF42" s="285"/>
      <c r="JAG42" s="285"/>
      <c r="JAH42" s="285"/>
      <c r="JAI42" s="285"/>
      <c r="JAJ42" s="285"/>
      <c r="JAK42" s="285"/>
      <c r="JAL42" s="285"/>
      <c r="JAM42" s="285"/>
      <c r="JAN42" s="285"/>
      <c r="JAO42" s="285"/>
      <c r="JAP42" s="285"/>
      <c r="JAQ42" s="285"/>
      <c r="JAR42" s="285"/>
      <c r="JAS42" s="285"/>
      <c r="JAT42" s="285"/>
      <c r="JAU42" s="285"/>
      <c r="JAV42" s="285"/>
      <c r="JAW42" s="285"/>
      <c r="JAX42" s="285"/>
      <c r="JAY42" s="285"/>
      <c r="JAZ42" s="285"/>
      <c r="JBA42" s="285"/>
      <c r="JBB42" s="285"/>
      <c r="JBC42" s="285"/>
      <c r="JBD42" s="285"/>
      <c r="JBE42" s="285"/>
      <c r="JBF42" s="285"/>
      <c r="JBG42" s="285"/>
      <c r="JBH42" s="285"/>
      <c r="JBI42" s="285"/>
      <c r="JBJ42" s="285"/>
      <c r="JBK42" s="285"/>
      <c r="JBL42" s="285"/>
      <c r="JBM42" s="285"/>
      <c r="JBN42" s="285"/>
      <c r="JBO42" s="285"/>
      <c r="JBP42" s="285"/>
      <c r="JBQ42" s="285"/>
      <c r="JBR42" s="285"/>
      <c r="JBS42" s="285"/>
      <c r="JBT42" s="285"/>
      <c r="JBU42" s="285"/>
      <c r="JBV42" s="285"/>
      <c r="JBW42" s="285"/>
      <c r="JBX42" s="285"/>
      <c r="JBY42" s="285"/>
      <c r="JBZ42" s="285"/>
      <c r="JCA42" s="285"/>
      <c r="JCB42" s="285"/>
      <c r="JCC42" s="285"/>
      <c r="JCD42" s="285"/>
      <c r="JCE42" s="285"/>
      <c r="JCF42" s="285"/>
      <c r="JCG42" s="285"/>
      <c r="JCH42" s="285"/>
      <c r="JCI42" s="285"/>
      <c r="JCJ42" s="285"/>
      <c r="JCK42" s="285"/>
      <c r="JCL42" s="285"/>
      <c r="JCM42" s="285"/>
      <c r="JCN42" s="285"/>
      <c r="JCO42" s="285"/>
      <c r="JCP42" s="285"/>
      <c r="JCQ42" s="285"/>
      <c r="JCR42" s="285"/>
      <c r="JCS42" s="285"/>
      <c r="JCT42" s="285"/>
      <c r="JCU42" s="285"/>
      <c r="JCV42" s="285"/>
      <c r="JCW42" s="285"/>
      <c r="JCX42" s="285"/>
      <c r="JCY42" s="285"/>
      <c r="JCZ42" s="285"/>
      <c r="JDA42" s="285"/>
      <c r="JDB42" s="285"/>
      <c r="JDC42" s="285"/>
      <c r="JDD42" s="285"/>
      <c r="JDE42" s="285"/>
      <c r="JDF42" s="285"/>
      <c r="JDG42" s="285"/>
      <c r="JDH42" s="285"/>
      <c r="JDI42" s="285"/>
      <c r="JDJ42" s="285"/>
      <c r="JDK42" s="285"/>
      <c r="JDL42" s="285"/>
      <c r="JDM42" s="285"/>
      <c r="JDN42" s="285"/>
      <c r="JDO42" s="285"/>
      <c r="JDP42" s="285"/>
      <c r="JDQ42" s="285"/>
      <c r="JDR42" s="285"/>
      <c r="JDS42" s="285"/>
      <c r="JDT42" s="285"/>
      <c r="JDU42" s="285"/>
      <c r="JDV42" s="285"/>
      <c r="JDW42" s="285"/>
      <c r="JDX42" s="285"/>
      <c r="JDY42" s="285"/>
      <c r="JDZ42" s="285"/>
      <c r="JEA42" s="285"/>
      <c r="JEB42" s="285"/>
      <c r="JEC42" s="285"/>
      <c r="JED42" s="285"/>
      <c r="JEE42" s="285"/>
      <c r="JEF42" s="285"/>
      <c r="JEG42" s="285"/>
      <c r="JEH42" s="285"/>
      <c r="JEI42" s="285"/>
      <c r="JEJ42" s="285"/>
      <c r="JEK42" s="285"/>
      <c r="JEL42" s="285"/>
      <c r="JEM42" s="285"/>
      <c r="JEN42" s="285"/>
      <c r="JEO42" s="285"/>
      <c r="JEP42" s="285"/>
      <c r="JEQ42" s="285"/>
      <c r="JER42" s="285"/>
      <c r="JES42" s="285"/>
      <c r="JET42" s="285"/>
      <c r="JEU42" s="285"/>
      <c r="JEV42" s="285"/>
      <c r="JEW42" s="285"/>
      <c r="JEX42" s="285"/>
      <c r="JEY42" s="285"/>
      <c r="JEZ42" s="285"/>
      <c r="JFA42" s="285"/>
      <c r="JFB42" s="285"/>
      <c r="JFC42" s="285"/>
      <c r="JFD42" s="285"/>
      <c r="JFE42" s="285"/>
      <c r="JFF42" s="285"/>
      <c r="JFG42" s="285"/>
      <c r="JFH42" s="285"/>
      <c r="JFI42" s="285"/>
      <c r="JFJ42" s="285"/>
      <c r="JFK42" s="285"/>
      <c r="JFL42" s="285"/>
      <c r="JFM42" s="285"/>
      <c r="JFN42" s="285"/>
      <c r="JFO42" s="285"/>
      <c r="JFP42" s="285"/>
      <c r="JFQ42" s="285"/>
      <c r="JFR42" s="285"/>
      <c r="JFS42" s="285"/>
      <c r="JFT42" s="285"/>
      <c r="JFU42" s="285"/>
      <c r="JFV42" s="285"/>
      <c r="JFW42" s="285"/>
      <c r="JFX42" s="285"/>
      <c r="JFY42" s="285"/>
      <c r="JFZ42" s="285"/>
      <c r="JGA42" s="285"/>
      <c r="JGB42" s="285"/>
      <c r="JGC42" s="285"/>
      <c r="JGD42" s="285"/>
      <c r="JGE42" s="285"/>
      <c r="JGF42" s="285"/>
      <c r="JGG42" s="285"/>
      <c r="JGH42" s="285"/>
      <c r="JGI42" s="285"/>
      <c r="JGJ42" s="285"/>
      <c r="JGK42" s="285"/>
      <c r="JGL42" s="285"/>
      <c r="JGM42" s="285"/>
      <c r="JGN42" s="285"/>
      <c r="JGO42" s="285"/>
      <c r="JGP42" s="285"/>
      <c r="JGQ42" s="285"/>
      <c r="JGR42" s="285"/>
      <c r="JGS42" s="285"/>
      <c r="JGT42" s="285"/>
      <c r="JGU42" s="285"/>
      <c r="JGV42" s="285"/>
      <c r="JGW42" s="285"/>
      <c r="JGX42" s="285"/>
      <c r="JGY42" s="285"/>
      <c r="JGZ42" s="285"/>
      <c r="JHA42" s="285"/>
      <c r="JHB42" s="285"/>
      <c r="JHC42" s="285"/>
      <c r="JHD42" s="285"/>
      <c r="JHE42" s="285"/>
      <c r="JHF42" s="285"/>
      <c r="JHG42" s="285"/>
      <c r="JHH42" s="285"/>
      <c r="JHI42" s="285"/>
      <c r="JHJ42" s="285"/>
      <c r="JHK42" s="285"/>
      <c r="JHL42" s="285"/>
      <c r="JHM42" s="285"/>
      <c r="JHN42" s="285"/>
      <c r="JHO42" s="285"/>
      <c r="JHP42" s="285"/>
      <c r="JHQ42" s="285"/>
      <c r="JHR42" s="285"/>
      <c r="JHS42" s="285"/>
      <c r="JHT42" s="285"/>
      <c r="JHU42" s="285"/>
      <c r="JHV42" s="285"/>
      <c r="JHW42" s="285"/>
      <c r="JHX42" s="285"/>
      <c r="JHY42" s="285"/>
      <c r="JHZ42" s="285"/>
      <c r="JIA42" s="285"/>
      <c r="JIB42" s="285"/>
      <c r="JIC42" s="285"/>
      <c r="JID42" s="285"/>
      <c r="JIE42" s="285"/>
      <c r="JIF42" s="285"/>
      <c r="JIG42" s="285"/>
      <c r="JIH42" s="285"/>
      <c r="JII42" s="285"/>
      <c r="JIJ42" s="285"/>
      <c r="JIK42" s="285"/>
      <c r="JIL42" s="285"/>
      <c r="JIM42" s="285"/>
      <c r="JIN42" s="285"/>
      <c r="JIO42" s="285"/>
      <c r="JIP42" s="285"/>
      <c r="JIQ42" s="285"/>
      <c r="JIR42" s="285"/>
      <c r="JIS42" s="285"/>
      <c r="JIT42" s="285"/>
      <c r="JIU42" s="285"/>
      <c r="JIV42" s="285"/>
      <c r="JIW42" s="285"/>
      <c r="JIX42" s="285"/>
      <c r="JIY42" s="285"/>
      <c r="JIZ42" s="285"/>
      <c r="JJA42" s="285"/>
      <c r="JJB42" s="285"/>
      <c r="JJC42" s="285"/>
      <c r="JJD42" s="285"/>
      <c r="JJE42" s="285"/>
      <c r="JJF42" s="285"/>
      <c r="JJG42" s="285"/>
      <c r="JJH42" s="285"/>
      <c r="JJI42" s="285"/>
      <c r="JJJ42" s="285"/>
      <c r="JJK42" s="285"/>
      <c r="JJL42" s="285"/>
      <c r="JJM42" s="285"/>
      <c r="JJN42" s="285"/>
      <c r="JJO42" s="285"/>
      <c r="JJP42" s="285"/>
      <c r="JJQ42" s="285"/>
      <c r="JJR42" s="285"/>
      <c r="JJS42" s="285"/>
      <c r="JJT42" s="285"/>
      <c r="JJU42" s="285"/>
      <c r="JJV42" s="285"/>
      <c r="JJW42" s="285"/>
      <c r="JJX42" s="285"/>
      <c r="JJY42" s="285"/>
      <c r="JJZ42" s="285"/>
      <c r="JKA42" s="285"/>
      <c r="JKB42" s="285"/>
      <c r="JKC42" s="285"/>
      <c r="JKD42" s="285"/>
      <c r="JKE42" s="285"/>
      <c r="JKF42" s="285"/>
      <c r="JKG42" s="285"/>
      <c r="JKH42" s="285"/>
      <c r="JKI42" s="285"/>
      <c r="JKJ42" s="285"/>
      <c r="JKK42" s="285"/>
      <c r="JKL42" s="285"/>
      <c r="JKM42" s="285"/>
      <c r="JKN42" s="285"/>
      <c r="JKO42" s="285"/>
      <c r="JKP42" s="285"/>
      <c r="JKQ42" s="285"/>
      <c r="JKR42" s="285"/>
      <c r="JKS42" s="285"/>
      <c r="JKT42" s="285"/>
      <c r="JKU42" s="285"/>
      <c r="JKV42" s="285"/>
      <c r="JKW42" s="285"/>
      <c r="JKX42" s="285"/>
      <c r="JKY42" s="285"/>
      <c r="JKZ42" s="285"/>
      <c r="JLA42" s="285"/>
      <c r="JLB42" s="285"/>
      <c r="JLC42" s="285"/>
      <c r="JLD42" s="285"/>
      <c r="JLE42" s="285"/>
      <c r="JLF42" s="285"/>
      <c r="JLG42" s="285"/>
      <c r="JLH42" s="285"/>
      <c r="JLI42" s="285"/>
      <c r="JLJ42" s="285"/>
      <c r="JLK42" s="285"/>
      <c r="JLL42" s="285"/>
      <c r="JLM42" s="285"/>
      <c r="JLN42" s="285"/>
      <c r="JLO42" s="285"/>
      <c r="JLP42" s="285"/>
      <c r="JLQ42" s="285"/>
      <c r="JLR42" s="285"/>
      <c r="JLS42" s="285"/>
      <c r="JLT42" s="285"/>
      <c r="JLU42" s="285"/>
      <c r="JLV42" s="285"/>
      <c r="JLW42" s="285"/>
      <c r="JLX42" s="285"/>
      <c r="JLY42" s="285"/>
      <c r="JLZ42" s="285"/>
      <c r="JMA42" s="285"/>
      <c r="JMB42" s="285"/>
      <c r="JMC42" s="285"/>
      <c r="JMD42" s="285"/>
      <c r="JME42" s="285"/>
      <c r="JMF42" s="285"/>
      <c r="JMG42" s="285"/>
      <c r="JMH42" s="285"/>
      <c r="JMI42" s="285"/>
      <c r="JMJ42" s="285"/>
      <c r="JMK42" s="285"/>
      <c r="JML42" s="285"/>
      <c r="JMM42" s="285"/>
      <c r="JMN42" s="285"/>
      <c r="JMO42" s="285"/>
      <c r="JMP42" s="285"/>
      <c r="JMQ42" s="285"/>
      <c r="JMR42" s="285"/>
      <c r="JMS42" s="285"/>
      <c r="JMT42" s="285"/>
      <c r="JMU42" s="285"/>
      <c r="JMV42" s="285"/>
      <c r="JMW42" s="285"/>
      <c r="JMX42" s="285"/>
      <c r="JMY42" s="285"/>
      <c r="JMZ42" s="285"/>
      <c r="JNA42" s="285"/>
      <c r="JNB42" s="285"/>
      <c r="JNC42" s="285"/>
      <c r="JND42" s="285"/>
      <c r="JNE42" s="285"/>
      <c r="JNF42" s="285"/>
      <c r="JNG42" s="285"/>
      <c r="JNH42" s="285"/>
      <c r="JNI42" s="285"/>
      <c r="JNJ42" s="285"/>
      <c r="JNK42" s="285"/>
      <c r="JNL42" s="285"/>
      <c r="JNM42" s="285"/>
      <c r="JNN42" s="285"/>
      <c r="JNO42" s="285"/>
      <c r="JNP42" s="285"/>
      <c r="JNQ42" s="285"/>
      <c r="JNR42" s="285"/>
      <c r="JNS42" s="285"/>
      <c r="JNT42" s="285"/>
      <c r="JNU42" s="285"/>
      <c r="JNV42" s="285"/>
      <c r="JNW42" s="285"/>
      <c r="JNX42" s="285"/>
      <c r="JNY42" s="285"/>
      <c r="JNZ42" s="285"/>
      <c r="JOA42" s="285"/>
      <c r="JOB42" s="285"/>
      <c r="JOC42" s="285"/>
      <c r="JOD42" s="285"/>
      <c r="JOE42" s="285"/>
      <c r="JOF42" s="285"/>
      <c r="JOG42" s="285"/>
      <c r="JOH42" s="285"/>
      <c r="JOI42" s="285"/>
      <c r="JOJ42" s="285"/>
      <c r="JOK42" s="285"/>
      <c r="JOL42" s="285"/>
      <c r="JOM42" s="285"/>
      <c r="JON42" s="285"/>
      <c r="JOO42" s="285"/>
      <c r="JOP42" s="285"/>
      <c r="JOQ42" s="285"/>
      <c r="JOR42" s="285"/>
      <c r="JOS42" s="285"/>
      <c r="JOT42" s="285"/>
      <c r="JOU42" s="285"/>
      <c r="JOV42" s="285"/>
      <c r="JOW42" s="285"/>
      <c r="JOX42" s="285"/>
      <c r="JOY42" s="285"/>
      <c r="JOZ42" s="285"/>
      <c r="JPA42" s="285"/>
      <c r="JPB42" s="285"/>
      <c r="JPC42" s="285"/>
      <c r="JPD42" s="285"/>
      <c r="JPE42" s="285"/>
      <c r="JPF42" s="285"/>
      <c r="JPG42" s="285"/>
      <c r="JPH42" s="285"/>
      <c r="JPI42" s="285"/>
      <c r="JPJ42" s="285"/>
      <c r="JPK42" s="285"/>
      <c r="JPL42" s="285"/>
      <c r="JPM42" s="285"/>
      <c r="JPN42" s="285"/>
      <c r="JPO42" s="285"/>
      <c r="JPP42" s="285"/>
      <c r="JPQ42" s="285"/>
      <c r="JPR42" s="285"/>
      <c r="JPS42" s="285"/>
      <c r="JPT42" s="285"/>
      <c r="JPU42" s="285"/>
      <c r="JPV42" s="285"/>
      <c r="JPW42" s="285"/>
      <c r="JPX42" s="285"/>
      <c r="JPY42" s="285"/>
      <c r="JPZ42" s="285"/>
      <c r="JQA42" s="285"/>
      <c r="JQB42" s="285"/>
      <c r="JQC42" s="285"/>
      <c r="JQD42" s="285"/>
      <c r="JQE42" s="285"/>
      <c r="JQF42" s="285"/>
      <c r="JQG42" s="285"/>
      <c r="JQH42" s="285"/>
      <c r="JQI42" s="285"/>
      <c r="JQJ42" s="285"/>
      <c r="JQK42" s="285"/>
      <c r="JQL42" s="285"/>
      <c r="JQM42" s="285"/>
      <c r="JQN42" s="285"/>
      <c r="JQO42" s="285"/>
      <c r="JQP42" s="285"/>
      <c r="JQQ42" s="285"/>
      <c r="JQR42" s="285"/>
      <c r="JQS42" s="285"/>
      <c r="JQT42" s="285"/>
      <c r="JQU42" s="285"/>
      <c r="JQV42" s="285"/>
      <c r="JQW42" s="285"/>
      <c r="JQX42" s="285"/>
      <c r="JQY42" s="285"/>
      <c r="JQZ42" s="285"/>
      <c r="JRA42" s="285"/>
      <c r="JRB42" s="285"/>
      <c r="JRC42" s="285"/>
      <c r="JRD42" s="285"/>
      <c r="JRE42" s="285"/>
      <c r="JRF42" s="285"/>
      <c r="JRG42" s="285"/>
      <c r="JRH42" s="285"/>
      <c r="JRI42" s="285"/>
      <c r="JRJ42" s="285"/>
      <c r="JRK42" s="285"/>
      <c r="JRL42" s="285"/>
      <c r="JRM42" s="285"/>
      <c r="JRN42" s="285"/>
      <c r="JRO42" s="285"/>
      <c r="JRP42" s="285"/>
      <c r="JRQ42" s="285"/>
      <c r="JRR42" s="285"/>
      <c r="JRS42" s="285"/>
      <c r="JRT42" s="285"/>
      <c r="JRU42" s="285"/>
      <c r="JRV42" s="285"/>
      <c r="JRW42" s="285"/>
      <c r="JRX42" s="285"/>
      <c r="JRY42" s="285"/>
      <c r="JRZ42" s="285"/>
      <c r="JSA42" s="285"/>
      <c r="JSB42" s="285"/>
      <c r="JSC42" s="285"/>
      <c r="JSD42" s="285"/>
      <c r="JSE42" s="285"/>
      <c r="JSF42" s="285"/>
      <c r="JSG42" s="285"/>
      <c r="JSH42" s="285"/>
      <c r="JSI42" s="285"/>
      <c r="JSJ42" s="285"/>
      <c r="JSK42" s="285"/>
      <c r="JSL42" s="285"/>
      <c r="JSM42" s="285"/>
      <c r="JSN42" s="285"/>
      <c r="JSO42" s="285"/>
      <c r="JSP42" s="285"/>
      <c r="JSQ42" s="285"/>
      <c r="JSR42" s="285"/>
      <c r="JSS42" s="285"/>
      <c r="JST42" s="285"/>
      <c r="JSU42" s="285"/>
      <c r="JSV42" s="285"/>
      <c r="JSW42" s="285"/>
      <c r="JSX42" s="285"/>
      <c r="JSY42" s="285"/>
      <c r="JSZ42" s="285"/>
      <c r="JTA42" s="285"/>
      <c r="JTB42" s="285"/>
      <c r="JTC42" s="285"/>
      <c r="JTD42" s="285"/>
      <c r="JTE42" s="285"/>
      <c r="JTF42" s="285"/>
      <c r="JTG42" s="285"/>
      <c r="JTH42" s="285"/>
      <c r="JTI42" s="285"/>
      <c r="JTJ42" s="285"/>
      <c r="JTK42" s="285"/>
      <c r="JTL42" s="285"/>
      <c r="JTM42" s="285"/>
      <c r="JTN42" s="285"/>
      <c r="JTO42" s="285"/>
      <c r="JTP42" s="285"/>
      <c r="JTQ42" s="285"/>
      <c r="JTR42" s="285"/>
      <c r="JTS42" s="285"/>
      <c r="JTT42" s="285"/>
      <c r="JTU42" s="285"/>
      <c r="JTV42" s="285"/>
      <c r="JTW42" s="285"/>
      <c r="JTX42" s="285"/>
      <c r="JTY42" s="285"/>
      <c r="JTZ42" s="285"/>
      <c r="JUA42" s="285"/>
      <c r="JUB42" s="285"/>
      <c r="JUC42" s="285"/>
      <c r="JUD42" s="285"/>
      <c r="JUE42" s="285"/>
      <c r="JUF42" s="285"/>
      <c r="JUG42" s="285"/>
      <c r="JUH42" s="285"/>
      <c r="JUI42" s="285"/>
      <c r="JUJ42" s="285"/>
      <c r="JUK42" s="285"/>
      <c r="JUL42" s="285"/>
      <c r="JUM42" s="285"/>
      <c r="JUN42" s="285"/>
      <c r="JUO42" s="285"/>
      <c r="JUP42" s="285"/>
      <c r="JUQ42" s="285"/>
      <c r="JUR42" s="285"/>
      <c r="JUS42" s="285"/>
      <c r="JUT42" s="285"/>
      <c r="JUU42" s="285"/>
      <c r="JUV42" s="285"/>
      <c r="JUW42" s="285"/>
      <c r="JUX42" s="285"/>
      <c r="JUY42" s="285"/>
      <c r="JUZ42" s="285"/>
      <c r="JVA42" s="285"/>
      <c r="JVB42" s="285"/>
      <c r="JVC42" s="285"/>
      <c r="JVD42" s="285"/>
      <c r="JVE42" s="285"/>
      <c r="JVF42" s="285"/>
      <c r="JVG42" s="285"/>
      <c r="JVH42" s="285"/>
      <c r="JVI42" s="285"/>
      <c r="JVJ42" s="285"/>
      <c r="JVK42" s="285"/>
      <c r="JVL42" s="285"/>
      <c r="JVM42" s="285"/>
      <c r="JVN42" s="285"/>
      <c r="JVO42" s="285"/>
      <c r="JVP42" s="285"/>
      <c r="JVQ42" s="285"/>
      <c r="JVR42" s="285"/>
      <c r="JVS42" s="285"/>
      <c r="JVT42" s="285"/>
      <c r="JVU42" s="285"/>
      <c r="JVV42" s="285"/>
      <c r="JVW42" s="285"/>
      <c r="JVX42" s="285"/>
      <c r="JVY42" s="285"/>
      <c r="JVZ42" s="285"/>
      <c r="JWA42" s="285"/>
      <c r="JWB42" s="285"/>
      <c r="JWC42" s="285"/>
      <c r="JWD42" s="285"/>
      <c r="JWE42" s="285"/>
      <c r="JWF42" s="285"/>
      <c r="JWG42" s="285"/>
      <c r="JWH42" s="285"/>
      <c r="JWI42" s="285"/>
      <c r="JWJ42" s="285"/>
      <c r="JWK42" s="285"/>
      <c r="JWL42" s="285"/>
      <c r="JWM42" s="285"/>
      <c r="JWN42" s="285"/>
      <c r="JWO42" s="285"/>
      <c r="JWP42" s="285"/>
      <c r="JWQ42" s="285"/>
      <c r="JWR42" s="285"/>
      <c r="JWS42" s="285"/>
      <c r="JWT42" s="285"/>
      <c r="JWU42" s="285"/>
      <c r="JWV42" s="285"/>
      <c r="JWW42" s="285"/>
      <c r="JWX42" s="285"/>
      <c r="JWY42" s="285"/>
      <c r="JWZ42" s="285"/>
      <c r="JXA42" s="285"/>
      <c r="JXB42" s="285"/>
      <c r="JXC42" s="285"/>
      <c r="JXD42" s="285"/>
      <c r="JXE42" s="285"/>
      <c r="JXF42" s="285"/>
      <c r="JXG42" s="285"/>
      <c r="JXH42" s="285"/>
      <c r="JXI42" s="285"/>
      <c r="JXJ42" s="285"/>
      <c r="JXK42" s="285"/>
      <c r="JXL42" s="285"/>
      <c r="JXM42" s="285"/>
      <c r="JXN42" s="285"/>
      <c r="JXO42" s="285"/>
      <c r="JXP42" s="285"/>
      <c r="JXQ42" s="285"/>
      <c r="JXR42" s="285"/>
      <c r="JXS42" s="285"/>
      <c r="JXT42" s="285"/>
      <c r="JXU42" s="285"/>
      <c r="JXV42" s="285"/>
      <c r="JXW42" s="285"/>
      <c r="JXX42" s="285"/>
      <c r="JXY42" s="285"/>
      <c r="JXZ42" s="285"/>
      <c r="JYA42" s="285"/>
      <c r="JYB42" s="285"/>
      <c r="JYC42" s="285"/>
      <c r="JYD42" s="285"/>
      <c r="JYE42" s="285"/>
      <c r="JYF42" s="285"/>
      <c r="JYG42" s="285"/>
      <c r="JYH42" s="285"/>
      <c r="JYI42" s="285"/>
      <c r="JYJ42" s="285"/>
      <c r="JYK42" s="285"/>
      <c r="JYL42" s="285"/>
      <c r="JYM42" s="285"/>
      <c r="JYN42" s="285"/>
      <c r="JYO42" s="285"/>
      <c r="JYP42" s="285"/>
      <c r="JYQ42" s="285"/>
      <c r="JYR42" s="285"/>
      <c r="JYS42" s="285"/>
      <c r="JYT42" s="285"/>
      <c r="JYU42" s="285"/>
      <c r="JYV42" s="285"/>
      <c r="JYW42" s="285"/>
      <c r="JYX42" s="285"/>
      <c r="JYY42" s="285"/>
      <c r="JYZ42" s="285"/>
      <c r="JZA42" s="285"/>
      <c r="JZB42" s="285"/>
      <c r="JZC42" s="285"/>
      <c r="JZD42" s="285"/>
      <c r="JZE42" s="285"/>
      <c r="JZF42" s="285"/>
      <c r="JZG42" s="285"/>
      <c r="JZH42" s="285"/>
      <c r="JZI42" s="285"/>
      <c r="JZJ42" s="285"/>
      <c r="JZK42" s="285"/>
      <c r="JZL42" s="285"/>
      <c r="JZM42" s="285"/>
      <c r="JZN42" s="285"/>
      <c r="JZO42" s="285"/>
      <c r="JZP42" s="285"/>
      <c r="JZQ42" s="285"/>
      <c r="JZR42" s="285"/>
      <c r="JZS42" s="285"/>
      <c r="JZT42" s="285"/>
      <c r="JZU42" s="285"/>
      <c r="JZV42" s="285"/>
      <c r="JZW42" s="285"/>
      <c r="JZX42" s="285"/>
      <c r="JZY42" s="285"/>
      <c r="JZZ42" s="285"/>
      <c r="KAA42" s="285"/>
      <c r="KAB42" s="285"/>
      <c r="KAC42" s="285"/>
      <c r="KAD42" s="285"/>
      <c r="KAE42" s="285"/>
      <c r="KAF42" s="285"/>
      <c r="KAG42" s="285"/>
      <c r="KAH42" s="285"/>
      <c r="KAI42" s="285"/>
      <c r="KAJ42" s="285"/>
      <c r="KAK42" s="285"/>
      <c r="KAL42" s="285"/>
      <c r="KAM42" s="285"/>
      <c r="KAN42" s="285"/>
      <c r="KAO42" s="285"/>
      <c r="KAP42" s="285"/>
      <c r="KAQ42" s="285"/>
      <c r="KAR42" s="285"/>
      <c r="KAS42" s="285"/>
      <c r="KAT42" s="285"/>
      <c r="KAU42" s="285"/>
      <c r="KAV42" s="285"/>
      <c r="KAW42" s="285"/>
      <c r="KAX42" s="285"/>
      <c r="KAY42" s="285"/>
      <c r="KAZ42" s="285"/>
      <c r="KBA42" s="285"/>
      <c r="KBB42" s="285"/>
      <c r="KBC42" s="285"/>
      <c r="KBD42" s="285"/>
      <c r="KBE42" s="285"/>
      <c r="KBF42" s="285"/>
      <c r="KBG42" s="285"/>
      <c r="KBH42" s="285"/>
      <c r="KBI42" s="285"/>
      <c r="KBJ42" s="285"/>
      <c r="KBK42" s="285"/>
      <c r="KBL42" s="285"/>
      <c r="KBM42" s="285"/>
      <c r="KBN42" s="285"/>
      <c r="KBO42" s="285"/>
      <c r="KBP42" s="285"/>
      <c r="KBQ42" s="285"/>
      <c r="KBR42" s="285"/>
      <c r="KBS42" s="285"/>
      <c r="KBT42" s="285"/>
      <c r="KBU42" s="285"/>
      <c r="KBV42" s="285"/>
      <c r="KBW42" s="285"/>
      <c r="KBX42" s="285"/>
      <c r="KBY42" s="285"/>
      <c r="KBZ42" s="285"/>
      <c r="KCA42" s="285"/>
      <c r="KCB42" s="285"/>
      <c r="KCC42" s="285"/>
      <c r="KCD42" s="285"/>
      <c r="KCE42" s="285"/>
      <c r="KCF42" s="285"/>
      <c r="KCG42" s="285"/>
      <c r="KCH42" s="285"/>
      <c r="KCI42" s="285"/>
      <c r="KCJ42" s="285"/>
      <c r="KCK42" s="285"/>
      <c r="KCL42" s="285"/>
      <c r="KCM42" s="285"/>
      <c r="KCN42" s="285"/>
      <c r="KCO42" s="285"/>
      <c r="KCP42" s="285"/>
      <c r="KCQ42" s="285"/>
      <c r="KCR42" s="285"/>
      <c r="KCS42" s="285"/>
      <c r="KCT42" s="285"/>
      <c r="KCU42" s="285"/>
      <c r="KCV42" s="285"/>
      <c r="KCW42" s="285"/>
      <c r="KCX42" s="285"/>
      <c r="KCY42" s="285"/>
      <c r="KCZ42" s="285"/>
      <c r="KDA42" s="285"/>
      <c r="KDB42" s="285"/>
      <c r="KDC42" s="285"/>
      <c r="KDD42" s="285"/>
      <c r="KDE42" s="285"/>
      <c r="KDF42" s="285"/>
      <c r="KDG42" s="285"/>
      <c r="KDH42" s="285"/>
      <c r="KDI42" s="285"/>
      <c r="KDJ42" s="285"/>
      <c r="KDK42" s="285"/>
      <c r="KDL42" s="285"/>
      <c r="KDM42" s="285"/>
      <c r="KDN42" s="285"/>
      <c r="KDO42" s="285"/>
      <c r="KDP42" s="285"/>
      <c r="KDQ42" s="285"/>
      <c r="KDR42" s="285"/>
      <c r="KDS42" s="285"/>
      <c r="KDT42" s="285"/>
      <c r="KDU42" s="285"/>
      <c r="KDV42" s="285"/>
      <c r="KDW42" s="285"/>
      <c r="KDX42" s="285"/>
      <c r="KDY42" s="285"/>
      <c r="KDZ42" s="285"/>
      <c r="KEA42" s="285"/>
      <c r="KEB42" s="285"/>
      <c r="KEC42" s="285"/>
      <c r="KED42" s="285"/>
      <c r="KEE42" s="285"/>
      <c r="KEF42" s="285"/>
      <c r="KEG42" s="285"/>
      <c r="KEH42" s="285"/>
      <c r="KEI42" s="285"/>
      <c r="KEJ42" s="285"/>
      <c r="KEK42" s="285"/>
      <c r="KEL42" s="285"/>
      <c r="KEM42" s="285"/>
      <c r="KEN42" s="285"/>
      <c r="KEO42" s="285"/>
      <c r="KEP42" s="285"/>
      <c r="KEQ42" s="285"/>
      <c r="KER42" s="285"/>
      <c r="KES42" s="285"/>
      <c r="KET42" s="285"/>
      <c r="KEU42" s="285"/>
      <c r="KEV42" s="285"/>
      <c r="KEW42" s="285"/>
      <c r="KEX42" s="285"/>
      <c r="KEY42" s="285"/>
      <c r="KEZ42" s="285"/>
      <c r="KFA42" s="285"/>
      <c r="KFB42" s="285"/>
      <c r="KFC42" s="285"/>
      <c r="KFD42" s="285"/>
      <c r="KFE42" s="285"/>
      <c r="KFF42" s="285"/>
      <c r="KFG42" s="285"/>
      <c r="KFH42" s="285"/>
      <c r="KFI42" s="285"/>
      <c r="KFJ42" s="285"/>
      <c r="KFK42" s="285"/>
      <c r="KFL42" s="285"/>
      <c r="KFM42" s="285"/>
      <c r="KFN42" s="285"/>
      <c r="KFO42" s="285"/>
      <c r="KFP42" s="285"/>
      <c r="KFQ42" s="285"/>
      <c r="KFR42" s="285"/>
      <c r="KFS42" s="285"/>
      <c r="KFT42" s="285"/>
      <c r="KFU42" s="285"/>
      <c r="KFV42" s="285"/>
      <c r="KFW42" s="285"/>
      <c r="KFX42" s="285"/>
      <c r="KFY42" s="285"/>
      <c r="KFZ42" s="285"/>
      <c r="KGA42" s="285"/>
      <c r="KGB42" s="285"/>
      <c r="KGC42" s="285"/>
      <c r="KGD42" s="285"/>
      <c r="KGE42" s="285"/>
      <c r="KGF42" s="285"/>
      <c r="KGG42" s="285"/>
      <c r="KGH42" s="285"/>
      <c r="KGI42" s="285"/>
      <c r="KGJ42" s="285"/>
      <c r="KGK42" s="285"/>
      <c r="KGL42" s="285"/>
      <c r="KGM42" s="285"/>
      <c r="KGN42" s="285"/>
      <c r="KGO42" s="285"/>
      <c r="KGP42" s="285"/>
      <c r="KGQ42" s="285"/>
      <c r="KGR42" s="285"/>
      <c r="KGS42" s="285"/>
      <c r="KGT42" s="285"/>
      <c r="KGU42" s="285"/>
      <c r="KGV42" s="285"/>
      <c r="KGW42" s="285"/>
      <c r="KGX42" s="285"/>
      <c r="KGY42" s="285"/>
      <c r="KGZ42" s="285"/>
      <c r="KHA42" s="285"/>
      <c r="KHB42" s="285"/>
      <c r="KHC42" s="285"/>
      <c r="KHD42" s="285"/>
      <c r="KHE42" s="285"/>
      <c r="KHF42" s="285"/>
      <c r="KHG42" s="285"/>
      <c r="KHH42" s="285"/>
      <c r="KHI42" s="285"/>
      <c r="KHJ42" s="285"/>
      <c r="KHK42" s="285"/>
      <c r="KHL42" s="285"/>
      <c r="KHM42" s="285"/>
      <c r="KHN42" s="285"/>
      <c r="KHO42" s="285"/>
      <c r="KHP42" s="285"/>
      <c r="KHQ42" s="285"/>
      <c r="KHR42" s="285"/>
      <c r="KHS42" s="285"/>
      <c r="KHT42" s="285"/>
      <c r="KHU42" s="285"/>
      <c r="KHV42" s="285"/>
      <c r="KHW42" s="285"/>
      <c r="KHX42" s="285"/>
      <c r="KHY42" s="285"/>
      <c r="KHZ42" s="285"/>
      <c r="KIA42" s="285"/>
      <c r="KIB42" s="285"/>
      <c r="KIC42" s="285"/>
      <c r="KID42" s="285"/>
      <c r="KIE42" s="285"/>
      <c r="KIF42" s="285"/>
      <c r="KIG42" s="285"/>
      <c r="KIH42" s="285"/>
      <c r="KII42" s="285"/>
      <c r="KIJ42" s="285"/>
      <c r="KIK42" s="285"/>
      <c r="KIL42" s="285"/>
      <c r="KIM42" s="285"/>
      <c r="KIN42" s="285"/>
      <c r="KIO42" s="285"/>
      <c r="KIP42" s="285"/>
      <c r="KIQ42" s="285"/>
      <c r="KIR42" s="285"/>
      <c r="KIS42" s="285"/>
      <c r="KIT42" s="285"/>
      <c r="KIU42" s="285"/>
      <c r="KIV42" s="285"/>
      <c r="KIW42" s="285"/>
      <c r="KIX42" s="285"/>
      <c r="KIY42" s="285"/>
      <c r="KIZ42" s="285"/>
      <c r="KJA42" s="285"/>
      <c r="KJB42" s="285"/>
      <c r="KJC42" s="285"/>
      <c r="KJD42" s="285"/>
      <c r="KJE42" s="285"/>
      <c r="KJF42" s="285"/>
      <c r="KJG42" s="285"/>
      <c r="KJH42" s="285"/>
      <c r="KJI42" s="285"/>
      <c r="KJJ42" s="285"/>
      <c r="KJK42" s="285"/>
      <c r="KJL42" s="285"/>
      <c r="KJM42" s="285"/>
      <c r="KJN42" s="285"/>
      <c r="KJO42" s="285"/>
      <c r="KJP42" s="285"/>
      <c r="KJQ42" s="285"/>
      <c r="KJR42" s="285"/>
      <c r="KJS42" s="285"/>
      <c r="KJT42" s="285"/>
      <c r="KJU42" s="285"/>
      <c r="KJV42" s="285"/>
      <c r="KJW42" s="285"/>
      <c r="KJX42" s="285"/>
      <c r="KJY42" s="285"/>
      <c r="KJZ42" s="285"/>
      <c r="KKA42" s="285"/>
      <c r="KKB42" s="285"/>
      <c r="KKC42" s="285"/>
      <c r="KKD42" s="285"/>
      <c r="KKE42" s="285"/>
      <c r="KKF42" s="285"/>
      <c r="KKG42" s="285"/>
      <c r="KKH42" s="285"/>
      <c r="KKI42" s="285"/>
      <c r="KKJ42" s="285"/>
      <c r="KKK42" s="285"/>
      <c r="KKL42" s="285"/>
      <c r="KKM42" s="285"/>
      <c r="KKN42" s="285"/>
      <c r="KKO42" s="285"/>
      <c r="KKP42" s="285"/>
      <c r="KKQ42" s="285"/>
      <c r="KKR42" s="285"/>
      <c r="KKS42" s="285"/>
      <c r="KKT42" s="285"/>
      <c r="KKU42" s="285"/>
      <c r="KKV42" s="285"/>
      <c r="KKW42" s="285"/>
      <c r="KKX42" s="285"/>
      <c r="KKY42" s="285"/>
      <c r="KKZ42" s="285"/>
      <c r="KLA42" s="285"/>
      <c r="KLB42" s="285"/>
      <c r="KLC42" s="285"/>
      <c r="KLD42" s="285"/>
      <c r="KLE42" s="285"/>
      <c r="KLF42" s="285"/>
      <c r="KLG42" s="285"/>
      <c r="KLH42" s="285"/>
      <c r="KLI42" s="285"/>
      <c r="KLJ42" s="285"/>
      <c r="KLK42" s="285"/>
      <c r="KLL42" s="285"/>
      <c r="KLM42" s="285"/>
      <c r="KLN42" s="285"/>
      <c r="KLO42" s="285"/>
      <c r="KLP42" s="285"/>
      <c r="KLQ42" s="285"/>
      <c r="KLR42" s="285"/>
      <c r="KLS42" s="285"/>
      <c r="KLT42" s="285"/>
      <c r="KLU42" s="285"/>
      <c r="KLV42" s="285"/>
      <c r="KLW42" s="285"/>
      <c r="KLX42" s="285"/>
      <c r="KLY42" s="285"/>
      <c r="KLZ42" s="285"/>
      <c r="KMA42" s="285"/>
      <c r="KMB42" s="285"/>
      <c r="KMC42" s="285"/>
      <c r="KMD42" s="285"/>
      <c r="KME42" s="285"/>
      <c r="KMF42" s="285"/>
      <c r="KMG42" s="285"/>
      <c r="KMH42" s="285"/>
      <c r="KMI42" s="285"/>
      <c r="KMJ42" s="285"/>
      <c r="KMK42" s="285"/>
      <c r="KML42" s="285"/>
      <c r="KMM42" s="285"/>
      <c r="KMN42" s="285"/>
      <c r="KMO42" s="285"/>
      <c r="KMP42" s="285"/>
      <c r="KMQ42" s="285"/>
      <c r="KMR42" s="285"/>
      <c r="KMS42" s="285"/>
      <c r="KMT42" s="285"/>
      <c r="KMU42" s="285"/>
      <c r="KMV42" s="285"/>
      <c r="KMW42" s="285"/>
      <c r="KMX42" s="285"/>
      <c r="KMY42" s="285"/>
      <c r="KMZ42" s="285"/>
      <c r="KNA42" s="285"/>
      <c r="KNB42" s="285"/>
      <c r="KNC42" s="285"/>
      <c r="KND42" s="285"/>
      <c r="KNE42" s="285"/>
      <c r="KNF42" s="285"/>
      <c r="KNG42" s="285"/>
      <c r="KNH42" s="285"/>
      <c r="KNI42" s="285"/>
      <c r="KNJ42" s="285"/>
      <c r="KNK42" s="285"/>
      <c r="KNL42" s="285"/>
      <c r="KNM42" s="285"/>
      <c r="KNN42" s="285"/>
      <c r="KNO42" s="285"/>
      <c r="KNP42" s="285"/>
      <c r="KNQ42" s="285"/>
      <c r="KNR42" s="285"/>
      <c r="KNS42" s="285"/>
      <c r="KNT42" s="285"/>
      <c r="KNU42" s="285"/>
      <c r="KNV42" s="285"/>
      <c r="KNW42" s="285"/>
      <c r="KNX42" s="285"/>
      <c r="KNY42" s="285"/>
      <c r="KNZ42" s="285"/>
      <c r="KOA42" s="285"/>
      <c r="KOB42" s="285"/>
      <c r="KOC42" s="285"/>
      <c r="KOD42" s="285"/>
      <c r="KOE42" s="285"/>
      <c r="KOF42" s="285"/>
      <c r="KOG42" s="285"/>
      <c r="KOH42" s="285"/>
      <c r="KOI42" s="285"/>
      <c r="KOJ42" s="285"/>
      <c r="KOK42" s="285"/>
      <c r="KOL42" s="285"/>
      <c r="KOM42" s="285"/>
      <c r="KON42" s="285"/>
      <c r="KOO42" s="285"/>
      <c r="KOP42" s="285"/>
      <c r="KOQ42" s="285"/>
      <c r="KOR42" s="285"/>
      <c r="KOS42" s="285"/>
      <c r="KOT42" s="285"/>
      <c r="KOU42" s="285"/>
      <c r="KOV42" s="285"/>
      <c r="KOW42" s="285"/>
      <c r="KOX42" s="285"/>
      <c r="KOY42" s="285"/>
      <c r="KOZ42" s="285"/>
      <c r="KPA42" s="285"/>
      <c r="KPB42" s="285"/>
      <c r="KPC42" s="285"/>
      <c r="KPD42" s="285"/>
      <c r="KPE42" s="285"/>
      <c r="KPF42" s="285"/>
      <c r="KPG42" s="285"/>
      <c r="KPH42" s="285"/>
      <c r="KPI42" s="285"/>
      <c r="KPJ42" s="285"/>
      <c r="KPK42" s="285"/>
      <c r="KPL42" s="285"/>
      <c r="KPM42" s="285"/>
      <c r="KPN42" s="285"/>
      <c r="KPO42" s="285"/>
      <c r="KPP42" s="285"/>
      <c r="KPQ42" s="285"/>
      <c r="KPR42" s="285"/>
      <c r="KPS42" s="285"/>
      <c r="KPT42" s="285"/>
      <c r="KPU42" s="285"/>
      <c r="KPV42" s="285"/>
      <c r="KPW42" s="285"/>
      <c r="KPX42" s="285"/>
      <c r="KPY42" s="285"/>
      <c r="KPZ42" s="285"/>
      <c r="KQA42" s="285"/>
      <c r="KQB42" s="285"/>
      <c r="KQC42" s="285"/>
      <c r="KQD42" s="285"/>
      <c r="KQE42" s="285"/>
      <c r="KQF42" s="285"/>
      <c r="KQG42" s="285"/>
      <c r="KQH42" s="285"/>
      <c r="KQI42" s="285"/>
      <c r="KQJ42" s="285"/>
      <c r="KQK42" s="285"/>
      <c r="KQL42" s="285"/>
      <c r="KQM42" s="285"/>
      <c r="KQN42" s="285"/>
      <c r="KQO42" s="285"/>
      <c r="KQP42" s="285"/>
      <c r="KQQ42" s="285"/>
      <c r="KQR42" s="285"/>
      <c r="KQS42" s="285"/>
      <c r="KQT42" s="285"/>
      <c r="KQU42" s="285"/>
      <c r="KQV42" s="285"/>
      <c r="KQW42" s="285"/>
      <c r="KQX42" s="285"/>
      <c r="KQY42" s="285"/>
      <c r="KQZ42" s="285"/>
      <c r="KRA42" s="285"/>
      <c r="KRB42" s="285"/>
      <c r="KRC42" s="285"/>
      <c r="KRD42" s="285"/>
      <c r="KRE42" s="285"/>
      <c r="KRF42" s="285"/>
      <c r="KRG42" s="285"/>
      <c r="KRH42" s="285"/>
      <c r="KRI42" s="285"/>
      <c r="KRJ42" s="285"/>
      <c r="KRK42" s="285"/>
      <c r="KRL42" s="285"/>
      <c r="KRM42" s="285"/>
      <c r="KRN42" s="285"/>
      <c r="KRO42" s="285"/>
      <c r="KRP42" s="285"/>
      <c r="KRQ42" s="285"/>
      <c r="KRR42" s="285"/>
      <c r="KRS42" s="285"/>
      <c r="KRT42" s="285"/>
      <c r="KRU42" s="285"/>
      <c r="KRV42" s="285"/>
      <c r="KRW42" s="285"/>
      <c r="KRX42" s="285"/>
      <c r="KRY42" s="285"/>
      <c r="KRZ42" s="285"/>
      <c r="KSA42" s="285"/>
      <c r="KSB42" s="285"/>
      <c r="KSC42" s="285"/>
      <c r="KSD42" s="285"/>
      <c r="KSE42" s="285"/>
      <c r="KSF42" s="285"/>
      <c r="KSG42" s="285"/>
      <c r="KSH42" s="285"/>
      <c r="KSI42" s="285"/>
      <c r="KSJ42" s="285"/>
      <c r="KSK42" s="285"/>
      <c r="KSL42" s="285"/>
      <c r="KSM42" s="285"/>
      <c r="KSN42" s="285"/>
      <c r="KSO42" s="285"/>
      <c r="KSP42" s="285"/>
      <c r="KSQ42" s="285"/>
      <c r="KSR42" s="285"/>
      <c r="KSS42" s="285"/>
      <c r="KST42" s="285"/>
      <c r="KSU42" s="285"/>
      <c r="KSV42" s="285"/>
      <c r="KSW42" s="285"/>
      <c r="KSX42" s="285"/>
      <c r="KSY42" s="285"/>
      <c r="KSZ42" s="285"/>
      <c r="KTA42" s="285"/>
      <c r="KTB42" s="285"/>
      <c r="KTC42" s="285"/>
      <c r="KTD42" s="285"/>
      <c r="KTE42" s="285"/>
      <c r="KTF42" s="285"/>
      <c r="KTG42" s="285"/>
      <c r="KTH42" s="285"/>
      <c r="KTI42" s="285"/>
      <c r="KTJ42" s="285"/>
      <c r="KTK42" s="285"/>
      <c r="KTL42" s="285"/>
      <c r="KTM42" s="285"/>
      <c r="KTN42" s="285"/>
      <c r="KTO42" s="285"/>
      <c r="KTP42" s="285"/>
      <c r="KTQ42" s="285"/>
      <c r="KTR42" s="285"/>
      <c r="KTS42" s="285"/>
      <c r="KTT42" s="285"/>
      <c r="KTU42" s="285"/>
      <c r="KTV42" s="285"/>
      <c r="KTW42" s="285"/>
      <c r="KTX42" s="285"/>
      <c r="KTY42" s="285"/>
      <c r="KTZ42" s="285"/>
      <c r="KUA42" s="285"/>
      <c r="KUB42" s="285"/>
      <c r="KUC42" s="285"/>
      <c r="KUD42" s="285"/>
      <c r="KUE42" s="285"/>
      <c r="KUF42" s="285"/>
      <c r="KUG42" s="285"/>
      <c r="KUH42" s="285"/>
      <c r="KUI42" s="285"/>
      <c r="KUJ42" s="285"/>
      <c r="KUK42" s="285"/>
      <c r="KUL42" s="285"/>
      <c r="KUM42" s="285"/>
      <c r="KUN42" s="285"/>
      <c r="KUO42" s="285"/>
      <c r="KUP42" s="285"/>
      <c r="KUQ42" s="285"/>
      <c r="KUR42" s="285"/>
      <c r="KUS42" s="285"/>
      <c r="KUT42" s="285"/>
      <c r="KUU42" s="285"/>
      <c r="KUV42" s="285"/>
      <c r="KUW42" s="285"/>
      <c r="KUX42" s="285"/>
      <c r="KUY42" s="285"/>
      <c r="KUZ42" s="285"/>
      <c r="KVA42" s="285"/>
      <c r="KVB42" s="285"/>
      <c r="KVC42" s="285"/>
      <c r="KVD42" s="285"/>
      <c r="KVE42" s="285"/>
      <c r="KVF42" s="285"/>
      <c r="KVG42" s="285"/>
      <c r="KVH42" s="285"/>
      <c r="KVI42" s="285"/>
      <c r="KVJ42" s="285"/>
      <c r="KVK42" s="285"/>
      <c r="KVL42" s="285"/>
      <c r="KVM42" s="285"/>
      <c r="KVN42" s="285"/>
      <c r="KVO42" s="285"/>
      <c r="KVP42" s="285"/>
      <c r="KVQ42" s="285"/>
      <c r="KVR42" s="285"/>
      <c r="KVS42" s="285"/>
      <c r="KVT42" s="285"/>
      <c r="KVU42" s="285"/>
      <c r="KVV42" s="285"/>
      <c r="KVW42" s="285"/>
      <c r="KVX42" s="285"/>
      <c r="KVY42" s="285"/>
      <c r="KVZ42" s="285"/>
      <c r="KWA42" s="285"/>
      <c r="KWB42" s="285"/>
      <c r="KWC42" s="285"/>
      <c r="KWD42" s="285"/>
      <c r="KWE42" s="285"/>
      <c r="KWF42" s="285"/>
      <c r="KWG42" s="285"/>
      <c r="KWH42" s="285"/>
      <c r="KWI42" s="285"/>
      <c r="KWJ42" s="285"/>
      <c r="KWK42" s="285"/>
      <c r="KWL42" s="285"/>
      <c r="KWM42" s="285"/>
      <c r="KWN42" s="285"/>
      <c r="KWO42" s="285"/>
      <c r="KWP42" s="285"/>
      <c r="KWQ42" s="285"/>
      <c r="KWR42" s="285"/>
      <c r="KWS42" s="285"/>
      <c r="KWT42" s="285"/>
      <c r="KWU42" s="285"/>
      <c r="KWV42" s="285"/>
      <c r="KWW42" s="285"/>
      <c r="KWX42" s="285"/>
      <c r="KWY42" s="285"/>
      <c r="KWZ42" s="285"/>
      <c r="KXA42" s="285"/>
      <c r="KXB42" s="285"/>
      <c r="KXC42" s="285"/>
      <c r="KXD42" s="285"/>
      <c r="KXE42" s="285"/>
      <c r="KXF42" s="285"/>
      <c r="KXG42" s="285"/>
      <c r="KXH42" s="285"/>
      <c r="KXI42" s="285"/>
      <c r="KXJ42" s="285"/>
      <c r="KXK42" s="285"/>
      <c r="KXL42" s="285"/>
      <c r="KXM42" s="285"/>
      <c r="KXN42" s="285"/>
      <c r="KXO42" s="285"/>
      <c r="KXP42" s="285"/>
      <c r="KXQ42" s="285"/>
      <c r="KXR42" s="285"/>
      <c r="KXS42" s="285"/>
      <c r="KXT42" s="285"/>
      <c r="KXU42" s="285"/>
      <c r="KXV42" s="285"/>
      <c r="KXW42" s="285"/>
      <c r="KXX42" s="285"/>
      <c r="KXY42" s="285"/>
      <c r="KXZ42" s="285"/>
      <c r="KYA42" s="285"/>
      <c r="KYB42" s="285"/>
      <c r="KYC42" s="285"/>
      <c r="KYD42" s="285"/>
      <c r="KYE42" s="285"/>
      <c r="KYF42" s="285"/>
      <c r="KYG42" s="285"/>
      <c r="KYH42" s="285"/>
      <c r="KYI42" s="285"/>
      <c r="KYJ42" s="285"/>
      <c r="KYK42" s="285"/>
      <c r="KYL42" s="285"/>
      <c r="KYM42" s="285"/>
      <c r="KYN42" s="285"/>
      <c r="KYO42" s="285"/>
      <c r="KYP42" s="285"/>
      <c r="KYQ42" s="285"/>
      <c r="KYR42" s="285"/>
      <c r="KYS42" s="285"/>
      <c r="KYT42" s="285"/>
      <c r="KYU42" s="285"/>
      <c r="KYV42" s="285"/>
      <c r="KYW42" s="285"/>
      <c r="KYX42" s="285"/>
      <c r="KYY42" s="285"/>
      <c r="KYZ42" s="285"/>
      <c r="KZA42" s="285"/>
      <c r="KZB42" s="285"/>
      <c r="KZC42" s="285"/>
      <c r="KZD42" s="285"/>
      <c r="KZE42" s="285"/>
      <c r="KZF42" s="285"/>
      <c r="KZG42" s="285"/>
      <c r="KZH42" s="285"/>
      <c r="KZI42" s="285"/>
      <c r="KZJ42" s="285"/>
      <c r="KZK42" s="285"/>
      <c r="KZL42" s="285"/>
      <c r="KZM42" s="285"/>
      <c r="KZN42" s="285"/>
      <c r="KZO42" s="285"/>
      <c r="KZP42" s="285"/>
      <c r="KZQ42" s="285"/>
      <c r="KZR42" s="285"/>
      <c r="KZS42" s="285"/>
      <c r="KZT42" s="285"/>
      <c r="KZU42" s="285"/>
      <c r="KZV42" s="285"/>
      <c r="KZW42" s="285"/>
      <c r="KZX42" s="285"/>
      <c r="KZY42" s="285"/>
      <c r="KZZ42" s="285"/>
      <c r="LAA42" s="285"/>
      <c r="LAB42" s="285"/>
      <c r="LAC42" s="285"/>
      <c r="LAD42" s="285"/>
      <c r="LAE42" s="285"/>
      <c r="LAF42" s="285"/>
      <c r="LAG42" s="285"/>
      <c r="LAH42" s="285"/>
      <c r="LAI42" s="285"/>
      <c r="LAJ42" s="285"/>
      <c r="LAK42" s="285"/>
      <c r="LAL42" s="285"/>
      <c r="LAM42" s="285"/>
      <c r="LAN42" s="285"/>
      <c r="LAO42" s="285"/>
      <c r="LAP42" s="285"/>
      <c r="LAQ42" s="285"/>
      <c r="LAR42" s="285"/>
      <c r="LAS42" s="285"/>
      <c r="LAT42" s="285"/>
      <c r="LAU42" s="285"/>
      <c r="LAV42" s="285"/>
      <c r="LAW42" s="285"/>
      <c r="LAX42" s="285"/>
      <c r="LAY42" s="285"/>
      <c r="LAZ42" s="285"/>
      <c r="LBA42" s="285"/>
      <c r="LBB42" s="285"/>
      <c r="LBC42" s="285"/>
      <c r="LBD42" s="285"/>
      <c r="LBE42" s="285"/>
      <c r="LBF42" s="285"/>
      <c r="LBG42" s="285"/>
      <c r="LBH42" s="285"/>
      <c r="LBI42" s="285"/>
      <c r="LBJ42" s="285"/>
      <c r="LBK42" s="285"/>
      <c r="LBL42" s="285"/>
      <c r="LBM42" s="285"/>
      <c r="LBN42" s="285"/>
      <c r="LBO42" s="285"/>
      <c r="LBP42" s="285"/>
      <c r="LBQ42" s="285"/>
      <c r="LBR42" s="285"/>
      <c r="LBS42" s="285"/>
      <c r="LBT42" s="285"/>
      <c r="LBU42" s="285"/>
      <c r="LBV42" s="285"/>
      <c r="LBW42" s="285"/>
      <c r="LBX42" s="285"/>
      <c r="LBY42" s="285"/>
      <c r="LBZ42" s="285"/>
      <c r="LCA42" s="285"/>
      <c r="LCB42" s="285"/>
      <c r="LCC42" s="285"/>
      <c r="LCD42" s="285"/>
      <c r="LCE42" s="285"/>
      <c r="LCF42" s="285"/>
      <c r="LCG42" s="285"/>
      <c r="LCH42" s="285"/>
      <c r="LCI42" s="285"/>
      <c r="LCJ42" s="285"/>
      <c r="LCK42" s="285"/>
      <c r="LCL42" s="285"/>
      <c r="LCM42" s="285"/>
      <c r="LCN42" s="285"/>
      <c r="LCO42" s="285"/>
      <c r="LCP42" s="285"/>
      <c r="LCQ42" s="285"/>
      <c r="LCR42" s="285"/>
      <c r="LCS42" s="285"/>
      <c r="LCT42" s="285"/>
      <c r="LCU42" s="285"/>
      <c r="LCV42" s="285"/>
      <c r="LCW42" s="285"/>
      <c r="LCX42" s="285"/>
      <c r="LCY42" s="285"/>
      <c r="LCZ42" s="285"/>
      <c r="LDA42" s="285"/>
      <c r="LDB42" s="285"/>
      <c r="LDC42" s="285"/>
      <c r="LDD42" s="285"/>
      <c r="LDE42" s="285"/>
      <c r="LDF42" s="285"/>
      <c r="LDG42" s="285"/>
      <c r="LDH42" s="285"/>
      <c r="LDI42" s="285"/>
      <c r="LDJ42" s="285"/>
      <c r="LDK42" s="285"/>
      <c r="LDL42" s="285"/>
      <c r="LDM42" s="285"/>
      <c r="LDN42" s="285"/>
      <c r="LDO42" s="285"/>
      <c r="LDP42" s="285"/>
      <c r="LDQ42" s="285"/>
      <c r="LDR42" s="285"/>
      <c r="LDS42" s="285"/>
      <c r="LDT42" s="285"/>
      <c r="LDU42" s="285"/>
      <c r="LDV42" s="285"/>
      <c r="LDW42" s="285"/>
      <c r="LDX42" s="285"/>
      <c r="LDY42" s="285"/>
      <c r="LDZ42" s="285"/>
      <c r="LEA42" s="285"/>
      <c r="LEB42" s="285"/>
      <c r="LEC42" s="285"/>
      <c r="LED42" s="285"/>
      <c r="LEE42" s="285"/>
      <c r="LEF42" s="285"/>
      <c r="LEG42" s="285"/>
      <c r="LEH42" s="285"/>
      <c r="LEI42" s="285"/>
      <c r="LEJ42" s="285"/>
      <c r="LEK42" s="285"/>
      <c r="LEL42" s="285"/>
      <c r="LEM42" s="285"/>
      <c r="LEN42" s="285"/>
      <c r="LEO42" s="285"/>
      <c r="LEP42" s="285"/>
      <c r="LEQ42" s="285"/>
      <c r="LER42" s="285"/>
      <c r="LES42" s="285"/>
      <c r="LET42" s="285"/>
      <c r="LEU42" s="285"/>
      <c r="LEV42" s="285"/>
      <c r="LEW42" s="285"/>
      <c r="LEX42" s="285"/>
      <c r="LEY42" s="285"/>
      <c r="LEZ42" s="285"/>
      <c r="LFA42" s="285"/>
      <c r="LFB42" s="285"/>
      <c r="LFC42" s="285"/>
      <c r="LFD42" s="285"/>
      <c r="LFE42" s="285"/>
      <c r="LFF42" s="285"/>
      <c r="LFG42" s="285"/>
      <c r="LFH42" s="285"/>
      <c r="LFI42" s="285"/>
      <c r="LFJ42" s="285"/>
      <c r="LFK42" s="285"/>
      <c r="LFL42" s="285"/>
      <c r="LFM42" s="285"/>
      <c r="LFN42" s="285"/>
      <c r="LFO42" s="285"/>
      <c r="LFP42" s="285"/>
      <c r="LFQ42" s="285"/>
      <c r="LFR42" s="285"/>
      <c r="LFS42" s="285"/>
      <c r="LFT42" s="285"/>
      <c r="LFU42" s="285"/>
      <c r="LFV42" s="285"/>
      <c r="LFW42" s="285"/>
      <c r="LFX42" s="285"/>
      <c r="LFY42" s="285"/>
      <c r="LFZ42" s="285"/>
      <c r="LGA42" s="285"/>
      <c r="LGB42" s="285"/>
      <c r="LGC42" s="285"/>
      <c r="LGD42" s="285"/>
      <c r="LGE42" s="285"/>
      <c r="LGF42" s="285"/>
      <c r="LGG42" s="285"/>
      <c r="LGH42" s="285"/>
      <c r="LGI42" s="285"/>
      <c r="LGJ42" s="285"/>
      <c r="LGK42" s="285"/>
      <c r="LGL42" s="285"/>
      <c r="LGM42" s="285"/>
      <c r="LGN42" s="285"/>
      <c r="LGO42" s="285"/>
      <c r="LGP42" s="285"/>
      <c r="LGQ42" s="285"/>
      <c r="LGR42" s="285"/>
      <c r="LGS42" s="285"/>
      <c r="LGT42" s="285"/>
      <c r="LGU42" s="285"/>
      <c r="LGV42" s="285"/>
      <c r="LGW42" s="285"/>
      <c r="LGX42" s="285"/>
      <c r="LGY42" s="285"/>
      <c r="LGZ42" s="285"/>
      <c r="LHA42" s="285"/>
      <c r="LHB42" s="285"/>
      <c r="LHC42" s="285"/>
      <c r="LHD42" s="285"/>
      <c r="LHE42" s="285"/>
      <c r="LHF42" s="285"/>
      <c r="LHG42" s="285"/>
      <c r="LHH42" s="285"/>
      <c r="LHI42" s="285"/>
      <c r="LHJ42" s="285"/>
      <c r="LHK42" s="285"/>
      <c r="LHL42" s="285"/>
      <c r="LHM42" s="285"/>
      <c r="LHN42" s="285"/>
      <c r="LHO42" s="285"/>
      <c r="LHP42" s="285"/>
      <c r="LHQ42" s="285"/>
      <c r="LHR42" s="285"/>
      <c r="LHS42" s="285"/>
      <c r="LHT42" s="285"/>
      <c r="LHU42" s="285"/>
      <c r="LHV42" s="285"/>
      <c r="LHW42" s="285"/>
      <c r="LHX42" s="285"/>
      <c r="LHY42" s="285"/>
      <c r="LHZ42" s="285"/>
      <c r="LIA42" s="285"/>
      <c r="LIB42" s="285"/>
      <c r="LIC42" s="285"/>
      <c r="LID42" s="285"/>
      <c r="LIE42" s="285"/>
      <c r="LIF42" s="285"/>
      <c r="LIG42" s="285"/>
      <c r="LIH42" s="285"/>
      <c r="LII42" s="285"/>
      <c r="LIJ42" s="285"/>
      <c r="LIK42" s="285"/>
      <c r="LIL42" s="285"/>
      <c r="LIM42" s="285"/>
      <c r="LIN42" s="285"/>
      <c r="LIO42" s="285"/>
      <c r="LIP42" s="285"/>
      <c r="LIQ42" s="285"/>
      <c r="LIR42" s="285"/>
      <c r="LIS42" s="285"/>
      <c r="LIT42" s="285"/>
      <c r="LIU42" s="285"/>
      <c r="LIV42" s="285"/>
      <c r="LIW42" s="285"/>
      <c r="LIX42" s="285"/>
      <c r="LIY42" s="285"/>
      <c r="LIZ42" s="285"/>
      <c r="LJA42" s="285"/>
      <c r="LJB42" s="285"/>
      <c r="LJC42" s="285"/>
      <c r="LJD42" s="285"/>
      <c r="LJE42" s="285"/>
      <c r="LJF42" s="285"/>
      <c r="LJG42" s="285"/>
      <c r="LJH42" s="285"/>
      <c r="LJI42" s="285"/>
      <c r="LJJ42" s="285"/>
      <c r="LJK42" s="285"/>
      <c r="LJL42" s="285"/>
      <c r="LJM42" s="285"/>
      <c r="LJN42" s="285"/>
      <c r="LJO42" s="285"/>
      <c r="LJP42" s="285"/>
      <c r="LJQ42" s="285"/>
      <c r="LJR42" s="285"/>
      <c r="LJS42" s="285"/>
      <c r="LJT42" s="285"/>
      <c r="LJU42" s="285"/>
      <c r="LJV42" s="285"/>
      <c r="LJW42" s="285"/>
      <c r="LJX42" s="285"/>
      <c r="LJY42" s="285"/>
      <c r="LJZ42" s="285"/>
      <c r="LKA42" s="285"/>
      <c r="LKB42" s="285"/>
      <c r="LKC42" s="285"/>
      <c r="LKD42" s="285"/>
      <c r="LKE42" s="285"/>
      <c r="LKF42" s="285"/>
      <c r="LKG42" s="285"/>
      <c r="LKH42" s="285"/>
      <c r="LKI42" s="285"/>
      <c r="LKJ42" s="285"/>
      <c r="LKK42" s="285"/>
      <c r="LKL42" s="285"/>
      <c r="LKM42" s="285"/>
      <c r="LKN42" s="285"/>
      <c r="LKO42" s="285"/>
      <c r="LKP42" s="285"/>
      <c r="LKQ42" s="285"/>
      <c r="LKR42" s="285"/>
      <c r="LKS42" s="285"/>
      <c r="LKT42" s="285"/>
      <c r="LKU42" s="285"/>
      <c r="LKV42" s="285"/>
      <c r="LKW42" s="285"/>
      <c r="LKX42" s="285"/>
      <c r="LKY42" s="285"/>
      <c r="LKZ42" s="285"/>
      <c r="LLA42" s="285"/>
      <c r="LLB42" s="285"/>
      <c r="LLC42" s="285"/>
      <c r="LLD42" s="285"/>
      <c r="LLE42" s="285"/>
      <c r="LLF42" s="285"/>
      <c r="LLG42" s="285"/>
      <c r="LLH42" s="285"/>
      <c r="LLI42" s="285"/>
      <c r="LLJ42" s="285"/>
      <c r="LLK42" s="285"/>
      <c r="LLL42" s="285"/>
      <c r="LLM42" s="285"/>
      <c r="LLN42" s="285"/>
      <c r="LLO42" s="285"/>
      <c r="LLP42" s="285"/>
      <c r="LLQ42" s="285"/>
      <c r="LLR42" s="285"/>
      <c r="LLS42" s="285"/>
      <c r="LLT42" s="285"/>
      <c r="LLU42" s="285"/>
      <c r="LLV42" s="285"/>
      <c r="LLW42" s="285"/>
      <c r="LLX42" s="285"/>
      <c r="LLY42" s="285"/>
      <c r="LLZ42" s="285"/>
      <c r="LMA42" s="285"/>
      <c r="LMB42" s="285"/>
      <c r="LMC42" s="285"/>
      <c r="LMD42" s="285"/>
      <c r="LME42" s="285"/>
      <c r="LMF42" s="285"/>
      <c r="LMG42" s="285"/>
      <c r="LMH42" s="285"/>
      <c r="LMI42" s="285"/>
      <c r="LMJ42" s="285"/>
      <c r="LMK42" s="285"/>
      <c r="LML42" s="285"/>
      <c r="LMM42" s="285"/>
      <c r="LMN42" s="285"/>
      <c r="LMO42" s="285"/>
      <c r="LMP42" s="285"/>
      <c r="LMQ42" s="285"/>
      <c r="LMR42" s="285"/>
      <c r="LMS42" s="285"/>
      <c r="LMT42" s="285"/>
      <c r="LMU42" s="285"/>
      <c r="LMV42" s="285"/>
      <c r="LMW42" s="285"/>
      <c r="LMX42" s="285"/>
      <c r="LMY42" s="285"/>
      <c r="LMZ42" s="285"/>
      <c r="LNA42" s="285"/>
      <c r="LNB42" s="285"/>
      <c r="LNC42" s="285"/>
      <c r="LND42" s="285"/>
      <c r="LNE42" s="285"/>
      <c r="LNF42" s="285"/>
      <c r="LNG42" s="285"/>
      <c r="LNH42" s="285"/>
      <c r="LNI42" s="285"/>
      <c r="LNJ42" s="285"/>
      <c r="LNK42" s="285"/>
      <c r="LNL42" s="285"/>
      <c r="LNM42" s="285"/>
      <c r="LNN42" s="285"/>
      <c r="LNO42" s="285"/>
      <c r="LNP42" s="285"/>
      <c r="LNQ42" s="285"/>
      <c r="LNR42" s="285"/>
      <c r="LNS42" s="285"/>
      <c r="LNT42" s="285"/>
      <c r="LNU42" s="285"/>
      <c r="LNV42" s="285"/>
      <c r="LNW42" s="285"/>
      <c r="LNX42" s="285"/>
      <c r="LNY42" s="285"/>
      <c r="LNZ42" s="285"/>
      <c r="LOA42" s="285"/>
      <c r="LOB42" s="285"/>
      <c r="LOC42" s="285"/>
      <c r="LOD42" s="285"/>
      <c r="LOE42" s="285"/>
      <c r="LOF42" s="285"/>
      <c r="LOG42" s="285"/>
      <c r="LOH42" s="285"/>
      <c r="LOI42" s="285"/>
      <c r="LOJ42" s="285"/>
      <c r="LOK42" s="285"/>
      <c r="LOL42" s="285"/>
      <c r="LOM42" s="285"/>
      <c r="LON42" s="285"/>
      <c r="LOO42" s="285"/>
      <c r="LOP42" s="285"/>
      <c r="LOQ42" s="285"/>
      <c r="LOR42" s="285"/>
      <c r="LOS42" s="285"/>
      <c r="LOT42" s="285"/>
      <c r="LOU42" s="285"/>
      <c r="LOV42" s="285"/>
      <c r="LOW42" s="285"/>
      <c r="LOX42" s="285"/>
      <c r="LOY42" s="285"/>
      <c r="LOZ42" s="285"/>
      <c r="LPA42" s="285"/>
      <c r="LPB42" s="285"/>
      <c r="LPC42" s="285"/>
      <c r="LPD42" s="285"/>
      <c r="LPE42" s="285"/>
      <c r="LPF42" s="285"/>
      <c r="LPG42" s="285"/>
      <c r="LPH42" s="285"/>
      <c r="LPI42" s="285"/>
      <c r="LPJ42" s="285"/>
      <c r="LPK42" s="285"/>
      <c r="LPL42" s="285"/>
      <c r="LPM42" s="285"/>
      <c r="LPN42" s="285"/>
      <c r="LPO42" s="285"/>
      <c r="LPP42" s="285"/>
      <c r="LPQ42" s="285"/>
      <c r="LPR42" s="285"/>
      <c r="LPS42" s="285"/>
      <c r="LPT42" s="285"/>
      <c r="LPU42" s="285"/>
      <c r="LPV42" s="285"/>
      <c r="LPW42" s="285"/>
      <c r="LPX42" s="285"/>
      <c r="LPY42" s="285"/>
      <c r="LPZ42" s="285"/>
      <c r="LQA42" s="285"/>
      <c r="LQB42" s="285"/>
      <c r="LQC42" s="285"/>
      <c r="LQD42" s="285"/>
      <c r="LQE42" s="285"/>
      <c r="LQF42" s="285"/>
      <c r="LQG42" s="285"/>
      <c r="LQH42" s="285"/>
      <c r="LQI42" s="285"/>
      <c r="LQJ42" s="285"/>
      <c r="LQK42" s="285"/>
      <c r="LQL42" s="285"/>
      <c r="LQM42" s="285"/>
      <c r="LQN42" s="285"/>
      <c r="LQO42" s="285"/>
      <c r="LQP42" s="285"/>
      <c r="LQQ42" s="285"/>
      <c r="LQR42" s="285"/>
      <c r="LQS42" s="285"/>
      <c r="LQT42" s="285"/>
      <c r="LQU42" s="285"/>
      <c r="LQV42" s="285"/>
      <c r="LQW42" s="285"/>
      <c r="LQX42" s="285"/>
      <c r="LQY42" s="285"/>
      <c r="LQZ42" s="285"/>
      <c r="LRA42" s="285"/>
      <c r="LRB42" s="285"/>
      <c r="LRC42" s="285"/>
      <c r="LRD42" s="285"/>
      <c r="LRE42" s="285"/>
      <c r="LRF42" s="285"/>
      <c r="LRG42" s="285"/>
      <c r="LRH42" s="285"/>
      <c r="LRI42" s="285"/>
      <c r="LRJ42" s="285"/>
      <c r="LRK42" s="285"/>
      <c r="LRL42" s="285"/>
      <c r="LRM42" s="285"/>
      <c r="LRN42" s="285"/>
      <c r="LRO42" s="285"/>
      <c r="LRP42" s="285"/>
      <c r="LRQ42" s="285"/>
      <c r="LRR42" s="285"/>
      <c r="LRS42" s="285"/>
      <c r="LRT42" s="285"/>
      <c r="LRU42" s="285"/>
      <c r="LRV42" s="285"/>
      <c r="LRW42" s="285"/>
      <c r="LRX42" s="285"/>
      <c r="LRY42" s="285"/>
      <c r="LRZ42" s="285"/>
      <c r="LSA42" s="285"/>
      <c r="LSB42" s="285"/>
      <c r="LSC42" s="285"/>
      <c r="LSD42" s="285"/>
      <c r="LSE42" s="285"/>
      <c r="LSF42" s="285"/>
      <c r="LSG42" s="285"/>
      <c r="LSH42" s="285"/>
      <c r="LSI42" s="285"/>
      <c r="LSJ42" s="285"/>
      <c r="LSK42" s="285"/>
      <c r="LSL42" s="285"/>
      <c r="LSM42" s="285"/>
      <c r="LSN42" s="285"/>
      <c r="LSO42" s="285"/>
      <c r="LSP42" s="285"/>
      <c r="LSQ42" s="285"/>
      <c r="LSR42" s="285"/>
      <c r="LSS42" s="285"/>
      <c r="LST42" s="285"/>
      <c r="LSU42" s="285"/>
      <c r="LSV42" s="285"/>
      <c r="LSW42" s="285"/>
      <c r="LSX42" s="285"/>
      <c r="LSY42" s="285"/>
      <c r="LSZ42" s="285"/>
      <c r="LTA42" s="285"/>
      <c r="LTB42" s="285"/>
      <c r="LTC42" s="285"/>
      <c r="LTD42" s="285"/>
      <c r="LTE42" s="285"/>
      <c r="LTF42" s="285"/>
      <c r="LTG42" s="285"/>
      <c r="LTH42" s="285"/>
      <c r="LTI42" s="285"/>
      <c r="LTJ42" s="285"/>
      <c r="LTK42" s="285"/>
      <c r="LTL42" s="285"/>
      <c r="LTM42" s="285"/>
      <c r="LTN42" s="285"/>
      <c r="LTO42" s="285"/>
      <c r="LTP42" s="285"/>
      <c r="LTQ42" s="285"/>
      <c r="LTR42" s="285"/>
      <c r="LTS42" s="285"/>
      <c r="LTT42" s="285"/>
      <c r="LTU42" s="285"/>
      <c r="LTV42" s="285"/>
      <c r="LTW42" s="285"/>
      <c r="LTX42" s="285"/>
      <c r="LTY42" s="285"/>
      <c r="LTZ42" s="285"/>
      <c r="LUA42" s="285"/>
      <c r="LUB42" s="285"/>
      <c r="LUC42" s="285"/>
      <c r="LUD42" s="285"/>
      <c r="LUE42" s="285"/>
      <c r="LUF42" s="285"/>
      <c r="LUG42" s="285"/>
      <c r="LUH42" s="285"/>
      <c r="LUI42" s="285"/>
      <c r="LUJ42" s="285"/>
      <c r="LUK42" s="285"/>
      <c r="LUL42" s="285"/>
      <c r="LUM42" s="285"/>
      <c r="LUN42" s="285"/>
      <c r="LUO42" s="285"/>
      <c r="LUP42" s="285"/>
      <c r="LUQ42" s="285"/>
      <c r="LUR42" s="285"/>
      <c r="LUS42" s="285"/>
      <c r="LUT42" s="285"/>
      <c r="LUU42" s="285"/>
      <c r="LUV42" s="285"/>
      <c r="LUW42" s="285"/>
      <c r="LUX42" s="285"/>
      <c r="LUY42" s="285"/>
      <c r="LUZ42" s="285"/>
      <c r="LVA42" s="285"/>
      <c r="LVB42" s="285"/>
      <c r="LVC42" s="285"/>
      <c r="LVD42" s="285"/>
      <c r="LVE42" s="285"/>
      <c r="LVF42" s="285"/>
      <c r="LVG42" s="285"/>
      <c r="LVH42" s="285"/>
      <c r="LVI42" s="285"/>
      <c r="LVJ42" s="285"/>
      <c r="LVK42" s="285"/>
      <c r="LVL42" s="285"/>
      <c r="LVM42" s="285"/>
      <c r="LVN42" s="285"/>
      <c r="LVO42" s="285"/>
      <c r="LVP42" s="285"/>
      <c r="LVQ42" s="285"/>
      <c r="LVR42" s="285"/>
      <c r="LVS42" s="285"/>
      <c r="LVT42" s="285"/>
      <c r="LVU42" s="285"/>
      <c r="LVV42" s="285"/>
      <c r="LVW42" s="285"/>
      <c r="LVX42" s="285"/>
      <c r="LVY42" s="285"/>
      <c r="LVZ42" s="285"/>
      <c r="LWA42" s="285"/>
      <c r="LWB42" s="285"/>
      <c r="LWC42" s="285"/>
      <c r="LWD42" s="285"/>
      <c r="LWE42" s="285"/>
      <c r="LWF42" s="285"/>
      <c r="LWG42" s="285"/>
      <c r="LWH42" s="285"/>
      <c r="LWI42" s="285"/>
      <c r="LWJ42" s="285"/>
      <c r="LWK42" s="285"/>
      <c r="LWL42" s="285"/>
      <c r="LWM42" s="285"/>
      <c r="LWN42" s="285"/>
      <c r="LWO42" s="285"/>
      <c r="LWP42" s="285"/>
      <c r="LWQ42" s="285"/>
      <c r="LWR42" s="285"/>
      <c r="LWS42" s="285"/>
      <c r="LWT42" s="285"/>
      <c r="LWU42" s="285"/>
      <c r="LWV42" s="285"/>
      <c r="LWW42" s="285"/>
      <c r="LWX42" s="285"/>
      <c r="LWY42" s="285"/>
      <c r="LWZ42" s="285"/>
      <c r="LXA42" s="285"/>
      <c r="LXB42" s="285"/>
      <c r="LXC42" s="285"/>
      <c r="LXD42" s="285"/>
      <c r="LXE42" s="285"/>
      <c r="LXF42" s="285"/>
      <c r="LXG42" s="285"/>
      <c r="LXH42" s="285"/>
      <c r="LXI42" s="285"/>
      <c r="LXJ42" s="285"/>
      <c r="LXK42" s="285"/>
      <c r="LXL42" s="285"/>
      <c r="LXM42" s="285"/>
      <c r="LXN42" s="285"/>
      <c r="LXO42" s="285"/>
      <c r="LXP42" s="285"/>
      <c r="LXQ42" s="285"/>
      <c r="LXR42" s="285"/>
      <c r="LXS42" s="285"/>
      <c r="LXT42" s="285"/>
      <c r="LXU42" s="285"/>
      <c r="LXV42" s="285"/>
      <c r="LXW42" s="285"/>
      <c r="LXX42" s="285"/>
      <c r="LXY42" s="285"/>
      <c r="LXZ42" s="285"/>
      <c r="LYA42" s="285"/>
      <c r="LYB42" s="285"/>
      <c r="LYC42" s="285"/>
      <c r="LYD42" s="285"/>
      <c r="LYE42" s="285"/>
      <c r="LYF42" s="285"/>
      <c r="LYG42" s="285"/>
      <c r="LYH42" s="285"/>
      <c r="LYI42" s="285"/>
      <c r="LYJ42" s="285"/>
      <c r="LYK42" s="285"/>
      <c r="LYL42" s="285"/>
      <c r="LYM42" s="285"/>
      <c r="LYN42" s="285"/>
      <c r="LYO42" s="285"/>
      <c r="LYP42" s="285"/>
      <c r="LYQ42" s="285"/>
      <c r="LYR42" s="285"/>
      <c r="LYS42" s="285"/>
      <c r="LYT42" s="285"/>
      <c r="LYU42" s="285"/>
      <c r="LYV42" s="285"/>
      <c r="LYW42" s="285"/>
      <c r="LYX42" s="285"/>
      <c r="LYY42" s="285"/>
      <c r="LYZ42" s="285"/>
      <c r="LZA42" s="285"/>
      <c r="LZB42" s="285"/>
      <c r="LZC42" s="285"/>
      <c r="LZD42" s="285"/>
      <c r="LZE42" s="285"/>
      <c r="LZF42" s="285"/>
      <c r="LZG42" s="285"/>
      <c r="LZH42" s="285"/>
      <c r="LZI42" s="285"/>
      <c r="LZJ42" s="285"/>
      <c r="LZK42" s="285"/>
      <c r="LZL42" s="285"/>
      <c r="LZM42" s="285"/>
      <c r="LZN42" s="285"/>
      <c r="LZO42" s="285"/>
      <c r="LZP42" s="285"/>
      <c r="LZQ42" s="285"/>
      <c r="LZR42" s="285"/>
      <c r="LZS42" s="285"/>
      <c r="LZT42" s="285"/>
      <c r="LZU42" s="285"/>
      <c r="LZV42" s="285"/>
      <c r="LZW42" s="285"/>
      <c r="LZX42" s="285"/>
      <c r="LZY42" s="285"/>
      <c r="LZZ42" s="285"/>
      <c r="MAA42" s="285"/>
      <c r="MAB42" s="285"/>
      <c r="MAC42" s="285"/>
      <c r="MAD42" s="285"/>
      <c r="MAE42" s="285"/>
      <c r="MAF42" s="285"/>
      <c r="MAG42" s="285"/>
      <c r="MAH42" s="285"/>
      <c r="MAI42" s="285"/>
      <c r="MAJ42" s="285"/>
      <c r="MAK42" s="285"/>
      <c r="MAL42" s="285"/>
      <c r="MAM42" s="285"/>
      <c r="MAN42" s="285"/>
      <c r="MAO42" s="285"/>
      <c r="MAP42" s="285"/>
      <c r="MAQ42" s="285"/>
      <c r="MAR42" s="285"/>
      <c r="MAS42" s="285"/>
      <c r="MAT42" s="285"/>
      <c r="MAU42" s="285"/>
      <c r="MAV42" s="285"/>
      <c r="MAW42" s="285"/>
      <c r="MAX42" s="285"/>
      <c r="MAY42" s="285"/>
      <c r="MAZ42" s="285"/>
      <c r="MBA42" s="285"/>
      <c r="MBB42" s="285"/>
      <c r="MBC42" s="285"/>
      <c r="MBD42" s="285"/>
      <c r="MBE42" s="285"/>
      <c r="MBF42" s="285"/>
      <c r="MBG42" s="285"/>
      <c r="MBH42" s="285"/>
      <c r="MBI42" s="285"/>
      <c r="MBJ42" s="285"/>
      <c r="MBK42" s="285"/>
      <c r="MBL42" s="285"/>
      <c r="MBM42" s="285"/>
      <c r="MBN42" s="285"/>
      <c r="MBO42" s="285"/>
      <c r="MBP42" s="285"/>
      <c r="MBQ42" s="285"/>
      <c r="MBR42" s="285"/>
      <c r="MBS42" s="285"/>
      <c r="MBT42" s="285"/>
      <c r="MBU42" s="285"/>
      <c r="MBV42" s="285"/>
      <c r="MBW42" s="285"/>
      <c r="MBX42" s="285"/>
      <c r="MBY42" s="285"/>
      <c r="MBZ42" s="285"/>
      <c r="MCA42" s="285"/>
      <c r="MCB42" s="285"/>
      <c r="MCC42" s="285"/>
      <c r="MCD42" s="285"/>
      <c r="MCE42" s="285"/>
      <c r="MCF42" s="285"/>
      <c r="MCG42" s="285"/>
      <c r="MCH42" s="285"/>
      <c r="MCI42" s="285"/>
      <c r="MCJ42" s="285"/>
      <c r="MCK42" s="285"/>
      <c r="MCL42" s="285"/>
      <c r="MCM42" s="285"/>
      <c r="MCN42" s="285"/>
      <c r="MCO42" s="285"/>
      <c r="MCP42" s="285"/>
      <c r="MCQ42" s="285"/>
      <c r="MCR42" s="285"/>
      <c r="MCS42" s="285"/>
      <c r="MCT42" s="285"/>
      <c r="MCU42" s="285"/>
      <c r="MCV42" s="285"/>
      <c r="MCW42" s="285"/>
      <c r="MCX42" s="285"/>
      <c r="MCY42" s="285"/>
      <c r="MCZ42" s="285"/>
      <c r="MDA42" s="285"/>
      <c r="MDB42" s="285"/>
      <c r="MDC42" s="285"/>
      <c r="MDD42" s="285"/>
      <c r="MDE42" s="285"/>
      <c r="MDF42" s="285"/>
      <c r="MDG42" s="285"/>
      <c r="MDH42" s="285"/>
      <c r="MDI42" s="285"/>
      <c r="MDJ42" s="285"/>
      <c r="MDK42" s="285"/>
      <c r="MDL42" s="285"/>
      <c r="MDM42" s="285"/>
      <c r="MDN42" s="285"/>
      <c r="MDO42" s="285"/>
      <c r="MDP42" s="285"/>
      <c r="MDQ42" s="285"/>
      <c r="MDR42" s="285"/>
      <c r="MDS42" s="285"/>
      <c r="MDT42" s="285"/>
      <c r="MDU42" s="285"/>
      <c r="MDV42" s="285"/>
      <c r="MDW42" s="285"/>
      <c r="MDX42" s="285"/>
      <c r="MDY42" s="285"/>
      <c r="MDZ42" s="285"/>
      <c r="MEA42" s="285"/>
      <c r="MEB42" s="285"/>
      <c r="MEC42" s="285"/>
      <c r="MED42" s="285"/>
      <c r="MEE42" s="285"/>
      <c r="MEF42" s="285"/>
      <c r="MEG42" s="285"/>
      <c r="MEH42" s="285"/>
      <c r="MEI42" s="285"/>
      <c r="MEJ42" s="285"/>
      <c r="MEK42" s="285"/>
      <c r="MEL42" s="285"/>
      <c r="MEM42" s="285"/>
      <c r="MEN42" s="285"/>
      <c r="MEO42" s="285"/>
      <c r="MEP42" s="285"/>
      <c r="MEQ42" s="285"/>
      <c r="MER42" s="285"/>
      <c r="MES42" s="285"/>
      <c r="MET42" s="285"/>
      <c r="MEU42" s="285"/>
      <c r="MEV42" s="285"/>
      <c r="MEW42" s="285"/>
      <c r="MEX42" s="285"/>
      <c r="MEY42" s="285"/>
      <c r="MEZ42" s="285"/>
      <c r="MFA42" s="285"/>
      <c r="MFB42" s="285"/>
      <c r="MFC42" s="285"/>
      <c r="MFD42" s="285"/>
      <c r="MFE42" s="285"/>
      <c r="MFF42" s="285"/>
      <c r="MFG42" s="285"/>
      <c r="MFH42" s="285"/>
      <c r="MFI42" s="285"/>
      <c r="MFJ42" s="285"/>
      <c r="MFK42" s="285"/>
      <c r="MFL42" s="285"/>
      <c r="MFM42" s="285"/>
      <c r="MFN42" s="285"/>
      <c r="MFO42" s="285"/>
      <c r="MFP42" s="285"/>
      <c r="MFQ42" s="285"/>
      <c r="MFR42" s="285"/>
      <c r="MFS42" s="285"/>
      <c r="MFT42" s="285"/>
      <c r="MFU42" s="285"/>
      <c r="MFV42" s="285"/>
      <c r="MFW42" s="285"/>
      <c r="MFX42" s="285"/>
      <c r="MFY42" s="285"/>
      <c r="MFZ42" s="285"/>
      <c r="MGA42" s="285"/>
      <c r="MGB42" s="285"/>
      <c r="MGC42" s="285"/>
      <c r="MGD42" s="285"/>
      <c r="MGE42" s="285"/>
      <c r="MGF42" s="285"/>
      <c r="MGG42" s="285"/>
      <c r="MGH42" s="285"/>
      <c r="MGI42" s="285"/>
      <c r="MGJ42" s="285"/>
      <c r="MGK42" s="285"/>
      <c r="MGL42" s="285"/>
      <c r="MGM42" s="285"/>
      <c r="MGN42" s="285"/>
      <c r="MGO42" s="285"/>
      <c r="MGP42" s="285"/>
      <c r="MGQ42" s="285"/>
      <c r="MGR42" s="285"/>
      <c r="MGS42" s="285"/>
      <c r="MGT42" s="285"/>
      <c r="MGU42" s="285"/>
      <c r="MGV42" s="285"/>
      <c r="MGW42" s="285"/>
      <c r="MGX42" s="285"/>
      <c r="MGY42" s="285"/>
      <c r="MGZ42" s="285"/>
      <c r="MHA42" s="285"/>
      <c r="MHB42" s="285"/>
      <c r="MHC42" s="285"/>
      <c r="MHD42" s="285"/>
      <c r="MHE42" s="285"/>
      <c r="MHF42" s="285"/>
      <c r="MHG42" s="285"/>
      <c r="MHH42" s="285"/>
      <c r="MHI42" s="285"/>
      <c r="MHJ42" s="285"/>
      <c r="MHK42" s="285"/>
      <c r="MHL42" s="285"/>
      <c r="MHM42" s="285"/>
      <c r="MHN42" s="285"/>
      <c r="MHO42" s="285"/>
      <c r="MHP42" s="285"/>
      <c r="MHQ42" s="285"/>
      <c r="MHR42" s="285"/>
      <c r="MHS42" s="285"/>
      <c r="MHT42" s="285"/>
      <c r="MHU42" s="285"/>
      <c r="MHV42" s="285"/>
      <c r="MHW42" s="285"/>
      <c r="MHX42" s="285"/>
      <c r="MHY42" s="285"/>
      <c r="MHZ42" s="285"/>
      <c r="MIA42" s="285"/>
      <c r="MIB42" s="285"/>
      <c r="MIC42" s="285"/>
      <c r="MID42" s="285"/>
      <c r="MIE42" s="285"/>
      <c r="MIF42" s="285"/>
      <c r="MIG42" s="285"/>
      <c r="MIH42" s="285"/>
      <c r="MII42" s="285"/>
      <c r="MIJ42" s="285"/>
      <c r="MIK42" s="285"/>
      <c r="MIL42" s="285"/>
      <c r="MIM42" s="285"/>
      <c r="MIN42" s="285"/>
      <c r="MIO42" s="285"/>
      <c r="MIP42" s="285"/>
      <c r="MIQ42" s="285"/>
      <c r="MIR42" s="285"/>
      <c r="MIS42" s="285"/>
      <c r="MIT42" s="285"/>
      <c r="MIU42" s="285"/>
      <c r="MIV42" s="285"/>
      <c r="MIW42" s="285"/>
      <c r="MIX42" s="285"/>
      <c r="MIY42" s="285"/>
      <c r="MIZ42" s="285"/>
      <c r="MJA42" s="285"/>
      <c r="MJB42" s="285"/>
      <c r="MJC42" s="285"/>
      <c r="MJD42" s="285"/>
      <c r="MJE42" s="285"/>
      <c r="MJF42" s="285"/>
      <c r="MJG42" s="285"/>
      <c r="MJH42" s="285"/>
      <c r="MJI42" s="285"/>
      <c r="MJJ42" s="285"/>
      <c r="MJK42" s="285"/>
      <c r="MJL42" s="285"/>
      <c r="MJM42" s="285"/>
      <c r="MJN42" s="285"/>
      <c r="MJO42" s="285"/>
      <c r="MJP42" s="285"/>
      <c r="MJQ42" s="285"/>
      <c r="MJR42" s="285"/>
      <c r="MJS42" s="285"/>
      <c r="MJT42" s="285"/>
      <c r="MJU42" s="285"/>
      <c r="MJV42" s="285"/>
      <c r="MJW42" s="285"/>
      <c r="MJX42" s="285"/>
      <c r="MJY42" s="285"/>
      <c r="MJZ42" s="285"/>
      <c r="MKA42" s="285"/>
      <c r="MKB42" s="285"/>
      <c r="MKC42" s="285"/>
      <c r="MKD42" s="285"/>
      <c r="MKE42" s="285"/>
      <c r="MKF42" s="285"/>
      <c r="MKG42" s="285"/>
      <c r="MKH42" s="285"/>
      <c r="MKI42" s="285"/>
      <c r="MKJ42" s="285"/>
      <c r="MKK42" s="285"/>
      <c r="MKL42" s="285"/>
      <c r="MKM42" s="285"/>
      <c r="MKN42" s="285"/>
      <c r="MKO42" s="285"/>
      <c r="MKP42" s="285"/>
      <c r="MKQ42" s="285"/>
      <c r="MKR42" s="285"/>
      <c r="MKS42" s="285"/>
      <c r="MKT42" s="285"/>
      <c r="MKU42" s="285"/>
      <c r="MKV42" s="285"/>
      <c r="MKW42" s="285"/>
      <c r="MKX42" s="285"/>
      <c r="MKY42" s="285"/>
      <c r="MKZ42" s="285"/>
      <c r="MLA42" s="285"/>
      <c r="MLB42" s="285"/>
      <c r="MLC42" s="285"/>
      <c r="MLD42" s="285"/>
      <c r="MLE42" s="285"/>
      <c r="MLF42" s="285"/>
      <c r="MLG42" s="285"/>
      <c r="MLH42" s="285"/>
      <c r="MLI42" s="285"/>
      <c r="MLJ42" s="285"/>
      <c r="MLK42" s="285"/>
      <c r="MLL42" s="285"/>
      <c r="MLM42" s="285"/>
      <c r="MLN42" s="285"/>
      <c r="MLO42" s="285"/>
      <c r="MLP42" s="285"/>
      <c r="MLQ42" s="285"/>
      <c r="MLR42" s="285"/>
      <c r="MLS42" s="285"/>
      <c r="MLT42" s="285"/>
      <c r="MLU42" s="285"/>
      <c r="MLV42" s="285"/>
      <c r="MLW42" s="285"/>
      <c r="MLX42" s="285"/>
      <c r="MLY42" s="285"/>
      <c r="MLZ42" s="285"/>
      <c r="MMA42" s="285"/>
      <c r="MMB42" s="285"/>
      <c r="MMC42" s="285"/>
      <c r="MMD42" s="285"/>
      <c r="MME42" s="285"/>
      <c r="MMF42" s="285"/>
      <c r="MMG42" s="285"/>
      <c r="MMH42" s="285"/>
      <c r="MMI42" s="285"/>
      <c r="MMJ42" s="285"/>
      <c r="MMK42" s="285"/>
      <c r="MML42" s="285"/>
      <c r="MMM42" s="285"/>
      <c r="MMN42" s="285"/>
      <c r="MMO42" s="285"/>
      <c r="MMP42" s="285"/>
      <c r="MMQ42" s="285"/>
      <c r="MMR42" s="285"/>
      <c r="MMS42" s="285"/>
      <c r="MMT42" s="285"/>
      <c r="MMU42" s="285"/>
      <c r="MMV42" s="285"/>
      <c r="MMW42" s="285"/>
      <c r="MMX42" s="285"/>
      <c r="MMY42" s="285"/>
      <c r="MMZ42" s="285"/>
      <c r="MNA42" s="285"/>
      <c r="MNB42" s="285"/>
      <c r="MNC42" s="285"/>
      <c r="MND42" s="285"/>
      <c r="MNE42" s="285"/>
      <c r="MNF42" s="285"/>
      <c r="MNG42" s="285"/>
      <c r="MNH42" s="285"/>
      <c r="MNI42" s="285"/>
      <c r="MNJ42" s="285"/>
      <c r="MNK42" s="285"/>
      <c r="MNL42" s="285"/>
      <c r="MNM42" s="285"/>
      <c r="MNN42" s="285"/>
      <c r="MNO42" s="285"/>
      <c r="MNP42" s="285"/>
      <c r="MNQ42" s="285"/>
      <c r="MNR42" s="285"/>
      <c r="MNS42" s="285"/>
      <c r="MNT42" s="285"/>
      <c r="MNU42" s="285"/>
      <c r="MNV42" s="285"/>
      <c r="MNW42" s="285"/>
      <c r="MNX42" s="285"/>
      <c r="MNY42" s="285"/>
      <c r="MNZ42" s="285"/>
      <c r="MOA42" s="285"/>
      <c r="MOB42" s="285"/>
      <c r="MOC42" s="285"/>
      <c r="MOD42" s="285"/>
      <c r="MOE42" s="285"/>
      <c r="MOF42" s="285"/>
      <c r="MOG42" s="285"/>
      <c r="MOH42" s="285"/>
      <c r="MOI42" s="285"/>
      <c r="MOJ42" s="285"/>
      <c r="MOK42" s="285"/>
      <c r="MOL42" s="285"/>
      <c r="MOM42" s="285"/>
      <c r="MON42" s="285"/>
      <c r="MOO42" s="285"/>
      <c r="MOP42" s="285"/>
      <c r="MOQ42" s="285"/>
      <c r="MOR42" s="285"/>
      <c r="MOS42" s="285"/>
      <c r="MOT42" s="285"/>
      <c r="MOU42" s="285"/>
      <c r="MOV42" s="285"/>
      <c r="MOW42" s="285"/>
      <c r="MOX42" s="285"/>
      <c r="MOY42" s="285"/>
      <c r="MOZ42" s="285"/>
      <c r="MPA42" s="285"/>
      <c r="MPB42" s="285"/>
      <c r="MPC42" s="285"/>
      <c r="MPD42" s="285"/>
      <c r="MPE42" s="285"/>
      <c r="MPF42" s="285"/>
      <c r="MPG42" s="285"/>
      <c r="MPH42" s="285"/>
      <c r="MPI42" s="285"/>
      <c r="MPJ42" s="285"/>
      <c r="MPK42" s="285"/>
      <c r="MPL42" s="285"/>
      <c r="MPM42" s="285"/>
      <c r="MPN42" s="285"/>
      <c r="MPO42" s="285"/>
      <c r="MPP42" s="285"/>
      <c r="MPQ42" s="285"/>
      <c r="MPR42" s="285"/>
      <c r="MPS42" s="285"/>
      <c r="MPT42" s="285"/>
      <c r="MPU42" s="285"/>
      <c r="MPV42" s="285"/>
      <c r="MPW42" s="285"/>
      <c r="MPX42" s="285"/>
      <c r="MPY42" s="285"/>
      <c r="MPZ42" s="285"/>
      <c r="MQA42" s="285"/>
      <c r="MQB42" s="285"/>
      <c r="MQC42" s="285"/>
      <c r="MQD42" s="285"/>
      <c r="MQE42" s="285"/>
      <c r="MQF42" s="285"/>
      <c r="MQG42" s="285"/>
      <c r="MQH42" s="285"/>
      <c r="MQI42" s="285"/>
      <c r="MQJ42" s="285"/>
      <c r="MQK42" s="285"/>
      <c r="MQL42" s="285"/>
      <c r="MQM42" s="285"/>
      <c r="MQN42" s="285"/>
      <c r="MQO42" s="285"/>
      <c r="MQP42" s="285"/>
      <c r="MQQ42" s="285"/>
      <c r="MQR42" s="285"/>
      <c r="MQS42" s="285"/>
      <c r="MQT42" s="285"/>
      <c r="MQU42" s="285"/>
      <c r="MQV42" s="285"/>
      <c r="MQW42" s="285"/>
      <c r="MQX42" s="285"/>
      <c r="MQY42" s="285"/>
      <c r="MQZ42" s="285"/>
      <c r="MRA42" s="285"/>
      <c r="MRB42" s="285"/>
      <c r="MRC42" s="285"/>
      <c r="MRD42" s="285"/>
      <c r="MRE42" s="285"/>
      <c r="MRF42" s="285"/>
      <c r="MRG42" s="285"/>
      <c r="MRH42" s="285"/>
      <c r="MRI42" s="285"/>
      <c r="MRJ42" s="285"/>
      <c r="MRK42" s="285"/>
      <c r="MRL42" s="285"/>
      <c r="MRM42" s="285"/>
      <c r="MRN42" s="285"/>
      <c r="MRO42" s="285"/>
      <c r="MRP42" s="285"/>
      <c r="MRQ42" s="285"/>
      <c r="MRR42" s="285"/>
      <c r="MRS42" s="285"/>
      <c r="MRT42" s="285"/>
      <c r="MRU42" s="285"/>
      <c r="MRV42" s="285"/>
      <c r="MRW42" s="285"/>
      <c r="MRX42" s="285"/>
      <c r="MRY42" s="285"/>
      <c r="MRZ42" s="285"/>
      <c r="MSA42" s="285"/>
      <c r="MSB42" s="285"/>
      <c r="MSC42" s="285"/>
      <c r="MSD42" s="285"/>
      <c r="MSE42" s="285"/>
      <c r="MSF42" s="285"/>
      <c r="MSG42" s="285"/>
      <c r="MSH42" s="285"/>
      <c r="MSI42" s="285"/>
      <c r="MSJ42" s="285"/>
      <c r="MSK42" s="285"/>
      <c r="MSL42" s="285"/>
      <c r="MSM42" s="285"/>
      <c r="MSN42" s="285"/>
      <c r="MSO42" s="285"/>
      <c r="MSP42" s="285"/>
      <c r="MSQ42" s="285"/>
      <c r="MSR42" s="285"/>
      <c r="MSS42" s="285"/>
      <c r="MST42" s="285"/>
      <c r="MSU42" s="285"/>
      <c r="MSV42" s="285"/>
      <c r="MSW42" s="285"/>
      <c r="MSX42" s="285"/>
      <c r="MSY42" s="285"/>
      <c r="MSZ42" s="285"/>
      <c r="MTA42" s="285"/>
      <c r="MTB42" s="285"/>
      <c r="MTC42" s="285"/>
      <c r="MTD42" s="285"/>
      <c r="MTE42" s="285"/>
      <c r="MTF42" s="285"/>
      <c r="MTG42" s="285"/>
      <c r="MTH42" s="285"/>
      <c r="MTI42" s="285"/>
      <c r="MTJ42" s="285"/>
      <c r="MTK42" s="285"/>
      <c r="MTL42" s="285"/>
      <c r="MTM42" s="285"/>
      <c r="MTN42" s="285"/>
      <c r="MTO42" s="285"/>
      <c r="MTP42" s="285"/>
      <c r="MTQ42" s="285"/>
      <c r="MTR42" s="285"/>
      <c r="MTS42" s="285"/>
      <c r="MTT42" s="285"/>
      <c r="MTU42" s="285"/>
      <c r="MTV42" s="285"/>
      <c r="MTW42" s="285"/>
      <c r="MTX42" s="285"/>
      <c r="MTY42" s="285"/>
      <c r="MTZ42" s="285"/>
      <c r="MUA42" s="285"/>
      <c r="MUB42" s="285"/>
      <c r="MUC42" s="285"/>
      <c r="MUD42" s="285"/>
      <c r="MUE42" s="285"/>
      <c r="MUF42" s="285"/>
      <c r="MUG42" s="285"/>
      <c r="MUH42" s="285"/>
      <c r="MUI42" s="285"/>
      <c r="MUJ42" s="285"/>
      <c r="MUK42" s="285"/>
      <c r="MUL42" s="285"/>
      <c r="MUM42" s="285"/>
      <c r="MUN42" s="285"/>
      <c r="MUO42" s="285"/>
      <c r="MUP42" s="285"/>
      <c r="MUQ42" s="285"/>
      <c r="MUR42" s="285"/>
      <c r="MUS42" s="285"/>
      <c r="MUT42" s="285"/>
      <c r="MUU42" s="285"/>
      <c r="MUV42" s="285"/>
      <c r="MUW42" s="285"/>
      <c r="MUX42" s="285"/>
      <c r="MUY42" s="285"/>
      <c r="MUZ42" s="285"/>
      <c r="MVA42" s="285"/>
      <c r="MVB42" s="285"/>
      <c r="MVC42" s="285"/>
      <c r="MVD42" s="285"/>
      <c r="MVE42" s="285"/>
      <c r="MVF42" s="285"/>
      <c r="MVG42" s="285"/>
      <c r="MVH42" s="285"/>
      <c r="MVI42" s="285"/>
      <c r="MVJ42" s="285"/>
      <c r="MVK42" s="285"/>
      <c r="MVL42" s="285"/>
      <c r="MVM42" s="285"/>
      <c r="MVN42" s="285"/>
      <c r="MVO42" s="285"/>
      <c r="MVP42" s="285"/>
      <c r="MVQ42" s="285"/>
      <c r="MVR42" s="285"/>
      <c r="MVS42" s="285"/>
      <c r="MVT42" s="285"/>
      <c r="MVU42" s="285"/>
      <c r="MVV42" s="285"/>
      <c r="MVW42" s="285"/>
      <c r="MVX42" s="285"/>
      <c r="MVY42" s="285"/>
      <c r="MVZ42" s="285"/>
      <c r="MWA42" s="285"/>
      <c r="MWB42" s="285"/>
      <c r="MWC42" s="285"/>
      <c r="MWD42" s="285"/>
      <c r="MWE42" s="285"/>
      <c r="MWF42" s="285"/>
      <c r="MWG42" s="285"/>
      <c r="MWH42" s="285"/>
      <c r="MWI42" s="285"/>
      <c r="MWJ42" s="285"/>
      <c r="MWK42" s="285"/>
      <c r="MWL42" s="285"/>
      <c r="MWM42" s="285"/>
      <c r="MWN42" s="285"/>
      <c r="MWO42" s="285"/>
      <c r="MWP42" s="285"/>
      <c r="MWQ42" s="285"/>
      <c r="MWR42" s="285"/>
      <c r="MWS42" s="285"/>
      <c r="MWT42" s="285"/>
      <c r="MWU42" s="285"/>
      <c r="MWV42" s="285"/>
      <c r="MWW42" s="285"/>
      <c r="MWX42" s="285"/>
      <c r="MWY42" s="285"/>
      <c r="MWZ42" s="285"/>
      <c r="MXA42" s="285"/>
      <c r="MXB42" s="285"/>
      <c r="MXC42" s="285"/>
      <c r="MXD42" s="285"/>
      <c r="MXE42" s="285"/>
      <c r="MXF42" s="285"/>
      <c r="MXG42" s="285"/>
      <c r="MXH42" s="285"/>
      <c r="MXI42" s="285"/>
      <c r="MXJ42" s="285"/>
      <c r="MXK42" s="285"/>
      <c r="MXL42" s="285"/>
      <c r="MXM42" s="285"/>
      <c r="MXN42" s="285"/>
      <c r="MXO42" s="285"/>
      <c r="MXP42" s="285"/>
      <c r="MXQ42" s="285"/>
      <c r="MXR42" s="285"/>
      <c r="MXS42" s="285"/>
      <c r="MXT42" s="285"/>
      <c r="MXU42" s="285"/>
      <c r="MXV42" s="285"/>
      <c r="MXW42" s="285"/>
      <c r="MXX42" s="285"/>
      <c r="MXY42" s="285"/>
      <c r="MXZ42" s="285"/>
      <c r="MYA42" s="285"/>
      <c r="MYB42" s="285"/>
      <c r="MYC42" s="285"/>
      <c r="MYD42" s="285"/>
      <c r="MYE42" s="285"/>
      <c r="MYF42" s="285"/>
      <c r="MYG42" s="285"/>
      <c r="MYH42" s="285"/>
      <c r="MYI42" s="285"/>
      <c r="MYJ42" s="285"/>
      <c r="MYK42" s="285"/>
      <c r="MYL42" s="285"/>
      <c r="MYM42" s="285"/>
      <c r="MYN42" s="285"/>
      <c r="MYO42" s="285"/>
      <c r="MYP42" s="285"/>
      <c r="MYQ42" s="285"/>
      <c r="MYR42" s="285"/>
      <c r="MYS42" s="285"/>
      <c r="MYT42" s="285"/>
      <c r="MYU42" s="285"/>
      <c r="MYV42" s="285"/>
      <c r="MYW42" s="285"/>
      <c r="MYX42" s="285"/>
      <c r="MYY42" s="285"/>
      <c r="MYZ42" s="285"/>
      <c r="MZA42" s="285"/>
      <c r="MZB42" s="285"/>
      <c r="MZC42" s="285"/>
      <c r="MZD42" s="285"/>
      <c r="MZE42" s="285"/>
      <c r="MZF42" s="285"/>
      <c r="MZG42" s="285"/>
      <c r="MZH42" s="285"/>
      <c r="MZI42" s="285"/>
      <c r="MZJ42" s="285"/>
      <c r="MZK42" s="285"/>
      <c r="MZL42" s="285"/>
      <c r="MZM42" s="285"/>
      <c r="MZN42" s="285"/>
      <c r="MZO42" s="285"/>
      <c r="MZP42" s="285"/>
      <c r="MZQ42" s="285"/>
      <c r="MZR42" s="285"/>
      <c r="MZS42" s="285"/>
      <c r="MZT42" s="285"/>
      <c r="MZU42" s="285"/>
      <c r="MZV42" s="285"/>
      <c r="MZW42" s="285"/>
      <c r="MZX42" s="285"/>
      <c r="MZY42" s="285"/>
      <c r="MZZ42" s="285"/>
      <c r="NAA42" s="285"/>
      <c r="NAB42" s="285"/>
      <c r="NAC42" s="285"/>
      <c r="NAD42" s="285"/>
      <c r="NAE42" s="285"/>
      <c r="NAF42" s="285"/>
      <c r="NAG42" s="285"/>
      <c r="NAH42" s="285"/>
      <c r="NAI42" s="285"/>
      <c r="NAJ42" s="285"/>
      <c r="NAK42" s="285"/>
      <c r="NAL42" s="285"/>
      <c r="NAM42" s="285"/>
      <c r="NAN42" s="285"/>
      <c r="NAO42" s="285"/>
      <c r="NAP42" s="285"/>
      <c r="NAQ42" s="285"/>
      <c r="NAR42" s="285"/>
      <c r="NAS42" s="285"/>
      <c r="NAT42" s="285"/>
      <c r="NAU42" s="285"/>
      <c r="NAV42" s="285"/>
      <c r="NAW42" s="285"/>
      <c r="NAX42" s="285"/>
      <c r="NAY42" s="285"/>
      <c r="NAZ42" s="285"/>
      <c r="NBA42" s="285"/>
      <c r="NBB42" s="285"/>
      <c r="NBC42" s="285"/>
      <c r="NBD42" s="285"/>
      <c r="NBE42" s="285"/>
      <c r="NBF42" s="285"/>
      <c r="NBG42" s="285"/>
      <c r="NBH42" s="285"/>
      <c r="NBI42" s="285"/>
      <c r="NBJ42" s="285"/>
      <c r="NBK42" s="285"/>
      <c r="NBL42" s="285"/>
      <c r="NBM42" s="285"/>
      <c r="NBN42" s="285"/>
      <c r="NBO42" s="285"/>
      <c r="NBP42" s="285"/>
      <c r="NBQ42" s="285"/>
      <c r="NBR42" s="285"/>
      <c r="NBS42" s="285"/>
      <c r="NBT42" s="285"/>
      <c r="NBU42" s="285"/>
      <c r="NBV42" s="285"/>
      <c r="NBW42" s="285"/>
      <c r="NBX42" s="285"/>
      <c r="NBY42" s="285"/>
      <c r="NBZ42" s="285"/>
      <c r="NCA42" s="285"/>
      <c r="NCB42" s="285"/>
      <c r="NCC42" s="285"/>
      <c r="NCD42" s="285"/>
      <c r="NCE42" s="285"/>
      <c r="NCF42" s="285"/>
      <c r="NCG42" s="285"/>
      <c r="NCH42" s="285"/>
      <c r="NCI42" s="285"/>
      <c r="NCJ42" s="285"/>
      <c r="NCK42" s="285"/>
      <c r="NCL42" s="285"/>
      <c r="NCM42" s="285"/>
      <c r="NCN42" s="285"/>
      <c r="NCO42" s="285"/>
      <c r="NCP42" s="285"/>
      <c r="NCQ42" s="285"/>
      <c r="NCR42" s="285"/>
      <c r="NCS42" s="285"/>
      <c r="NCT42" s="285"/>
      <c r="NCU42" s="285"/>
      <c r="NCV42" s="285"/>
      <c r="NCW42" s="285"/>
      <c r="NCX42" s="285"/>
      <c r="NCY42" s="285"/>
      <c r="NCZ42" s="285"/>
      <c r="NDA42" s="285"/>
      <c r="NDB42" s="285"/>
      <c r="NDC42" s="285"/>
      <c r="NDD42" s="285"/>
      <c r="NDE42" s="285"/>
      <c r="NDF42" s="285"/>
      <c r="NDG42" s="285"/>
      <c r="NDH42" s="285"/>
      <c r="NDI42" s="285"/>
      <c r="NDJ42" s="285"/>
      <c r="NDK42" s="285"/>
      <c r="NDL42" s="285"/>
      <c r="NDM42" s="285"/>
      <c r="NDN42" s="285"/>
      <c r="NDO42" s="285"/>
      <c r="NDP42" s="285"/>
      <c r="NDQ42" s="285"/>
      <c r="NDR42" s="285"/>
      <c r="NDS42" s="285"/>
      <c r="NDT42" s="285"/>
      <c r="NDU42" s="285"/>
      <c r="NDV42" s="285"/>
      <c r="NDW42" s="285"/>
      <c r="NDX42" s="285"/>
      <c r="NDY42" s="285"/>
      <c r="NDZ42" s="285"/>
      <c r="NEA42" s="285"/>
      <c r="NEB42" s="285"/>
      <c r="NEC42" s="285"/>
      <c r="NED42" s="285"/>
      <c r="NEE42" s="285"/>
      <c r="NEF42" s="285"/>
      <c r="NEG42" s="285"/>
      <c r="NEH42" s="285"/>
      <c r="NEI42" s="285"/>
      <c r="NEJ42" s="285"/>
      <c r="NEK42" s="285"/>
      <c r="NEL42" s="285"/>
      <c r="NEM42" s="285"/>
      <c r="NEN42" s="285"/>
      <c r="NEO42" s="285"/>
      <c r="NEP42" s="285"/>
      <c r="NEQ42" s="285"/>
      <c r="NER42" s="285"/>
      <c r="NES42" s="285"/>
      <c r="NET42" s="285"/>
      <c r="NEU42" s="285"/>
      <c r="NEV42" s="285"/>
      <c r="NEW42" s="285"/>
      <c r="NEX42" s="285"/>
      <c r="NEY42" s="285"/>
      <c r="NEZ42" s="285"/>
      <c r="NFA42" s="285"/>
      <c r="NFB42" s="285"/>
      <c r="NFC42" s="285"/>
      <c r="NFD42" s="285"/>
      <c r="NFE42" s="285"/>
      <c r="NFF42" s="285"/>
      <c r="NFG42" s="285"/>
      <c r="NFH42" s="285"/>
      <c r="NFI42" s="285"/>
      <c r="NFJ42" s="285"/>
      <c r="NFK42" s="285"/>
      <c r="NFL42" s="285"/>
      <c r="NFM42" s="285"/>
      <c r="NFN42" s="285"/>
      <c r="NFO42" s="285"/>
      <c r="NFP42" s="285"/>
      <c r="NFQ42" s="285"/>
      <c r="NFR42" s="285"/>
      <c r="NFS42" s="285"/>
      <c r="NFT42" s="285"/>
      <c r="NFU42" s="285"/>
      <c r="NFV42" s="285"/>
      <c r="NFW42" s="285"/>
      <c r="NFX42" s="285"/>
      <c r="NFY42" s="285"/>
      <c r="NFZ42" s="285"/>
      <c r="NGA42" s="285"/>
      <c r="NGB42" s="285"/>
      <c r="NGC42" s="285"/>
      <c r="NGD42" s="285"/>
      <c r="NGE42" s="285"/>
      <c r="NGF42" s="285"/>
      <c r="NGG42" s="285"/>
      <c r="NGH42" s="285"/>
      <c r="NGI42" s="285"/>
      <c r="NGJ42" s="285"/>
      <c r="NGK42" s="285"/>
      <c r="NGL42" s="285"/>
      <c r="NGM42" s="285"/>
      <c r="NGN42" s="285"/>
      <c r="NGO42" s="285"/>
      <c r="NGP42" s="285"/>
      <c r="NGQ42" s="285"/>
      <c r="NGR42" s="285"/>
      <c r="NGS42" s="285"/>
      <c r="NGT42" s="285"/>
      <c r="NGU42" s="285"/>
      <c r="NGV42" s="285"/>
      <c r="NGW42" s="285"/>
      <c r="NGX42" s="285"/>
      <c r="NGY42" s="285"/>
      <c r="NGZ42" s="285"/>
      <c r="NHA42" s="285"/>
      <c r="NHB42" s="285"/>
      <c r="NHC42" s="285"/>
      <c r="NHD42" s="285"/>
      <c r="NHE42" s="285"/>
      <c r="NHF42" s="285"/>
      <c r="NHG42" s="285"/>
      <c r="NHH42" s="285"/>
      <c r="NHI42" s="285"/>
      <c r="NHJ42" s="285"/>
      <c r="NHK42" s="285"/>
      <c r="NHL42" s="285"/>
      <c r="NHM42" s="285"/>
      <c r="NHN42" s="285"/>
      <c r="NHO42" s="285"/>
      <c r="NHP42" s="285"/>
      <c r="NHQ42" s="285"/>
      <c r="NHR42" s="285"/>
      <c r="NHS42" s="285"/>
      <c r="NHT42" s="285"/>
      <c r="NHU42" s="285"/>
      <c r="NHV42" s="285"/>
      <c r="NHW42" s="285"/>
      <c r="NHX42" s="285"/>
      <c r="NHY42" s="285"/>
      <c r="NHZ42" s="285"/>
      <c r="NIA42" s="285"/>
      <c r="NIB42" s="285"/>
      <c r="NIC42" s="285"/>
      <c r="NID42" s="285"/>
      <c r="NIE42" s="285"/>
      <c r="NIF42" s="285"/>
      <c r="NIG42" s="285"/>
      <c r="NIH42" s="285"/>
      <c r="NII42" s="285"/>
      <c r="NIJ42" s="285"/>
      <c r="NIK42" s="285"/>
      <c r="NIL42" s="285"/>
      <c r="NIM42" s="285"/>
      <c r="NIN42" s="285"/>
      <c r="NIO42" s="285"/>
      <c r="NIP42" s="285"/>
      <c r="NIQ42" s="285"/>
      <c r="NIR42" s="285"/>
      <c r="NIS42" s="285"/>
      <c r="NIT42" s="285"/>
      <c r="NIU42" s="285"/>
      <c r="NIV42" s="285"/>
      <c r="NIW42" s="285"/>
      <c r="NIX42" s="285"/>
      <c r="NIY42" s="285"/>
      <c r="NIZ42" s="285"/>
      <c r="NJA42" s="285"/>
      <c r="NJB42" s="285"/>
      <c r="NJC42" s="285"/>
      <c r="NJD42" s="285"/>
      <c r="NJE42" s="285"/>
      <c r="NJF42" s="285"/>
      <c r="NJG42" s="285"/>
      <c r="NJH42" s="285"/>
      <c r="NJI42" s="285"/>
      <c r="NJJ42" s="285"/>
      <c r="NJK42" s="285"/>
      <c r="NJL42" s="285"/>
      <c r="NJM42" s="285"/>
      <c r="NJN42" s="285"/>
      <c r="NJO42" s="285"/>
      <c r="NJP42" s="285"/>
      <c r="NJQ42" s="285"/>
      <c r="NJR42" s="285"/>
      <c r="NJS42" s="285"/>
      <c r="NJT42" s="285"/>
      <c r="NJU42" s="285"/>
      <c r="NJV42" s="285"/>
      <c r="NJW42" s="285"/>
      <c r="NJX42" s="285"/>
      <c r="NJY42" s="285"/>
      <c r="NJZ42" s="285"/>
      <c r="NKA42" s="285"/>
      <c r="NKB42" s="285"/>
      <c r="NKC42" s="285"/>
      <c r="NKD42" s="285"/>
      <c r="NKE42" s="285"/>
      <c r="NKF42" s="285"/>
      <c r="NKG42" s="285"/>
      <c r="NKH42" s="285"/>
      <c r="NKI42" s="285"/>
      <c r="NKJ42" s="285"/>
      <c r="NKK42" s="285"/>
      <c r="NKL42" s="285"/>
      <c r="NKM42" s="285"/>
      <c r="NKN42" s="285"/>
      <c r="NKO42" s="285"/>
      <c r="NKP42" s="285"/>
      <c r="NKQ42" s="285"/>
      <c r="NKR42" s="285"/>
      <c r="NKS42" s="285"/>
      <c r="NKT42" s="285"/>
      <c r="NKU42" s="285"/>
      <c r="NKV42" s="285"/>
      <c r="NKW42" s="285"/>
      <c r="NKX42" s="285"/>
      <c r="NKY42" s="285"/>
      <c r="NKZ42" s="285"/>
      <c r="NLA42" s="285"/>
      <c r="NLB42" s="285"/>
      <c r="NLC42" s="285"/>
      <c r="NLD42" s="285"/>
      <c r="NLE42" s="285"/>
      <c r="NLF42" s="285"/>
      <c r="NLG42" s="285"/>
      <c r="NLH42" s="285"/>
      <c r="NLI42" s="285"/>
      <c r="NLJ42" s="285"/>
      <c r="NLK42" s="285"/>
      <c r="NLL42" s="285"/>
      <c r="NLM42" s="285"/>
      <c r="NLN42" s="285"/>
      <c r="NLO42" s="285"/>
      <c r="NLP42" s="285"/>
      <c r="NLQ42" s="285"/>
      <c r="NLR42" s="285"/>
      <c r="NLS42" s="285"/>
      <c r="NLT42" s="285"/>
      <c r="NLU42" s="285"/>
      <c r="NLV42" s="285"/>
      <c r="NLW42" s="285"/>
      <c r="NLX42" s="285"/>
      <c r="NLY42" s="285"/>
      <c r="NLZ42" s="285"/>
      <c r="NMA42" s="285"/>
      <c r="NMB42" s="285"/>
      <c r="NMC42" s="285"/>
      <c r="NMD42" s="285"/>
      <c r="NME42" s="285"/>
      <c r="NMF42" s="285"/>
      <c r="NMG42" s="285"/>
      <c r="NMH42" s="285"/>
      <c r="NMI42" s="285"/>
      <c r="NMJ42" s="285"/>
      <c r="NMK42" s="285"/>
      <c r="NML42" s="285"/>
      <c r="NMM42" s="285"/>
      <c r="NMN42" s="285"/>
      <c r="NMO42" s="285"/>
      <c r="NMP42" s="285"/>
      <c r="NMQ42" s="285"/>
      <c r="NMR42" s="285"/>
      <c r="NMS42" s="285"/>
      <c r="NMT42" s="285"/>
      <c r="NMU42" s="285"/>
      <c r="NMV42" s="285"/>
      <c r="NMW42" s="285"/>
      <c r="NMX42" s="285"/>
      <c r="NMY42" s="285"/>
      <c r="NMZ42" s="285"/>
      <c r="NNA42" s="285"/>
      <c r="NNB42" s="285"/>
      <c r="NNC42" s="285"/>
      <c r="NND42" s="285"/>
      <c r="NNE42" s="285"/>
      <c r="NNF42" s="285"/>
      <c r="NNG42" s="285"/>
      <c r="NNH42" s="285"/>
      <c r="NNI42" s="285"/>
      <c r="NNJ42" s="285"/>
      <c r="NNK42" s="285"/>
      <c r="NNL42" s="285"/>
      <c r="NNM42" s="285"/>
      <c r="NNN42" s="285"/>
      <c r="NNO42" s="285"/>
      <c r="NNP42" s="285"/>
      <c r="NNQ42" s="285"/>
      <c r="NNR42" s="285"/>
      <c r="NNS42" s="285"/>
      <c r="NNT42" s="285"/>
      <c r="NNU42" s="285"/>
      <c r="NNV42" s="285"/>
      <c r="NNW42" s="285"/>
      <c r="NNX42" s="285"/>
      <c r="NNY42" s="285"/>
      <c r="NNZ42" s="285"/>
      <c r="NOA42" s="285"/>
      <c r="NOB42" s="285"/>
      <c r="NOC42" s="285"/>
      <c r="NOD42" s="285"/>
      <c r="NOE42" s="285"/>
      <c r="NOF42" s="285"/>
      <c r="NOG42" s="285"/>
      <c r="NOH42" s="285"/>
      <c r="NOI42" s="285"/>
      <c r="NOJ42" s="285"/>
      <c r="NOK42" s="285"/>
      <c r="NOL42" s="285"/>
      <c r="NOM42" s="285"/>
      <c r="NON42" s="285"/>
      <c r="NOO42" s="285"/>
      <c r="NOP42" s="285"/>
      <c r="NOQ42" s="285"/>
      <c r="NOR42" s="285"/>
      <c r="NOS42" s="285"/>
      <c r="NOT42" s="285"/>
      <c r="NOU42" s="285"/>
      <c r="NOV42" s="285"/>
      <c r="NOW42" s="285"/>
      <c r="NOX42" s="285"/>
      <c r="NOY42" s="285"/>
      <c r="NOZ42" s="285"/>
      <c r="NPA42" s="285"/>
      <c r="NPB42" s="285"/>
      <c r="NPC42" s="285"/>
      <c r="NPD42" s="285"/>
      <c r="NPE42" s="285"/>
      <c r="NPF42" s="285"/>
      <c r="NPG42" s="285"/>
      <c r="NPH42" s="285"/>
      <c r="NPI42" s="285"/>
      <c r="NPJ42" s="285"/>
      <c r="NPK42" s="285"/>
      <c r="NPL42" s="285"/>
      <c r="NPM42" s="285"/>
      <c r="NPN42" s="285"/>
      <c r="NPO42" s="285"/>
      <c r="NPP42" s="285"/>
      <c r="NPQ42" s="285"/>
      <c r="NPR42" s="285"/>
      <c r="NPS42" s="285"/>
      <c r="NPT42" s="285"/>
      <c r="NPU42" s="285"/>
      <c r="NPV42" s="285"/>
      <c r="NPW42" s="285"/>
      <c r="NPX42" s="285"/>
      <c r="NPY42" s="285"/>
      <c r="NPZ42" s="285"/>
      <c r="NQA42" s="285"/>
      <c r="NQB42" s="285"/>
      <c r="NQC42" s="285"/>
      <c r="NQD42" s="285"/>
      <c r="NQE42" s="285"/>
      <c r="NQF42" s="285"/>
      <c r="NQG42" s="285"/>
      <c r="NQH42" s="285"/>
      <c r="NQI42" s="285"/>
      <c r="NQJ42" s="285"/>
      <c r="NQK42" s="285"/>
      <c r="NQL42" s="285"/>
      <c r="NQM42" s="285"/>
      <c r="NQN42" s="285"/>
      <c r="NQO42" s="285"/>
      <c r="NQP42" s="285"/>
      <c r="NQQ42" s="285"/>
      <c r="NQR42" s="285"/>
      <c r="NQS42" s="285"/>
      <c r="NQT42" s="285"/>
      <c r="NQU42" s="285"/>
      <c r="NQV42" s="285"/>
      <c r="NQW42" s="285"/>
      <c r="NQX42" s="285"/>
      <c r="NQY42" s="285"/>
      <c r="NQZ42" s="285"/>
      <c r="NRA42" s="285"/>
      <c r="NRB42" s="285"/>
      <c r="NRC42" s="285"/>
      <c r="NRD42" s="285"/>
      <c r="NRE42" s="285"/>
      <c r="NRF42" s="285"/>
      <c r="NRG42" s="285"/>
      <c r="NRH42" s="285"/>
      <c r="NRI42" s="285"/>
      <c r="NRJ42" s="285"/>
      <c r="NRK42" s="285"/>
      <c r="NRL42" s="285"/>
      <c r="NRM42" s="285"/>
      <c r="NRN42" s="285"/>
      <c r="NRO42" s="285"/>
      <c r="NRP42" s="285"/>
      <c r="NRQ42" s="285"/>
      <c r="NRR42" s="285"/>
      <c r="NRS42" s="285"/>
      <c r="NRT42" s="285"/>
      <c r="NRU42" s="285"/>
      <c r="NRV42" s="285"/>
      <c r="NRW42" s="285"/>
      <c r="NRX42" s="285"/>
      <c r="NRY42" s="285"/>
      <c r="NRZ42" s="285"/>
      <c r="NSA42" s="285"/>
      <c r="NSB42" s="285"/>
      <c r="NSC42" s="285"/>
      <c r="NSD42" s="285"/>
      <c r="NSE42" s="285"/>
      <c r="NSF42" s="285"/>
      <c r="NSG42" s="285"/>
      <c r="NSH42" s="285"/>
      <c r="NSI42" s="285"/>
      <c r="NSJ42" s="285"/>
      <c r="NSK42" s="285"/>
      <c r="NSL42" s="285"/>
      <c r="NSM42" s="285"/>
      <c r="NSN42" s="285"/>
      <c r="NSO42" s="285"/>
      <c r="NSP42" s="285"/>
      <c r="NSQ42" s="285"/>
      <c r="NSR42" s="285"/>
      <c r="NSS42" s="285"/>
      <c r="NST42" s="285"/>
      <c r="NSU42" s="285"/>
      <c r="NSV42" s="285"/>
      <c r="NSW42" s="285"/>
      <c r="NSX42" s="285"/>
      <c r="NSY42" s="285"/>
      <c r="NSZ42" s="285"/>
      <c r="NTA42" s="285"/>
      <c r="NTB42" s="285"/>
      <c r="NTC42" s="285"/>
      <c r="NTD42" s="285"/>
      <c r="NTE42" s="285"/>
      <c r="NTF42" s="285"/>
      <c r="NTG42" s="285"/>
      <c r="NTH42" s="285"/>
      <c r="NTI42" s="285"/>
      <c r="NTJ42" s="285"/>
      <c r="NTK42" s="285"/>
      <c r="NTL42" s="285"/>
      <c r="NTM42" s="285"/>
      <c r="NTN42" s="285"/>
      <c r="NTO42" s="285"/>
      <c r="NTP42" s="285"/>
      <c r="NTQ42" s="285"/>
      <c r="NTR42" s="285"/>
      <c r="NTS42" s="285"/>
      <c r="NTT42" s="285"/>
      <c r="NTU42" s="285"/>
      <c r="NTV42" s="285"/>
      <c r="NTW42" s="285"/>
      <c r="NTX42" s="285"/>
      <c r="NTY42" s="285"/>
      <c r="NTZ42" s="285"/>
      <c r="NUA42" s="285"/>
      <c r="NUB42" s="285"/>
      <c r="NUC42" s="285"/>
      <c r="NUD42" s="285"/>
      <c r="NUE42" s="285"/>
      <c r="NUF42" s="285"/>
      <c r="NUG42" s="285"/>
      <c r="NUH42" s="285"/>
      <c r="NUI42" s="285"/>
      <c r="NUJ42" s="285"/>
      <c r="NUK42" s="285"/>
      <c r="NUL42" s="285"/>
      <c r="NUM42" s="285"/>
      <c r="NUN42" s="285"/>
      <c r="NUO42" s="285"/>
      <c r="NUP42" s="285"/>
      <c r="NUQ42" s="285"/>
      <c r="NUR42" s="285"/>
      <c r="NUS42" s="285"/>
      <c r="NUT42" s="285"/>
      <c r="NUU42" s="285"/>
      <c r="NUV42" s="285"/>
      <c r="NUW42" s="285"/>
      <c r="NUX42" s="285"/>
      <c r="NUY42" s="285"/>
      <c r="NUZ42" s="285"/>
      <c r="NVA42" s="285"/>
      <c r="NVB42" s="285"/>
      <c r="NVC42" s="285"/>
      <c r="NVD42" s="285"/>
      <c r="NVE42" s="285"/>
      <c r="NVF42" s="285"/>
      <c r="NVG42" s="285"/>
      <c r="NVH42" s="285"/>
      <c r="NVI42" s="285"/>
      <c r="NVJ42" s="285"/>
      <c r="NVK42" s="285"/>
      <c r="NVL42" s="285"/>
      <c r="NVM42" s="285"/>
      <c r="NVN42" s="285"/>
      <c r="NVO42" s="285"/>
      <c r="NVP42" s="285"/>
      <c r="NVQ42" s="285"/>
      <c r="NVR42" s="285"/>
      <c r="NVS42" s="285"/>
      <c r="NVT42" s="285"/>
      <c r="NVU42" s="285"/>
      <c r="NVV42" s="285"/>
      <c r="NVW42" s="285"/>
      <c r="NVX42" s="285"/>
      <c r="NVY42" s="285"/>
      <c r="NVZ42" s="285"/>
      <c r="NWA42" s="285"/>
      <c r="NWB42" s="285"/>
      <c r="NWC42" s="285"/>
      <c r="NWD42" s="285"/>
      <c r="NWE42" s="285"/>
      <c r="NWF42" s="285"/>
      <c r="NWG42" s="285"/>
      <c r="NWH42" s="285"/>
      <c r="NWI42" s="285"/>
      <c r="NWJ42" s="285"/>
      <c r="NWK42" s="285"/>
      <c r="NWL42" s="285"/>
      <c r="NWM42" s="285"/>
      <c r="NWN42" s="285"/>
      <c r="NWO42" s="285"/>
      <c r="NWP42" s="285"/>
      <c r="NWQ42" s="285"/>
      <c r="NWR42" s="285"/>
      <c r="NWS42" s="285"/>
      <c r="NWT42" s="285"/>
      <c r="NWU42" s="285"/>
      <c r="NWV42" s="285"/>
      <c r="NWW42" s="285"/>
      <c r="NWX42" s="285"/>
      <c r="NWY42" s="285"/>
      <c r="NWZ42" s="285"/>
      <c r="NXA42" s="285"/>
      <c r="NXB42" s="285"/>
      <c r="NXC42" s="285"/>
      <c r="NXD42" s="285"/>
      <c r="NXE42" s="285"/>
      <c r="NXF42" s="285"/>
      <c r="NXG42" s="285"/>
      <c r="NXH42" s="285"/>
      <c r="NXI42" s="285"/>
      <c r="NXJ42" s="285"/>
      <c r="NXK42" s="285"/>
      <c r="NXL42" s="285"/>
      <c r="NXM42" s="285"/>
      <c r="NXN42" s="285"/>
      <c r="NXO42" s="285"/>
      <c r="NXP42" s="285"/>
      <c r="NXQ42" s="285"/>
      <c r="NXR42" s="285"/>
      <c r="NXS42" s="285"/>
      <c r="NXT42" s="285"/>
      <c r="NXU42" s="285"/>
      <c r="NXV42" s="285"/>
      <c r="NXW42" s="285"/>
      <c r="NXX42" s="285"/>
      <c r="NXY42" s="285"/>
      <c r="NXZ42" s="285"/>
      <c r="NYA42" s="285"/>
      <c r="NYB42" s="285"/>
      <c r="NYC42" s="285"/>
      <c r="NYD42" s="285"/>
      <c r="NYE42" s="285"/>
      <c r="NYF42" s="285"/>
      <c r="NYG42" s="285"/>
      <c r="NYH42" s="285"/>
      <c r="NYI42" s="285"/>
      <c r="NYJ42" s="285"/>
      <c r="NYK42" s="285"/>
      <c r="NYL42" s="285"/>
      <c r="NYM42" s="285"/>
      <c r="NYN42" s="285"/>
      <c r="NYO42" s="285"/>
      <c r="NYP42" s="285"/>
      <c r="NYQ42" s="285"/>
      <c r="NYR42" s="285"/>
      <c r="NYS42" s="285"/>
      <c r="NYT42" s="285"/>
      <c r="NYU42" s="285"/>
      <c r="NYV42" s="285"/>
      <c r="NYW42" s="285"/>
      <c r="NYX42" s="285"/>
      <c r="NYY42" s="285"/>
      <c r="NYZ42" s="285"/>
      <c r="NZA42" s="285"/>
      <c r="NZB42" s="285"/>
      <c r="NZC42" s="285"/>
      <c r="NZD42" s="285"/>
      <c r="NZE42" s="285"/>
      <c r="NZF42" s="285"/>
      <c r="NZG42" s="285"/>
      <c r="NZH42" s="285"/>
      <c r="NZI42" s="285"/>
      <c r="NZJ42" s="285"/>
      <c r="NZK42" s="285"/>
      <c r="NZL42" s="285"/>
      <c r="NZM42" s="285"/>
      <c r="NZN42" s="285"/>
      <c r="NZO42" s="285"/>
      <c r="NZP42" s="285"/>
      <c r="NZQ42" s="285"/>
      <c r="NZR42" s="285"/>
      <c r="NZS42" s="285"/>
      <c r="NZT42" s="285"/>
      <c r="NZU42" s="285"/>
      <c r="NZV42" s="285"/>
      <c r="NZW42" s="285"/>
      <c r="NZX42" s="285"/>
      <c r="NZY42" s="285"/>
      <c r="NZZ42" s="285"/>
      <c r="OAA42" s="285"/>
      <c r="OAB42" s="285"/>
      <c r="OAC42" s="285"/>
      <c r="OAD42" s="285"/>
      <c r="OAE42" s="285"/>
      <c r="OAF42" s="285"/>
      <c r="OAG42" s="285"/>
      <c r="OAH42" s="285"/>
      <c r="OAI42" s="285"/>
      <c r="OAJ42" s="285"/>
      <c r="OAK42" s="285"/>
      <c r="OAL42" s="285"/>
      <c r="OAM42" s="285"/>
      <c r="OAN42" s="285"/>
      <c r="OAO42" s="285"/>
      <c r="OAP42" s="285"/>
      <c r="OAQ42" s="285"/>
      <c r="OAR42" s="285"/>
      <c r="OAS42" s="285"/>
      <c r="OAT42" s="285"/>
      <c r="OAU42" s="285"/>
      <c r="OAV42" s="285"/>
      <c r="OAW42" s="285"/>
      <c r="OAX42" s="285"/>
      <c r="OAY42" s="285"/>
      <c r="OAZ42" s="285"/>
      <c r="OBA42" s="285"/>
      <c r="OBB42" s="285"/>
      <c r="OBC42" s="285"/>
      <c r="OBD42" s="285"/>
      <c r="OBE42" s="285"/>
      <c r="OBF42" s="285"/>
      <c r="OBG42" s="285"/>
      <c r="OBH42" s="285"/>
      <c r="OBI42" s="285"/>
      <c r="OBJ42" s="285"/>
      <c r="OBK42" s="285"/>
      <c r="OBL42" s="285"/>
      <c r="OBM42" s="285"/>
      <c r="OBN42" s="285"/>
      <c r="OBO42" s="285"/>
      <c r="OBP42" s="285"/>
      <c r="OBQ42" s="285"/>
      <c r="OBR42" s="285"/>
      <c r="OBS42" s="285"/>
      <c r="OBT42" s="285"/>
      <c r="OBU42" s="285"/>
      <c r="OBV42" s="285"/>
      <c r="OBW42" s="285"/>
      <c r="OBX42" s="285"/>
      <c r="OBY42" s="285"/>
      <c r="OBZ42" s="285"/>
      <c r="OCA42" s="285"/>
      <c r="OCB42" s="285"/>
      <c r="OCC42" s="285"/>
      <c r="OCD42" s="285"/>
      <c r="OCE42" s="285"/>
      <c r="OCF42" s="285"/>
      <c r="OCG42" s="285"/>
      <c r="OCH42" s="285"/>
      <c r="OCI42" s="285"/>
      <c r="OCJ42" s="285"/>
      <c r="OCK42" s="285"/>
      <c r="OCL42" s="285"/>
      <c r="OCM42" s="285"/>
      <c r="OCN42" s="285"/>
      <c r="OCO42" s="285"/>
      <c r="OCP42" s="285"/>
      <c r="OCQ42" s="285"/>
      <c r="OCR42" s="285"/>
      <c r="OCS42" s="285"/>
      <c r="OCT42" s="285"/>
      <c r="OCU42" s="285"/>
      <c r="OCV42" s="285"/>
      <c r="OCW42" s="285"/>
      <c r="OCX42" s="285"/>
      <c r="OCY42" s="285"/>
      <c r="OCZ42" s="285"/>
      <c r="ODA42" s="285"/>
      <c r="ODB42" s="285"/>
      <c r="ODC42" s="285"/>
      <c r="ODD42" s="285"/>
      <c r="ODE42" s="285"/>
      <c r="ODF42" s="285"/>
      <c r="ODG42" s="285"/>
      <c r="ODH42" s="285"/>
      <c r="ODI42" s="285"/>
      <c r="ODJ42" s="285"/>
      <c r="ODK42" s="285"/>
      <c r="ODL42" s="285"/>
      <c r="ODM42" s="285"/>
      <c r="ODN42" s="285"/>
      <c r="ODO42" s="285"/>
      <c r="ODP42" s="285"/>
      <c r="ODQ42" s="285"/>
      <c r="ODR42" s="285"/>
      <c r="ODS42" s="285"/>
      <c r="ODT42" s="285"/>
      <c r="ODU42" s="285"/>
      <c r="ODV42" s="285"/>
      <c r="ODW42" s="285"/>
      <c r="ODX42" s="285"/>
      <c r="ODY42" s="285"/>
      <c r="ODZ42" s="285"/>
      <c r="OEA42" s="285"/>
      <c r="OEB42" s="285"/>
      <c r="OEC42" s="285"/>
      <c r="OED42" s="285"/>
      <c r="OEE42" s="285"/>
      <c r="OEF42" s="285"/>
      <c r="OEG42" s="285"/>
      <c r="OEH42" s="285"/>
      <c r="OEI42" s="285"/>
      <c r="OEJ42" s="285"/>
      <c r="OEK42" s="285"/>
      <c r="OEL42" s="285"/>
      <c r="OEM42" s="285"/>
      <c r="OEN42" s="285"/>
      <c r="OEO42" s="285"/>
      <c r="OEP42" s="285"/>
      <c r="OEQ42" s="285"/>
      <c r="OER42" s="285"/>
      <c r="OES42" s="285"/>
      <c r="OET42" s="285"/>
      <c r="OEU42" s="285"/>
      <c r="OEV42" s="285"/>
      <c r="OEW42" s="285"/>
      <c r="OEX42" s="285"/>
      <c r="OEY42" s="285"/>
      <c r="OEZ42" s="285"/>
      <c r="OFA42" s="285"/>
      <c r="OFB42" s="285"/>
      <c r="OFC42" s="285"/>
      <c r="OFD42" s="285"/>
      <c r="OFE42" s="285"/>
      <c r="OFF42" s="285"/>
      <c r="OFG42" s="285"/>
      <c r="OFH42" s="285"/>
      <c r="OFI42" s="285"/>
      <c r="OFJ42" s="285"/>
      <c r="OFK42" s="285"/>
      <c r="OFL42" s="285"/>
      <c r="OFM42" s="285"/>
      <c r="OFN42" s="285"/>
      <c r="OFO42" s="285"/>
      <c r="OFP42" s="285"/>
      <c r="OFQ42" s="285"/>
      <c r="OFR42" s="285"/>
      <c r="OFS42" s="285"/>
      <c r="OFT42" s="285"/>
      <c r="OFU42" s="285"/>
      <c r="OFV42" s="285"/>
      <c r="OFW42" s="285"/>
      <c r="OFX42" s="285"/>
      <c r="OFY42" s="285"/>
      <c r="OFZ42" s="285"/>
      <c r="OGA42" s="285"/>
      <c r="OGB42" s="285"/>
      <c r="OGC42" s="285"/>
      <c r="OGD42" s="285"/>
      <c r="OGE42" s="285"/>
      <c r="OGF42" s="285"/>
      <c r="OGG42" s="285"/>
      <c r="OGH42" s="285"/>
      <c r="OGI42" s="285"/>
      <c r="OGJ42" s="285"/>
      <c r="OGK42" s="285"/>
      <c r="OGL42" s="285"/>
      <c r="OGM42" s="285"/>
      <c r="OGN42" s="285"/>
      <c r="OGO42" s="285"/>
      <c r="OGP42" s="285"/>
      <c r="OGQ42" s="285"/>
      <c r="OGR42" s="285"/>
      <c r="OGS42" s="285"/>
      <c r="OGT42" s="285"/>
      <c r="OGU42" s="285"/>
      <c r="OGV42" s="285"/>
      <c r="OGW42" s="285"/>
      <c r="OGX42" s="285"/>
      <c r="OGY42" s="285"/>
      <c r="OGZ42" s="285"/>
      <c r="OHA42" s="285"/>
      <c r="OHB42" s="285"/>
      <c r="OHC42" s="285"/>
      <c r="OHD42" s="285"/>
      <c r="OHE42" s="285"/>
      <c r="OHF42" s="285"/>
      <c r="OHG42" s="285"/>
      <c r="OHH42" s="285"/>
      <c r="OHI42" s="285"/>
      <c r="OHJ42" s="285"/>
      <c r="OHK42" s="285"/>
      <c r="OHL42" s="285"/>
      <c r="OHM42" s="285"/>
      <c r="OHN42" s="285"/>
      <c r="OHO42" s="285"/>
      <c r="OHP42" s="285"/>
      <c r="OHQ42" s="285"/>
      <c r="OHR42" s="285"/>
      <c r="OHS42" s="285"/>
      <c r="OHT42" s="285"/>
      <c r="OHU42" s="285"/>
      <c r="OHV42" s="285"/>
      <c r="OHW42" s="285"/>
      <c r="OHX42" s="285"/>
      <c r="OHY42" s="285"/>
      <c r="OHZ42" s="285"/>
      <c r="OIA42" s="285"/>
      <c r="OIB42" s="285"/>
      <c r="OIC42" s="285"/>
      <c r="OID42" s="285"/>
      <c r="OIE42" s="285"/>
      <c r="OIF42" s="285"/>
      <c r="OIG42" s="285"/>
      <c r="OIH42" s="285"/>
      <c r="OII42" s="285"/>
      <c r="OIJ42" s="285"/>
      <c r="OIK42" s="285"/>
      <c r="OIL42" s="285"/>
      <c r="OIM42" s="285"/>
      <c r="OIN42" s="285"/>
      <c r="OIO42" s="285"/>
      <c r="OIP42" s="285"/>
      <c r="OIQ42" s="285"/>
      <c r="OIR42" s="285"/>
      <c r="OIS42" s="285"/>
      <c r="OIT42" s="285"/>
      <c r="OIU42" s="285"/>
      <c r="OIV42" s="285"/>
      <c r="OIW42" s="285"/>
      <c r="OIX42" s="285"/>
      <c r="OIY42" s="285"/>
      <c r="OIZ42" s="285"/>
      <c r="OJA42" s="285"/>
      <c r="OJB42" s="285"/>
      <c r="OJC42" s="285"/>
      <c r="OJD42" s="285"/>
      <c r="OJE42" s="285"/>
      <c r="OJF42" s="285"/>
      <c r="OJG42" s="285"/>
      <c r="OJH42" s="285"/>
      <c r="OJI42" s="285"/>
      <c r="OJJ42" s="285"/>
      <c r="OJK42" s="285"/>
      <c r="OJL42" s="285"/>
      <c r="OJM42" s="285"/>
      <c r="OJN42" s="285"/>
      <c r="OJO42" s="285"/>
      <c r="OJP42" s="285"/>
      <c r="OJQ42" s="285"/>
      <c r="OJR42" s="285"/>
      <c r="OJS42" s="285"/>
      <c r="OJT42" s="285"/>
      <c r="OJU42" s="285"/>
      <c r="OJV42" s="285"/>
      <c r="OJW42" s="285"/>
      <c r="OJX42" s="285"/>
      <c r="OJY42" s="285"/>
      <c r="OJZ42" s="285"/>
      <c r="OKA42" s="285"/>
      <c r="OKB42" s="285"/>
      <c r="OKC42" s="285"/>
      <c r="OKD42" s="285"/>
      <c r="OKE42" s="285"/>
      <c r="OKF42" s="285"/>
      <c r="OKG42" s="285"/>
      <c r="OKH42" s="285"/>
      <c r="OKI42" s="285"/>
      <c r="OKJ42" s="285"/>
      <c r="OKK42" s="285"/>
      <c r="OKL42" s="285"/>
      <c r="OKM42" s="285"/>
      <c r="OKN42" s="285"/>
      <c r="OKO42" s="285"/>
      <c r="OKP42" s="285"/>
      <c r="OKQ42" s="285"/>
      <c r="OKR42" s="285"/>
      <c r="OKS42" s="285"/>
      <c r="OKT42" s="285"/>
      <c r="OKU42" s="285"/>
      <c r="OKV42" s="285"/>
      <c r="OKW42" s="285"/>
      <c r="OKX42" s="285"/>
      <c r="OKY42" s="285"/>
      <c r="OKZ42" s="285"/>
      <c r="OLA42" s="285"/>
      <c r="OLB42" s="285"/>
      <c r="OLC42" s="285"/>
      <c r="OLD42" s="285"/>
      <c r="OLE42" s="285"/>
      <c r="OLF42" s="285"/>
      <c r="OLG42" s="285"/>
      <c r="OLH42" s="285"/>
      <c r="OLI42" s="285"/>
      <c r="OLJ42" s="285"/>
      <c r="OLK42" s="285"/>
      <c r="OLL42" s="285"/>
      <c r="OLM42" s="285"/>
      <c r="OLN42" s="285"/>
      <c r="OLO42" s="285"/>
      <c r="OLP42" s="285"/>
      <c r="OLQ42" s="285"/>
      <c r="OLR42" s="285"/>
      <c r="OLS42" s="285"/>
      <c r="OLT42" s="285"/>
      <c r="OLU42" s="285"/>
      <c r="OLV42" s="285"/>
      <c r="OLW42" s="285"/>
      <c r="OLX42" s="285"/>
      <c r="OLY42" s="285"/>
      <c r="OLZ42" s="285"/>
      <c r="OMA42" s="285"/>
      <c r="OMB42" s="285"/>
      <c r="OMC42" s="285"/>
      <c r="OMD42" s="285"/>
      <c r="OME42" s="285"/>
      <c r="OMF42" s="285"/>
      <c r="OMG42" s="285"/>
      <c r="OMH42" s="285"/>
      <c r="OMI42" s="285"/>
      <c r="OMJ42" s="285"/>
      <c r="OMK42" s="285"/>
      <c r="OML42" s="285"/>
      <c r="OMM42" s="285"/>
      <c r="OMN42" s="285"/>
      <c r="OMO42" s="285"/>
      <c r="OMP42" s="285"/>
      <c r="OMQ42" s="285"/>
      <c r="OMR42" s="285"/>
      <c r="OMS42" s="285"/>
      <c r="OMT42" s="285"/>
      <c r="OMU42" s="285"/>
      <c r="OMV42" s="285"/>
      <c r="OMW42" s="285"/>
      <c r="OMX42" s="285"/>
      <c r="OMY42" s="285"/>
      <c r="OMZ42" s="285"/>
      <c r="ONA42" s="285"/>
      <c r="ONB42" s="285"/>
      <c r="ONC42" s="285"/>
      <c r="OND42" s="285"/>
      <c r="ONE42" s="285"/>
      <c r="ONF42" s="285"/>
      <c r="ONG42" s="285"/>
      <c r="ONH42" s="285"/>
      <c r="ONI42" s="285"/>
      <c r="ONJ42" s="285"/>
      <c r="ONK42" s="285"/>
      <c r="ONL42" s="285"/>
      <c r="ONM42" s="285"/>
      <c r="ONN42" s="285"/>
      <c r="ONO42" s="285"/>
      <c r="ONP42" s="285"/>
      <c r="ONQ42" s="285"/>
      <c r="ONR42" s="285"/>
      <c r="ONS42" s="285"/>
      <c r="ONT42" s="285"/>
      <c r="ONU42" s="285"/>
      <c r="ONV42" s="285"/>
      <c r="ONW42" s="285"/>
      <c r="ONX42" s="285"/>
      <c r="ONY42" s="285"/>
      <c r="ONZ42" s="285"/>
      <c r="OOA42" s="285"/>
      <c r="OOB42" s="285"/>
      <c r="OOC42" s="285"/>
      <c r="OOD42" s="285"/>
      <c r="OOE42" s="285"/>
      <c r="OOF42" s="285"/>
      <c r="OOG42" s="285"/>
      <c r="OOH42" s="285"/>
      <c r="OOI42" s="285"/>
      <c r="OOJ42" s="285"/>
      <c r="OOK42" s="285"/>
      <c r="OOL42" s="285"/>
      <c r="OOM42" s="285"/>
      <c r="OON42" s="285"/>
      <c r="OOO42" s="285"/>
      <c r="OOP42" s="285"/>
      <c r="OOQ42" s="285"/>
      <c r="OOR42" s="285"/>
      <c r="OOS42" s="285"/>
      <c r="OOT42" s="285"/>
      <c r="OOU42" s="285"/>
      <c r="OOV42" s="285"/>
      <c r="OOW42" s="285"/>
      <c r="OOX42" s="285"/>
      <c r="OOY42" s="285"/>
      <c r="OOZ42" s="285"/>
      <c r="OPA42" s="285"/>
      <c r="OPB42" s="285"/>
      <c r="OPC42" s="285"/>
      <c r="OPD42" s="285"/>
      <c r="OPE42" s="285"/>
      <c r="OPF42" s="285"/>
      <c r="OPG42" s="285"/>
      <c r="OPH42" s="285"/>
      <c r="OPI42" s="285"/>
      <c r="OPJ42" s="285"/>
      <c r="OPK42" s="285"/>
      <c r="OPL42" s="285"/>
      <c r="OPM42" s="285"/>
      <c r="OPN42" s="285"/>
      <c r="OPO42" s="285"/>
      <c r="OPP42" s="285"/>
      <c r="OPQ42" s="285"/>
      <c r="OPR42" s="285"/>
      <c r="OPS42" s="285"/>
      <c r="OPT42" s="285"/>
      <c r="OPU42" s="285"/>
      <c r="OPV42" s="285"/>
      <c r="OPW42" s="285"/>
      <c r="OPX42" s="285"/>
      <c r="OPY42" s="285"/>
      <c r="OPZ42" s="285"/>
      <c r="OQA42" s="285"/>
      <c r="OQB42" s="285"/>
      <c r="OQC42" s="285"/>
      <c r="OQD42" s="285"/>
      <c r="OQE42" s="285"/>
      <c r="OQF42" s="285"/>
      <c r="OQG42" s="285"/>
      <c r="OQH42" s="285"/>
      <c r="OQI42" s="285"/>
      <c r="OQJ42" s="285"/>
      <c r="OQK42" s="285"/>
      <c r="OQL42" s="285"/>
      <c r="OQM42" s="285"/>
      <c r="OQN42" s="285"/>
      <c r="OQO42" s="285"/>
      <c r="OQP42" s="285"/>
      <c r="OQQ42" s="285"/>
      <c r="OQR42" s="285"/>
      <c r="OQS42" s="285"/>
      <c r="OQT42" s="285"/>
      <c r="OQU42" s="285"/>
      <c r="OQV42" s="285"/>
      <c r="OQW42" s="285"/>
      <c r="OQX42" s="285"/>
      <c r="OQY42" s="285"/>
      <c r="OQZ42" s="285"/>
      <c r="ORA42" s="285"/>
      <c r="ORB42" s="285"/>
      <c r="ORC42" s="285"/>
      <c r="ORD42" s="285"/>
      <c r="ORE42" s="285"/>
      <c r="ORF42" s="285"/>
      <c r="ORG42" s="285"/>
      <c r="ORH42" s="285"/>
      <c r="ORI42" s="285"/>
      <c r="ORJ42" s="285"/>
      <c r="ORK42" s="285"/>
      <c r="ORL42" s="285"/>
      <c r="ORM42" s="285"/>
      <c r="ORN42" s="285"/>
      <c r="ORO42" s="285"/>
      <c r="ORP42" s="285"/>
      <c r="ORQ42" s="285"/>
      <c r="ORR42" s="285"/>
      <c r="ORS42" s="285"/>
      <c r="ORT42" s="285"/>
      <c r="ORU42" s="285"/>
      <c r="ORV42" s="285"/>
      <c r="ORW42" s="285"/>
      <c r="ORX42" s="285"/>
      <c r="ORY42" s="285"/>
      <c r="ORZ42" s="285"/>
      <c r="OSA42" s="285"/>
      <c r="OSB42" s="285"/>
      <c r="OSC42" s="285"/>
      <c r="OSD42" s="285"/>
      <c r="OSE42" s="285"/>
      <c r="OSF42" s="285"/>
      <c r="OSG42" s="285"/>
      <c r="OSH42" s="285"/>
      <c r="OSI42" s="285"/>
      <c r="OSJ42" s="285"/>
      <c r="OSK42" s="285"/>
      <c r="OSL42" s="285"/>
      <c r="OSM42" s="285"/>
      <c r="OSN42" s="285"/>
      <c r="OSO42" s="285"/>
      <c r="OSP42" s="285"/>
      <c r="OSQ42" s="285"/>
      <c r="OSR42" s="285"/>
      <c r="OSS42" s="285"/>
      <c r="OST42" s="285"/>
      <c r="OSU42" s="285"/>
      <c r="OSV42" s="285"/>
      <c r="OSW42" s="285"/>
      <c r="OSX42" s="285"/>
      <c r="OSY42" s="285"/>
      <c r="OSZ42" s="285"/>
      <c r="OTA42" s="285"/>
      <c r="OTB42" s="285"/>
      <c r="OTC42" s="285"/>
      <c r="OTD42" s="285"/>
      <c r="OTE42" s="285"/>
      <c r="OTF42" s="285"/>
      <c r="OTG42" s="285"/>
      <c r="OTH42" s="285"/>
      <c r="OTI42" s="285"/>
      <c r="OTJ42" s="285"/>
      <c r="OTK42" s="285"/>
      <c r="OTL42" s="285"/>
      <c r="OTM42" s="285"/>
      <c r="OTN42" s="285"/>
      <c r="OTO42" s="285"/>
      <c r="OTP42" s="285"/>
      <c r="OTQ42" s="285"/>
      <c r="OTR42" s="285"/>
      <c r="OTS42" s="285"/>
      <c r="OTT42" s="285"/>
      <c r="OTU42" s="285"/>
      <c r="OTV42" s="285"/>
      <c r="OTW42" s="285"/>
      <c r="OTX42" s="285"/>
      <c r="OTY42" s="285"/>
      <c r="OTZ42" s="285"/>
      <c r="OUA42" s="285"/>
      <c r="OUB42" s="285"/>
      <c r="OUC42" s="285"/>
      <c r="OUD42" s="285"/>
      <c r="OUE42" s="285"/>
      <c r="OUF42" s="285"/>
      <c r="OUG42" s="285"/>
      <c r="OUH42" s="285"/>
      <c r="OUI42" s="285"/>
      <c r="OUJ42" s="285"/>
      <c r="OUK42" s="285"/>
      <c r="OUL42" s="285"/>
      <c r="OUM42" s="285"/>
      <c r="OUN42" s="285"/>
      <c r="OUO42" s="285"/>
      <c r="OUP42" s="285"/>
      <c r="OUQ42" s="285"/>
      <c r="OUR42" s="285"/>
      <c r="OUS42" s="285"/>
      <c r="OUT42" s="285"/>
      <c r="OUU42" s="285"/>
      <c r="OUV42" s="285"/>
      <c r="OUW42" s="285"/>
      <c r="OUX42" s="285"/>
      <c r="OUY42" s="285"/>
      <c r="OUZ42" s="285"/>
      <c r="OVA42" s="285"/>
      <c r="OVB42" s="285"/>
      <c r="OVC42" s="285"/>
      <c r="OVD42" s="285"/>
      <c r="OVE42" s="285"/>
      <c r="OVF42" s="285"/>
      <c r="OVG42" s="285"/>
      <c r="OVH42" s="285"/>
      <c r="OVI42" s="285"/>
      <c r="OVJ42" s="285"/>
      <c r="OVK42" s="285"/>
      <c r="OVL42" s="285"/>
      <c r="OVM42" s="285"/>
      <c r="OVN42" s="285"/>
      <c r="OVO42" s="285"/>
      <c r="OVP42" s="285"/>
      <c r="OVQ42" s="285"/>
      <c r="OVR42" s="285"/>
      <c r="OVS42" s="285"/>
      <c r="OVT42" s="285"/>
      <c r="OVU42" s="285"/>
      <c r="OVV42" s="285"/>
      <c r="OVW42" s="285"/>
      <c r="OVX42" s="285"/>
      <c r="OVY42" s="285"/>
      <c r="OVZ42" s="285"/>
      <c r="OWA42" s="285"/>
      <c r="OWB42" s="285"/>
      <c r="OWC42" s="285"/>
      <c r="OWD42" s="285"/>
      <c r="OWE42" s="285"/>
      <c r="OWF42" s="285"/>
      <c r="OWG42" s="285"/>
      <c r="OWH42" s="285"/>
      <c r="OWI42" s="285"/>
      <c r="OWJ42" s="285"/>
      <c r="OWK42" s="285"/>
      <c r="OWL42" s="285"/>
      <c r="OWM42" s="285"/>
      <c r="OWN42" s="285"/>
      <c r="OWO42" s="285"/>
      <c r="OWP42" s="285"/>
      <c r="OWQ42" s="285"/>
      <c r="OWR42" s="285"/>
      <c r="OWS42" s="285"/>
      <c r="OWT42" s="285"/>
      <c r="OWU42" s="285"/>
      <c r="OWV42" s="285"/>
      <c r="OWW42" s="285"/>
      <c r="OWX42" s="285"/>
      <c r="OWY42" s="285"/>
      <c r="OWZ42" s="285"/>
      <c r="OXA42" s="285"/>
      <c r="OXB42" s="285"/>
      <c r="OXC42" s="285"/>
      <c r="OXD42" s="285"/>
      <c r="OXE42" s="285"/>
      <c r="OXF42" s="285"/>
      <c r="OXG42" s="285"/>
      <c r="OXH42" s="285"/>
      <c r="OXI42" s="285"/>
      <c r="OXJ42" s="285"/>
      <c r="OXK42" s="285"/>
      <c r="OXL42" s="285"/>
      <c r="OXM42" s="285"/>
      <c r="OXN42" s="285"/>
      <c r="OXO42" s="285"/>
      <c r="OXP42" s="285"/>
      <c r="OXQ42" s="285"/>
      <c r="OXR42" s="285"/>
      <c r="OXS42" s="285"/>
      <c r="OXT42" s="285"/>
      <c r="OXU42" s="285"/>
      <c r="OXV42" s="285"/>
      <c r="OXW42" s="285"/>
      <c r="OXX42" s="285"/>
      <c r="OXY42" s="285"/>
      <c r="OXZ42" s="285"/>
      <c r="OYA42" s="285"/>
      <c r="OYB42" s="285"/>
      <c r="OYC42" s="285"/>
      <c r="OYD42" s="285"/>
      <c r="OYE42" s="285"/>
      <c r="OYF42" s="285"/>
      <c r="OYG42" s="285"/>
      <c r="OYH42" s="285"/>
      <c r="OYI42" s="285"/>
      <c r="OYJ42" s="285"/>
      <c r="OYK42" s="285"/>
      <c r="OYL42" s="285"/>
      <c r="OYM42" s="285"/>
      <c r="OYN42" s="285"/>
      <c r="OYO42" s="285"/>
      <c r="OYP42" s="285"/>
      <c r="OYQ42" s="285"/>
      <c r="OYR42" s="285"/>
      <c r="OYS42" s="285"/>
      <c r="OYT42" s="285"/>
      <c r="OYU42" s="285"/>
      <c r="OYV42" s="285"/>
      <c r="OYW42" s="285"/>
      <c r="OYX42" s="285"/>
      <c r="OYY42" s="285"/>
      <c r="OYZ42" s="285"/>
      <c r="OZA42" s="285"/>
      <c r="OZB42" s="285"/>
      <c r="OZC42" s="285"/>
      <c r="OZD42" s="285"/>
      <c r="OZE42" s="285"/>
      <c r="OZF42" s="285"/>
      <c r="OZG42" s="285"/>
      <c r="OZH42" s="285"/>
      <c r="OZI42" s="285"/>
      <c r="OZJ42" s="285"/>
      <c r="OZK42" s="285"/>
      <c r="OZL42" s="285"/>
      <c r="OZM42" s="285"/>
      <c r="OZN42" s="285"/>
      <c r="OZO42" s="285"/>
      <c r="OZP42" s="285"/>
      <c r="OZQ42" s="285"/>
      <c r="OZR42" s="285"/>
      <c r="OZS42" s="285"/>
      <c r="OZT42" s="285"/>
      <c r="OZU42" s="285"/>
      <c r="OZV42" s="285"/>
      <c r="OZW42" s="285"/>
      <c r="OZX42" s="285"/>
      <c r="OZY42" s="285"/>
      <c r="OZZ42" s="285"/>
      <c r="PAA42" s="285"/>
      <c r="PAB42" s="285"/>
      <c r="PAC42" s="285"/>
      <c r="PAD42" s="285"/>
      <c r="PAE42" s="285"/>
      <c r="PAF42" s="285"/>
      <c r="PAG42" s="285"/>
      <c r="PAH42" s="285"/>
      <c r="PAI42" s="285"/>
      <c r="PAJ42" s="285"/>
      <c r="PAK42" s="285"/>
      <c r="PAL42" s="285"/>
      <c r="PAM42" s="285"/>
      <c r="PAN42" s="285"/>
      <c r="PAO42" s="285"/>
      <c r="PAP42" s="285"/>
      <c r="PAQ42" s="285"/>
      <c r="PAR42" s="285"/>
      <c r="PAS42" s="285"/>
      <c r="PAT42" s="285"/>
      <c r="PAU42" s="285"/>
      <c r="PAV42" s="285"/>
      <c r="PAW42" s="285"/>
      <c r="PAX42" s="285"/>
      <c r="PAY42" s="285"/>
      <c r="PAZ42" s="285"/>
      <c r="PBA42" s="285"/>
      <c r="PBB42" s="285"/>
      <c r="PBC42" s="285"/>
      <c r="PBD42" s="285"/>
      <c r="PBE42" s="285"/>
      <c r="PBF42" s="285"/>
      <c r="PBG42" s="285"/>
      <c r="PBH42" s="285"/>
      <c r="PBI42" s="285"/>
      <c r="PBJ42" s="285"/>
      <c r="PBK42" s="285"/>
      <c r="PBL42" s="285"/>
      <c r="PBM42" s="285"/>
      <c r="PBN42" s="285"/>
      <c r="PBO42" s="285"/>
      <c r="PBP42" s="285"/>
      <c r="PBQ42" s="285"/>
      <c r="PBR42" s="285"/>
      <c r="PBS42" s="285"/>
      <c r="PBT42" s="285"/>
      <c r="PBU42" s="285"/>
      <c r="PBV42" s="285"/>
      <c r="PBW42" s="285"/>
      <c r="PBX42" s="285"/>
      <c r="PBY42" s="285"/>
      <c r="PBZ42" s="285"/>
      <c r="PCA42" s="285"/>
      <c r="PCB42" s="285"/>
      <c r="PCC42" s="285"/>
      <c r="PCD42" s="285"/>
      <c r="PCE42" s="285"/>
      <c r="PCF42" s="285"/>
      <c r="PCG42" s="285"/>
      <c r="PCH42" s="285"/>
      <c r="PCI42" s="285"/>
      <c r="PCJ42" s="285"/>
      <c r="PCK42" s="285"/>
      <c r="PCL42" s="285"/>
      <c r="PCM42" s="285"/>
      <c r="PCN42" s="285"/>
      <c r="PCO42" s="285"/>
      <c r="PCP42" s="285"/>
      <c r="PCQ42" s="285"/>
      <c r="PCR42" s="285"/>
      <c r="PCS42" s="285"/>
      <c r="PCT42" s="285"/>
      <c r="PCU42" s="285"/>
      <c r="PCV42" s="285"/>
      <c r="PCW42" s="285"/>
      <c r="PCX42" s="285"/>
      <c r="PCY42" s="285"/>
      <c r="PCZ42" s="285"/>
      <c r="PDA42" s="285"/>
      <c r="PDB42" s="285"/>
      <c r="PDC42" s="285"/>
      <c r="PDD42" s="285"/>
      <c r="PDE42" s="285"/>
      <c r="PDF42" s="285"/>
      <c r="PDG42" s="285"/>
      <c r="PDH42" s="285"/>
      <c r="PDI42" s="285"/>
      <c r="PDJ42" s="285"/>
      <c r="PDK42" s="285"/>
      <c r="PDL42" s="285"/>
      <c r="PDM42" s="285"/>
      <c r="PDN42" s="285"/>
      <c r="PDO42" s="285"/>
      <c r="PDP42" s="285"/>
      <c r="PDQ42" s="285"/>
      <c r="PDR42" s="285"/>
      <c r="PDS42" s="285"/>
      <c r="PDT42" s="285"/>
      <c r="PDU42" s="285"/>
      <c r="PDV42" s="285"/>
      <c r="PDW42" s="285"/>
      <c r="PDX42" s="285"/>
      <c r="PDY42" s="285"/>
      <c r="PDZ42" s="285"/>
      <c r="PEA42" s="285"/>
      <c r="PEB42" s="285"/>
      <c r="PEC42" s="285"/>
      <c r="PED42" s="285"/>
      <c r="PEE42" s="285"/>
      <c r="PEF42" s="285"/>
      <c r="PEG42" s="285"/>
      <c r="PEH42" s="285"/>
      <c r="PEI42" s="285"/>
      <c r="PEJ42" s="285"/>
      <c r="PEK42" s="285"/>
      <c r="PEL42" s="285"/>
      <c r="PEM42" s="285"/>
      <c r="PEN42" s="285"/>
      <c r="PEO42" s="285"/>
      <c r="PEP42" s="285"/>
      <c r="PEQ42" s="285"/>
      <c r="PER42" s="285"/>
      <c r="PES42" s="285"/>
      <c r="PET42" s="285"/>
      <c r="PEU42" s="285"/>
      <c r="PEV42" s="285"/>
      <c r="PEW42" s="285"/>
      <c r="PEX42" s="285"/>
      <c r="PEY42" s="285"/>
      <c r="PEZ42" s="285"/>
      <c r="PFA42" s="285"/>
      <c r="PFB42" s="285"/>
      <c r="PFC42" s="285"/>
      <c r="PFD42" s="285"/>
      <c r="PFE42" s="285"/>
      <c r="PFF42" s="285"/>
      <c r="PFG42" s="285"/>
      <c r="PFH42" s="285"/>
      <c r="PFI42" s="285"/>
      <c r="PFJ42" s="285"/>
      <c r="PFK42" s="285"/>
      <c r="PFL42" s="285"/>
      <c r="PFM42" s="285"/>
      <c r="PFN42" s="285"/>
      <c r="PFO42" s="285"/>
      <c r="PFP42" s="285"/>
      <c r="PFQ42" s="285"/>
      <c r="PFR42" s="285"/>
      <c r="PFS42" s="285"/>
      <c r="PFT42" s="285"/>
      <c r="PFU42" s="285"/>
      <c r="PFV42" s="285"/>
      <c r="PFW42" s="285"/>
      <c r="PFX42" s="285"/>
      <c r="PFY42" s="285"/>
      <c r="PFZ42" s="285"/>
      <c r="PGA42" s="285"/>
      <c r="PGB42" s="285"/>
      <c r="PGC42" s="285"/>
      <c r="PGD42" s="285"/>
      <c r="PGE42" s="285"/>
      <c r="PGF42" s="285"/>
      <c r="PGG42" s="285"/>
      <c r="PGH42" s="285"/>
      <c r="PGI42" s="285"/>
      <c r="PGJ42" s="285"/>
      <c r="PGK42" s="285"/>
      <c r="PGL42" s="285"/>
      <c r="PGM42" s="285"/>
      <c r="PGN42" s="285"/>
      <c r="PGO42" s="285"/>
      <c r="PGP42" s="285"/>
      <c r="PGQ42" s="285"/>
      <c r="PGR42" s="285"/>
      <c r="PGS42" s="285"/>
      <c r="PGT42" s="285"/>
      <c r="PGU42" s="285"/>
      <c r="PGV42" s="285"/>
      <c r="PGW42" s="285"/>
      <c r="PGX42" s="285"/>
      <c r="PGY42" s="285"/>
      <c r="PGZ42" s="285"/>
      <c r="PHA42" s="285"/>
      <c r="PHB42" s="285"/>
      <c r="PHC42" s="285"/>
      <c r="PHD42" s="285"/>
      <c r="PHE42" s="285"/>
      <c r="PHF42" s="285"/>
      <c r="PHG42" s="285"/>
      <c r="PHH42" s="285"/>
      <c r="PHI42" s="285"/>
      <c r="PHJ42" s="285"/>
      <c r="PHK42" s="285"/>
      <c r="PHL42" s="285"/>
      <c r="PHM42" s="285"/>
      <c r="PHN42" s="285"/>
      <c r="PHO42" s="285"/>
      <c r="PHP42" s="285"/>
      <c r="PHQ42" s="285"/>
      <c r="PHR42" s="285"/>
      <c r="PHS42" s="285"/>
      <c r="PHT42" s="285"/>
      <c r="PHU42" s="285"/>
      <c r="PHV42" s="285"/>
      <c r="PHW42" s="285"/>
      <c r="PHX42" s="285"/>
      <c r="PHY42" s="285"/>
      <c r="PHZ42" s="285"/>
      <c r="PIA42" s="285"/>
      <c r="PIB42" s="285"/>
      <c r="PIC42" s="285"/>
      <c r="PID42" s="285"/>
      <c r="PIE42" s="285"/>
      <c r="PIF42" s="285"/>
      <c r="PIG42" s="285"/>
      <c r="PIH42" s="285"/>
      <c r="PII42" s="285"/>
      <c r="PIJ42" s="285"/>
      <c r="PIK42" s="285"/>
      <c r="PIL42" s="285"/>
      <c r="PIM42" s="285"/>
      <c r="PIN42" s="285"/>
      <c r="PIO42" s="285"/>
      <c r="PIP42" s="285"/>
      <c r="PIQ42" s="285"/>
      <c r="PIR42" s="285"/>
      <c r="PIS42" s="285"/>
      <c r="PIT42" s="285"/>
      <c r="PIU42" s="285"/>
      <c r="PIV42" s="285"/>
      <c r="PIW42" s="285"/>
      <c r="PIX42" s="285"/>
      <c r="PIY42" s="285"/>
      <c r="PIZ42" s="285"/>
      <c r="PJA42" s="285"/>
      <c r="PJB42" s="285"/>
      <c r="PJC42" s="285"/>
      <c r="PJD42" s="285"/>
      <c r="PJE42" s="285"/>
      <c r="PJF42" s="285"/>
      <c r="PJG42" s="285"/>
      <c r="PJH42" s="285"/>
      <c r="PJI42" s="285"/>
      <c r="PJJ42" s="285"/>
      <c r="PJK42" s="285"/>
      <c r="PJL42" s="285"/>
      <c r="PJM42" s="285"/>
      <c r="PJN42" s="285"/>
      <c r="PJO42" s="285"/>
      <c r="PJP42" s="285"/>
      <c r="PJQ42" s="285"/>
      <c r="PJR42" s="285"/>
      <c r="PJS42" s="285"/>
      <c r="PJT42" s="285"/>
      <c r="PJU42" s="285"/>
      <c r="PJV42" s="285"/>
      <c r="PJW42" s="285"/>
      <c r="PJX42" s="285"/>
      <c r="PJY42" s="285"/>
      <c r="PJZ42" s="285"/>
      <c r="PKA42" s="285"/>
      <c r="PKB42" s="285"/>
      <c r="PKC42" s="285"/>
      <c r="PKD42" s="285"/>
      <c r="PKE42" s="285"/>
      <c r="PKF42" s="285"/>
      <c r="PKG42" s="285"/>
      <c r="PKH42" s="285"/>
      <c r="PKI42" s="285"/>
      <c r="PKJ42" s="285"/>
      <c r="PKK42" s="285"/>
      <c r="PKL42" s="285"/>
      <c r="PKM42" s="285"/>
      <c r="PKN42" s="285"/>
      <c r="PKO42" s="285"/>
      <c r="PKP42" s="285"/>
      <c r="PKQ42" s="285"/>
      <c r="PKR42" s="285"/>
      <c r="PKS42" s="285"/>
      <c r="PKT42" s="285"/>
      <c r="PKU42" s="285"/>
      <c r="PKV42" s="285"/>
      <c r="PKW42" s="285"/>
      <c r="PKX42" s="285"/>
      <c r="PKY42" s="285"/>
      <c r="PKZ42" s="285"/>
      <c r="PLA42" s="285"/>
      <c r="PLB42" s="285"/>
      <c r="PLC42" s="285"/>
      <c r="PLD42" s="285"/>
      <c r="PLE42" s="285"/>
      <c r="PLF42" s="285"/>
      <c r="PLG42" s="285"/>
      <c r="PLH42" s="285"/>
      <c r="PLI42" s="285"/>
      <c r="PLJ42" s="285"/>
      <c r="PLK42" s="285"/>
      <c r="PLL42" s="285"/>
      <c r="PLM42" s="285"/>
      <c r="PLN42" s="285"/>
      <c r="PLO42" s="285"/>
      <c r="PLP42" s="285"/>
      <c r="PLQ42" s="285"/>
      <c r="PLR42" s="285"/>
      <c r="PLS42" s="285"/>
      <c r="PLT42" s="285"/>
      <c r="PLU42" s="285"/>
      <c r="PLV42" s="285"/>
      <c r="PLW42" s="285"/>
      <c r="PLX42" s="285"/>
      <c r="PLY42" s="285"/>
      <c r="PLZ42" s="285"/>
      <c r="PMA42" s="285"/>
      <c r="PMB42" s="285"/>
      <c r="PMC42" s="285"/>
      <c r="PMD42" s="285"/>
      <c r="PME42" s="285"/>
      <c r="PMF42" s="285"/>
      <c r="PMG42" s="285"/>
      <c r="PMH42" s="285"/>
      <c r="PMI42" s="285"/>
      <c r="PMJ42" s="285"/>
      <c r="PMK42" s="285"/>
      <c r="PML42" s="285"/>
      <c r="PMM42" s="285"/>
      <c r="PMN42" s="285"/>
      <c r="PMO42" s="285"/>
      <c r="PMP42" s="285"/>
      <c r="PMQ42" s="285"/>
      <c r="PMR42" s="285"/>
      <c r="PMS42" s="285"/>
      <c r="PMT42" s="285"/>
      <c r="PMU42" s="285"/>
      <c r="PMV42" s="285"/>
      <c r="PMW42" s="285"/>
      <c r="PMX42" s="285"/>
      <c r="PMY42" s="285"/>
      <c r="PMZ42" s="285"/>
      <c r="PNA42" s="285"/>
      <c r="PNB42" s="285"/>
      <c r="PNC42" s="285"/>
      <c r="PND42" s="285"/>
      <c r="PNE42" s="285"/>
      <c r="PNF42" s="285"/>
      <c r="PNG42" s="285"/>
      <c r="PNH42" s="285"/>
      <c r="PNI42" s="285"/>
      <c r="PNJ42" s="285"/>
      <c r="PNK42" s="285"/>
      <c r="PNL42" s="285"/>
      <c r="PNM42" s="285"/>
      <c r="PNN42" s="285"/>
      <c r="PNO42" s="285"/>
      <c r="PNP42" s="285"/>
      <c r="PNQ42" s="285"/>
      <c r="PNR42" s="285"/>
      <c r="PNS42" s="285"/>
      <c r="PNT42" s="285"/>
      <c r="PNU42" s="285"/>
      <c r="PNV42" s="285"/>
      <c r="PNW42" s="285"/>
      <c r="PNX42" s="285"/>
      <c r="PNY42" s="285"/>
      <c r="PNZ42" s="285"/>
      <c r="POA42" s="285"/>
      <c r="POB42" s="285"/>
      <c r="POC42" s="285"/>
      <c r="POD42" s="285"/>
      <c r="POE42" s="285"/>
      <c r="POF42" s="285"/>
      <c r="POG42" s="285"/>
      <c r="POH42" s="285"/>
      <c r="POI42" s="285"/>
      <c r="POJ42" s="285"/>
      <c r="POK42" s="285"/>
      <c r="POL42" s="285"/>
      <c r="POM42" s="285"/>
      <c r="PON42" s="285"/>
      <c r="POO42" s="285"/>
      <c r="POP42" s="285"/>
      <c r="POQ42" s="285"/>
      <c r="POR42" s="285"/>
      <c r="POS42" s="285"/>
      <c r="POT42" s="285"/>
      <c r="POU42" s="285"/>
      <c r="POV42" s="285"/>
      <c r="POW42" s="285"/>
      <c r="POX42" s="285"/>
      <c r="POY42" s="285"/>
      <c r="POZ42" s="285"/>
      <c r="PPA42" s="285"/>
      <c r="PPB42" s="285"/>
      <c r="PPC42" s="285"/>
      <c r="PPD42" s="285"/>
      <c r="PPE42" s="285"/>
      <c r="PPF42" s="285"/>
      <c r="PPG42" s="285"/>
      <c r="PPH42" s="285"/>
      <c r="PPI42" s="285"/>
      <c r="PPJ42" s="285"/>
      <c r="PPK42" s="285"/>
      <c r="PPL42" s="285"/>
      <c r="PPM42" s="285"/>
      <c r="PPN42" s="285"/>
      <c r="PPO42" s="285"/>
      <c r="PPP42" s="285"/>
      <c r="PPQ42" s="285"/>
      <c r="PPR42" s="285"/>
      <c r="PPS42" s="285"/>
      <c r="PPT42" s="285"/>
      <c r="PPU42" s="285"/>
      <c r="PPV42" s="285"/>
      <c r="PPW42" s="285"/>
      <c r="PPX42" s="285"/>
      <c r="PPY42" s="285"/>
      <c r="PPZ42" s="285"/>
      <c r="PQA42" s="285"/>
      <c r="PQB42" s="285"/>
      <c r="PQC42" s="285"/>
      <c r="PQD42" s="285"/>
      <c r="PQE42" s="285"/>
      <c r="PQF42" s="285"/>
      <c r="PQG42" s="285"/>
      <c r="PQH42" s="285"/>
      <c r="PQI42" s="285"/>
      <c r="PQJ42" s="285"/>
      <c r="PQK42" s="285"/>
      <c r="PQL42" s="285"/>
      <c r="PQM42" s="285"/>
      <c r="PQN42" s="285"/>
      <c r="PQO42" s="285"/>
      <c r="PQP42" s="285"/>
      <c r="PQQ42" s="285"/>
      <c r="PQR42" s="285"/>
      <c r="PQS42" s="285"/>
      <c r="PQT42" s="285"/>
      <c r="PQU42" s="285"/>
      <c r="PQV42" s="285"/>
      <c r="PQW42" s="285"/>
      <c r="PQX42" s="285"/>
      <c r="PQY42" s="285"/>
      <c r="PQZ42" s="285"/>
      <c r="PRA42" s="285"/>
      <c r="PRB42" s="285"/>
      <c r="PRC42" s="285"/>
      <c r="PRD42" s="285"/>
      <c r="PRE42" s="285"/>
      <c r="PRF42" s="285"/>
      <c r="PRG42" s="285"/>
      <c r="PRH42" s="285"/>
      <c r="PRI42" s="285"/>
      <c r="PRJ42" s="285"/>
      <c r="PRK42" s="285"/>
      <c r="PRL42" s="285"/>
      <c r="PRM42" s="285"/>
      <c r="PRN42" s="285"/>
      <c r="PRO42" s="285"/>
      <c r="PRP42" s="285"/>
      <c r="PRQ42" s="285"/>
      <c r="PRR42" s="285"/>
      <c r="PRS42" s="285"/>
      <c r="PRT42" s="285"/>
      <c r="PRU42" s="285"/>
      <c r="PRV42" s="285"/>
      <c r="PRW42" s="285"/>
      <c r="PRX42" s="285"/>
      <c r="PRY42" s="285"/>
      <c r="PRZ42" s="285"/>
      <c r="PSA42" s="285"/>
      <c r="PSB42" s="285"/>
      <c r="PSC42" s="285"/>
      <c r="PSD42" s="285"/>
      <c r="PSE42" s="285"/>
      <c r="PSF42" s="285"/>
      <c r="PSG42" s="285"/>
      <c r="PSH42" s="285"/>
      <c r="PSI42" s="285"/>
      <c r="PSJ42" s="285"/>
      <c r="PSK42" s="285"/>
      <c r="PSL42" s="285"/>
      <c r="PSM42" s="285"/>
      <c r="PSN42" s="285"/>
      <c r="PSO42" s="285"/>
      <c r="PSP42" s="285"/>
      <c r="PSQ42" s="285"/>
      <c r="PSR42" s="285"/>
      <c r="PSS42" s="285"/>
      <c r="PST42" s="285"/>
      <c r="PSU42" s="285"/>
      <c r="PSV42" s="285"/>
      <c r="PSW42" s="285"/>
      <c r="PSX42" s="285"/>
      <c r="PSY42" s="285"/>
      <c r="PSZ42" s="285"/>
      <c r="PTA42" s="285"/>
      <c r="PTB42" s="285"/>
      <c r="PTC42" s="285"/>
      <c r="PTD42" s="285"/>
      <c r="PTE42" s="285"/>
      <c r="PTF42" s="285"/>
      <c r="PTG42" s="285"/>
      <c r="PTH42" s="285"/>
      <c r="PTI42" s="285"/>
      <c r="PTJ42" s="285"/>
      <c r="PTK42" s="285"/>
      <c r="PTL42" s="285"/>
      <c r="PTM42" s="285"/>
      <c r="PTN42" s="285"/>
      <c r="PTO42" s="285"/>
      <c r="PTP42" s="285"/>
      <c r="PTQ42" s="285"/>
      <c r="PTR42" s="285"/>
      <c r="PTS42" s="285"/>
      <c r="PTT42" s="285"/>
      <c r="PTU42" s="285"/>
      <c r="PTV42" s="285"/>
      <c r="PTW42" s="285"/>
      <c r="PTX42" s="285"/>
      <c r="PTY42" s="285"/>
      <c r="PTZ42" s="285"/>
      <c r="PUA42" s="285"/>
      <c r="PUB42" s="285"/>
      <c r="PUC42" s="285"/>
      <c r="PUD42" s="285"/>
      <c r="PUE42" s="285"/>
      <c r="PUF42" s="285"/>
      <c r="PUG42" s="285"/>
      <c r="PUH42" s="285"/>
      <c r="PUI42" s="285"/>
      <c r="PUJ42" s="285"/>
      <c r="PUK42" s="285"/>
      <c r="PUL42" s="285"/>
      <c r="PUM42" s="285"/>
      <c r="PUN42" s="285"/>
      <c r="PUO42" s="285"/>
      <c r="PUP42" s="285"/>
      <c r="PUQ42" s="285"/>
      <c r="PUR42" s="285"/>
      <c r="PUS42" s="285"/>
      <c r="PUT42" s="285"/>
      <c r="PUU42" s="285"/>
      <c r="PUV42" s="285"/>
      <c r="PUW42" s="285"/>
      <c r="PUX42" s="285"/>
      <c r="PUY42" s="285"/>
      <c r="PUZ42" s="285"/>
      <c r="PVA42" s="285"/>
      <c r="PVB42" s="285"/>
      <c r="PVC42" s="285"/>
      <c r="PVD42" s="285"/>
      <c r="PVE42" s="285"/>
      <c r="PVF42" s="285"/>
      <c r="PVG42" s="285"/>
      <c r="PVH42" s="285"/>
      <c r="PVI42" s="285"/>
      <c r="PVJ42" s="285"/>
      <c r="PVK42" s="285"/>
      <c r="PVL42" s="285"/>
      <c r="PVM42" s="285"/>
      <c r="PVN42" s="285"/>
      <c r="PVO42" s="285"/>
      <c r="PVP42" s="285"/>
      <c r="PVQ42" s="285"/>
      <c r="PVR42" s="285"/>
      <c r="PVS42" s="285"/>
      <c r="PVT42" s="285"/>
      <c r="PVU42" s="285"/>
      <c r="PVV42" s="285"/>
      <c r="PVW42" s="285"/>
      <c r="PVX42" s="285"/>
      <c r="PVY42" s="285"/>
      <c r="PVZ42" s="285"/>
      <c r="PWA42" s="285"/>
      <c r="PWB42" s="285"/>
      <c r="PWC42" s="285"/>
      <c r="PWD42" s="285"/>
      <c r="PWE42" s="285"/>
      <c r="PWF42" s="285"/>
      <c r="PWG42" s="285"/>
      <c r="PWH42" s="285"/>
      <c r="PWI42" s="285"/>
      <c r="PWJ42" s="285"/>
      <c r="PWK42" s="285"/>
      <c r="PWL42" s="285"/>
      <c r="PWM42" s="285"/>
      <c r="PWN42" s="285"/>
      <c r="PWO42" s="285"/>
      <c r="PWP42" s="285"/>
      <c r="PWQ42" s="285"/>
      <c r="PWR42" s="285"/>
      <c r="PWS42" s="285"/>
      <c r="PWT42" s="285"/>
      <c r="PWU42" s="285"/>
      <c r="PWV42" s="285"/>
      <c r="PWW42" s="285"/>
      <c r="PWX42" s="285"/>
      <c r="PWY42" s="285"/>
      <c r="PWZ42" s="285"/>
      <c r="PXA42" s="285"/>
      <c r="PXB42" s="285"/>
      <c r="PXC42" s="285"/>
      <c r="PXD42" s="285"/>
      <c r="PXE42" s="285"/>
      <c r="PXF42" s="285"/>
      <c r="PXG42" s="285"/>
      <c r="PXH42" s="285"/>
      <c r="PXI42" s="285"/>
      <c r="PXJ42" s="285"/>
      <c r="PXK42" s="285"/>
      <c r="PXL42" s="285"/>
      <c r="PXM42" s="285"/>
      <c r="PXN42" s="285"/>
      <c r="PXO42" s="285"/>
      <c r="PXP42" s="285"/>
      <c r="PXQ42" s="285"/>
      <c r="PXR42" s="285"/>
      <c r="PXS42" s="285"/>
      <c r="PXT42" s="285"/>
      <c r="PXU42" s="285"/>
      <c r="PXV42" s="285"/>
      <c r="PXW42" s="285"/>
      <c r="PXX42" s="285"/>
      <c r="PXY42" s="285"/>
      <c r="PXZ42" s="285"/>
      <c r="PYA42" s="285"/>
      <c r="PYB42" s="285"/>
      <c r="PYC42" s="285"/>
      <c r="PYD42" s="285"/>
      <c r="PYE42" s="285"/>
      <c r="PYF42" s="285"/>
      <c r="PYG42" s="285"/>
      <c r="PYH42" s="285"/>
      <c r="PYI42" s="285"/>
      <c r="PYJ42" s="285"/>
      <c r="PYK42" s="285"/>
      <c r="PYL42" s="285"/>
      <c r="PYM42" s="285"/>
      <c r="PYN42" s="285"/>
      <c r="PYO42" s="285"/>
      <c r="PYP42" s="285"/>
      <c r="PYQ42" s="285"/>
      <c r="PYR42" s="285"/>
      <c r="PYS42" s="285"/>
      <c r="PYT42" s="285"/>
      <c r="PYU42" s="285"/>
      <c r="PYV42" s="285"/>
      <c r="PYW42" s="285"/>
      <c r="PYX42" s="285"/>
      <c r="PYY42" s="285"/>
      <c r="PYZ42" s="285"/>
      <c r="PZA42" s="285"/>
      <c r="PZB42" s="285"/>
      <c r="PZC42" s="285"/>
      <c r="PZD42" s="285"/>
      <c r="PZE42" s="285"/>
      <c r="PZF42" s="285"/>
      <c r="PZG42" s="285"/>
      <c r="PZH42" s="285"/>
      <c r="PZI42" s="285"/>
      <c r="PZJ42" s="285"/>
      <c r="PZK42" s="285"/>
      <c r="PZL42" s="285"/>
      <c r="PZM42" s="285"/>
      <c r="PZN42" s="285"/>
      <c r="PZO42" s="285"/>
      <c r="PZP42" s="285"/>
      <c r="PZQ42" s="285"/>
      <c r="PZR42" s="285"/>
      <c r="PZS42" s="285"/>
      <c r="PZT42" s="285"/>
      <c r="PZU42" s="285"/>
      <c r="PZV42" s="285"/>
      <c r="PZW42" s="285"/>
      <c r="PZX42" s="285"/>
      <c r="PZY42" s="285"/>
      <c r="PZZ42" s="285"/>
      <c r="QAA42" s="285"/>
      <c r="QAB42" s="285"/>
      <c r="QAC42" s="285"/>
      <c r="QAD42" s="285"/>
      <c r="QAE42" s="285"/>
      <c r="QAF42" s="285"/>
      <c r="QAG42" s="285"/>
      <c r="QAH42" s="285"/>
      <c r="QAI42" s="285"/>
      <c r="QAJ42" s="285"/>
      <c r="QAK42" s="285"/>
      <c r="QAL42" s="285"/>
      <c r="QAM42" s="285"/>
      <c r="QAN42" s="285"/>
      <c r="QAO42" s="285"/>
      <c r="QAP42" s="285"/>
      <c r="QAQ42" s="285"/>
      <c r="QAR42" s="285"/>
      <c r="QAS42" s="285"/>
      <c r="QAT42" s="285"/>
      <c r="QAU42" s="285"/>
      <c r="QAV42" s="285"/>
      <c r="QAW42" s="285"/>
      <c r="QAX42" s="285"/>
      <c r="QAY42" s="285"/>
      <c r="QAZ42" s="285"/>
      <c r="QBA42" s="285"/>
      <c r="QBB42" s="285"/>
      <c r="QBC42" s="285"/>
      <c r="QBD42" s="285"/>
      <c r="QBE42" s="285"/>
      <c r="QBF42" s="285"/>
      <c r="QBG42" s="285"/>
      <c r="QBH42" s="285"/>
      <c r="QBI42" s="285"/>
      <c r="QBJ42" s="285"/>
      <c r="QBK42" s="285"/>
      <c r="QBL42" s="285"/>
      <c r="QBM42" s="285"/>
      <c r="QBN42" s="285"/>
      <c r="QBO42" s="285"/>
      <c r="QBP42" s="285"/>
      <c r="QBQ42" s="285"/>
      <c r="QBR42" s="285"/>
      <c r="QBS42" s="285"/>
      <c r="QBT42" s="285"/>
      <c r="QBU42" s="285"/>
      <c r="QBV42" s="285"/>
      <c r="QBW42" s="285"/>
      <c r="QBX42" s="285"/>
      <c r="QBY42" s="285"/>
      <c r="QBZ42" s="285"/>
      <c r="QCA42" s="285"/>
      <c r="QCB42" s="285"/>
      <c r="QCC42" s="285"/>
      <c r="QCD42" s="285"/>
      <c r="QCE42" s="285"/>
      <c r="QCF42" s="285"/>
      <c r="QCG42" s="285"/>
      <c r="QCH42" s="285"/>
      <c r="QCI42" s="285"/>
      <c r="QCJ42" s="285"/>
      <c r="QCK42" s="285"/>
      <c r="QCL42" s="285"/>
      <c r="QCM42" s="285"/>
      <c r="QCN42" s="285"/>
      <c r="QCO42" s="285"/>
      <c r="QCP42" s="285"/>
      <c r="QCQ42" s="285"/>
      <c r="QCR42" s="285"/>
      <c r="QCS42" s="285"/>
      <c r="QCT42" s="285"/>
      <c r="QCU42" s="285"/>
      <c r="QCV42" s="285"/>
      <c r="QCW42" s="285"/>
      <c r="QCX42" s="285"/>
      <c r="QCY42" s="285"/>
      <c r="QCZ42" s="285"/>
      <c r="QDA42" s="285"/>
      <c r="QDB42" s="285"/>
      <c r="QDC42" s="285"/>
      <c r="QDD42" s="285"/>
      <c r="QDE42" s="285"/>
      <c r="QDF42" s="285"/>
      <c r="QDG42" s="285"/>
      <c r="QDH42" s="285"/>
      <c r="QDI42" s="285"/>
      <c r="QDJ42" s="285"/>
      <c r="QDK42" s="285"/>
      <c r="QDL42" s="285"/>
      <c r="QDM42" s="285"/>
      <c r="QDN42" s="285"/>
      <c r="QDO42" s="285"/>
      <c r="QDP42" s="285"/>
      <c r="QDQ42" s="285"/>
      <c r="QDR42" s="285"/>
      <c r="QDS42" s="285"/>
      <c r="QDT42" s="285"/>
      <c r="QDU42" s="285"/>
      <c r="QDV42" s="285"/>
      <c r="QDW42" s="285"/>
      <c r="QDX42" s="285"/>
      <c r="QDY42" s="285"/>
      <c r="QDZ42" s="285"/>
      <c r="QEA42" s="285"/>
      <c r="QEB42" s="285"/>
      <c r="QEC42" s="285"/>
      <c r="QED42" s="285"/>
      <c r="QEE42" s="285"/>
      <c r="QEF42" s="285"/>
      <c r="QEG42" s="285"/>
      <c r="QEH42" s="285"/>
      <c r="QEI42" s="285"/>
      <c r="QEJ42" s="285"/>
      <c r="QEK42" s="285"/>
      <c r="QEL42" s="285"/>
      <c r="QEM42" s="285"/>
      <c r="QEN42" s="285"/>
      <c r="QEO42" s="285"/>
      <c r="QEP42" s="285"/>
      <c r="QEQ42" s="285"/>
      <c r="QER42" s="285"/>
      <c r="QES42" s="285"/>
      <c r="QET42" s="285"/>
      <c r="QEU42" s="285"/>
      <c r="QEV42" s="285"/>
      <c r="QEW42" s="285"/>
      <c r="QEX42" s="285"/>
      <c r="QEY42" s="285"/>
      <c r="QEZ42" s="285"/>
      <c r="QFA42" s="285"/>
      <c r="QFB42" s="285"/>
      <c r="QFC42" s="285"/>
      <c r="QFD42" s="285"/>
      <c r="QFE42" s="285"/>
      <c r="QFF42" s="285"/>
      <c r="QFG42" s="285"/>
      <c r="QFH42" s="285"/>
      <c r="QFI42" s="285"/>
      <c r="QFJ42" s="285"/>
      <c r="QFK42" s="285"/>
      <c r="QFL42" s="285"/>
      <c r="QFM42" s="285"/>
      <c r="QFN42" s="285"/>
      <c r="QFO42" s="285"/>
      <c r="QFP42" s="285"/>
      <c r="QFQ42" s="285"/>
      <c r="QFR42" s="285"/>
      <c r="QFS42" s="285"/>
      <c r="QFT42" s="285"/>
      <c r="QFU42" s="285"/>
      <c r="QFV42" s="285"/>
      <c r="QFW42" s="285"/>
      <c r="QFX42" s="285"/>
      <c r="QFY42" s="285"/>
      <c r="QFZ42" s="285"/>
      <c r="QGA42" s="285"/>
      <c r="QGB42" s="285"/>
      <c r="QGC42" s="285"/>
      <c r="QGD42" s="285"/>
      <c r="QGE42" s="285"/>
      <c r="QGF42" s="285"/>
      <c r="QGG42" s="285"/>
      <c r="QGH42" s="285"/>
      <c r="QGI42" s="285"/>
      <c r="QGJ42" s="285"/>
      <c r="QGK42" s="285"/>
      <c r="QGL42" s="285"/>
      <c r="QGM42" s="285"/>
      <c r="QGN42" s="285"/>
      <c r="QGO42" s="285"/>
      <c r="QGP42" s="285"/>
      <c r="QGQ42" s="285"/>
      <c r="QGR42" s="285"/>
      <c r="QGS42" s="285"/>
      <c r="QGT42" s="285"/>
      <c r="QGU42" s="285"/>
      <c r="QGV42" s="285"/>
      <c r="QGW42" s="285"/>
      <c r="QGX42" s="285"/>
      <c r="QGY42" s="285"/>
      <c r="QGZ42" s="285"/>
      <c r="QHA42" s="285"/>
      <c r="QHB42" s="285"/>
      <c r="QHC42" s="285"/>
      <c r="QHD42" s="285"/>
      <c r="QHE42" s="285"/>
      <c r="QHF42" s="285"/>
      <c r="QHG42" s="285"/>
      <c r="QHH42" s="285"/>
      <c r="QHI42" s="285"/>
      <c r="QHJ42" s="285"/>
      <c r="QHK42" s="285"/>
      <c r="QHL42" s="285"/>
      <c r="QHM42" s="285"/>
      <c r="QHN42" s="285"/>
      <c r="QHO42" s="285"/>
      <c r="QHP42" s="285"/>
      <c r="QHQ42" s="285"/>
      <c r="QHR42" s="285"/>
      <c r="QHS42" s="285"/>
      <c r="QHT42" s="285"/>
      <c r="QHU42" s="285"/>
      <c r="QHV42" s="285"/>
      <c r="QHW42" s="285"/>
      <c r="QHX42" s="285"/>
      <c r="QHY42" s="285"/>
      <c r="QHZ42" s="285"/>
      <c r="QIA42" s="285"/>
      <c r="QIB42" s="285"/>
      <c r="QIC42" s="285"/>
      <c r="QID42" s="285"/>
      <c r="QIE42" s="285"/>
      <c r="QIF42" s="285"/>
      <c r="QIG42" s="285"/>
      <c r="QIH42" s="285"/>
      <c r="QII42" s="285"/>
      <c r="QIJ42" s="285"/>
      <c r="QIK42" s="285"/>
      <c r="QIL42" s="285"/>
      <c r="QIM42" s="285"/>
      <c r="QIN42" s="285"/>
      <c r="QIO42" s="285"/>
      <c r="QIP42" s="285"/>
      <c r="QIQ42" s="285"/>
      <c r="QIR42" s="285"/>
      <c r="QIS42" s="285"/>
      <c r="QIT42" s="285"/>
      <c r="QIU42" s="285"/>
      <c r="QIV42" s="285"/>
      <c r="QIW42" s="285"/>
      <c r="QIX42" s="285"/>
      <c r="QIY42" s="285"/>
      <c r="QIZ42" s="285"/>
      <c r="QJA42" s="285"/>
      <c r="QJB42" s="285"/>
      <c r="QJC42" s="285"/>
      <c r="QJD42" s="285"/>
      <c r="QJE42" s="285"/>
      <c r="QJF42" s="285"/>
      <c r="QJG42" s="285"/>
      <c r="QJH42" s="285"/>
      <c r="QJI42" s="285"/>
      <c r="QJJ42" s="285"/>
      <c r="QJK42" s="285"/>
      <c r="QJL42" s="285"/>
      <c r="QJM42" s="285"/>
      <c r="QJN42" s="285"/>
      <c r="QJO42" s="285"/>
      <c r="QJP42" s="285"/>
      <c r="QJQ42" s="285"/>
      <c r="QJR42" s="285"/>
      <c r="QJS42" s="285"/>
      <c r="QJT42" s="285"/>
      <c r="QJU42" s="285"/>
      <c r="QJV42" s="285"/>
      <c r="QJW42" s="285"/>
      <c r="QJX42" s="285"/>
      <c r="QJY42" s="285"/>
      <c r="QJZ42" s="285"/>
      <c r="QKA42" s="285"/>
      <c r="QKB42" s="285"/>
      <c r="QKC42" s="285"/>
      <c r="QKD42" s="285"/>
      <c r="QKE42" s="285"/>
      <c r="QKF42" s="285"/>
      <c r="QKG42" s="285"/>
      <c r="QKH42" s="285"/>
      <c r="QKI42" s="285"/>
      <c r="QKJ42" s="285"/>
      <c r="QKK42" s="285"/>
      <c r="QKL42" s="285"/>
      <c r="QKM42" s="285"/>
      <c r="QKN42" s="285"/>
      <c r="QKO42" s="285"/>
      <c r="QKP42" s="285"/>
      <c r="QKQ42" s="285"/>
      <c r="QKR42" s="285"/>
      <c r="QKS42" s="285"/>
      <c r="QKT42" s="285"/>
      <c r="QKU42" s="285"/>
      <c r="QKV42" s="285"/>
      <c r="QKW42" s="285"/>
      <c r="QKX42" s="285"/>
      <c r="QKY42" s="285"/>
      <c r="QKZ42" s="285"/>
      <c r="QLA42" s="285"/>
      <c r="QLB42" s="285"/>
      <c r="QLC42" s="285"/>
      <c r="QLD42" s="285"/>
      <c r="QLE42" s="285"/>
      <c r="QLF42" s="285"/>
      <c r="QLG42" s="285"/>
      <c r="QLH42" s="285"/>
      <c r="QLI42" s="285"/>
      <c r="QLJ42" s="285"/>
      <c r="QLK42" s="285"/>
      <c r="QLL42" s="285"/>
      <c r="QLM42" s="285"/>
      <c r="QLN42" s="285"/>
      <c r="QLO42" s="285"/>
      <c r="QLP42" s="285"/>
      <c r="QLQ42" s="285"/>
      <c r="QLR42" s="285"/>
      <c r="QLS42" s="285"/>
      <c r="QLT42" s="285"/>
      <c r="QLU42" s="285"/>
      <c r="QLV42" s="285"/>
      <c r="QLW42" s="285"/>
      <c r="QLX42" s="285"/>
      <c r="QLY42" s="285"/>
      <c r="QLZ42" s="285"/>
      <c r="QMA42" s="285"/>
      <c r="QMB42" s="285"/>
      <c r="QMC42" s="285"/>
      <c r="QMD42" s="285"/>
      <c r="QME42" s="285"/>
      <c r="QMF42" s="285"/>
      <c r="QMG42" s="285"/>
      <c r="QMH42" s="285"/>
      <c r="QMI42" s="285"/>
      <c r="QMJ42" s="285"/>
      <c r="QMK42" s="285"/>
      <c r="QML42" s="285"/>
      <c r="QMM42" s="285"/>
      <c r="QMN42" s="285"/>
      <c r="QMO42" s="285"/>
      <c r="QMP42" s="285"/>
      <c r="QMQ42" s="285"/>
      <c r="QMR42" s="285"/>
      <c r="QMS42" s="285"/>
      <c r="QMT42" s="285"/>
      <c r="QMU42" s="285"/>
      <c r="QMV42" s="285"/>
      <c r="QMW42" s="285"/>
      <c r="QMX42" s="285"/>
      <c r="QMY42" s="285"/>
      <c r="QMZ42" s="285"/>
      <c r="QNA42" s="285"/>
      <c r="QNB42" s="285"/>
      <c r="QNC42" s="285"/>
      <c r="QND42" s="285"/>
      <c r="QNE42" s="285"/>
      <c r="QNF42" s="285"/>
      <c r="QNG42" s="285"/>
      <c r="QNH42" s="285"/>
      <c r="QNI42" s="285"/>
      <c r="QNJ42" s="285"/>
      <c r="QNK42" s="285"/>
      <c r="QNL42" s="285"/>
      <c r="QNM42" s="285"/>
      <c r="QNN42" s="285"/>
      <c r="QNO42" s="285"/>
      <c r="QNP42" s="285"/>
      <c r="QNQ42" s="285"/>
      <c r="QNR42" s="285"/>
      <c r="QNS42" s="285"/>
      <c r="QNT42" s="285"/>
      <c r="QNU42" s="285"/>
      <c r="QNV42" s="285"/>
      <c r="QNW42" s="285"/>
      <c r="QNX42" s="285"/>
      <c r="QNY42" s="285"/>
      <c r="QNZ42" s="285"/>
      <c r="QOA42" s="285"/>
      <c r="QOB42" s="285"/>
      <c r="QOC42" s="285"/>
      <c r="QOD42" s="285"/>
      <c r="QOE42" s="285"/>
      <c r="QOF42" s="285"/>
      <c r="QOG42" s="285"/>
      <c r="QOH42" s="285"/>
      <c r="QOI42" s="285"/>
      <c r="QOJ42" s="285"/>
      <c r="QOK42" s="285"/>
      <c r="QOL42" s="285"/>
      <c r="QOM42" s="285"/>
      <c r="QON42" s="285"/>
      <c r="QOO42" s="285"/>
      <c r="QOP42" s="285"/>
      <c r="QOQ42" s="285"/>
      <c r="QOR42" s="285"/>
      <c r="QOS42" s="285"/>
      <c r="QOT42" s="285"/>
      <c r="QOU42" s="285"/>
      <c r="QOV42" s="285"/>
      <c r="QOW42" s="285"/>
      <c r="QOX42" s="285"/>
      <c r="QOY42" s="285"/>
      <c r="QOZ42" s="285"/>
      <c r="QPA42" s="285"/>
      <c r="QPB42" s="285"/>
      <c r="QPC42" s="285"/>
      <c r="QPD42" s="285"/>
      <c r="QPE42" s="285"/>
      <c r="QPF42" s="285"/>
      <c r="QPG42" s="285"/>
      <c r="QPH42" s="285"/>
      <c r="QPI42" s="285"/>
      <c r="QPJ42" s="285"/>
      <c r="QPK42" s="285"/>
      <c r="QPL42" s="285"/>
      <c r="QPM42" s="285"/>
      <c r="QPN42" s="285"/>
      <c r="QPO42" s="285"/>
      <c r="QPP42" s="285"/>
      <c r="QPQ42" s="285"/>
      <c r="QPR42" s="285"/>
      <c r="QPS42" s="285"/>
      <c r="QPT42" s="285"/>
      <c r="QPU42" s="285"/>
      <c r="QPV42" s="285"/>
      <c r="QPW42" s="285"/>
      <c r="QPX42" s="285"/>
      <c r="QPY42" s="285"/>
      <c r="QPZ42" s="285"/>
      <c r="QQA42" s="285"/>
      <c r="QQB42" s="285"/>
      <c r="QQC42" s="285"/>
      <c r="QQD42" s="285"/>
      <c r="QQE42" s="285"/>
      <c r="QQF42" s="285"/>
      <c r="QQG42" s="285"/>
      <c r="QQH42" s="285"/>
      <c r="QQI42" s="285"/>
      <c r="QQJ42" s="285"/>
      <c r="QQK42" s="285"/>
      <c r="QQL42" s="285"/>
      <c r="QQM42" s="285"/>
      <c r="QQN42" s="285"/>
      <c r="QQO42" s="285"/>
      <c r="QQP42" s="285"/>
      <c r="QQQ42" s="285"/>
      <c r="QQR42" s="285"/>
      <c r="QQS42" s="285"/>
      <c r="QQT42" s="285"/>
      <c r="QQU42" s="285"/>
      <c r="QQV42" s="285"/>
      <c r="QQW42" s="285"/>
      <c r="QQX42" s="285"/>
      <c r="QQY42" s="285"/>
      <c r="QQZ42" s="285"/>
      <c r="QRA42" s="285"/>
      <c r="QRB42" s="285"/>
      <c r="QRC42" s="285"/>
      <c r="QRD42" s="285"/>
      <c r="QRE42" s="285"/>
      <c r="QRF42" s="285"/>
      <c r="QRG42" s="285"/>
      <c r="QRH42" s="285"/>
      <c r="QRI42" s="285"/>
      <c r="QRJ42" s="285"/>
      <c r="QRK42" s="285"/>
      <c r="QRL42" s="285"/>
      <c r="QRM42" s="285"/>
      <c r="QRN42" s="285"/>
      <c r="QRO42" s="285"/>
      <c r="QRP42" s="285"/>
      <c r="QRQ42" s="285"/>
      <c r="QRR42" s="285"/>
      <c r="QRS42" s="285"/>
      <c r="QRT42" s="285"/>
      <c r="QRU42" s="285"/>
      <c r="QRV42" s="285"/>
      <c r="QRW42" s="285"/>
      <c r="QRX42" s="285"/>
      <c r="QRY42" s="285"/>
      <c r="QRZ42" s="285"/>
      <c r="QSA42" s="285"/>
      <c r="QSB42" s="285"/>
      <c r="QSC42" s="285"/>
      <c r="QSD42" s="285"/>
      <c r="QSE42" s="285"/>
      <c r="QSF42" s="285"/>
      <c r="QSG42" s="285"/>
      <c r="QSH42" s="285"/>
      <c r="QSI42" s="285"/>
      <c r="QSJ42" s="285"/>
      <c r="QSK42" s="285"/>
      <c r="QSL42" s="285"/>
      <c r="QSM42" s="285"/>
      <c r="QSN42" s="285"/>
      <c r="QSO42" s="285"/>
      <c r="QSP42" s="285"/>
      <c r="QSQ42" s="285"/>
      <c r="QSR42" s="285"/>
      <c r="QSS42" s="285"/>
      <c r="QST42" s="285"/>
      <c r="QSU42" s="285"/>
      <c r="QSV42" s="285"/>
      <c r="QSW42" s="285"/>
      <c r="QSX42" s="285"/>
      <c r="QSY42" s="285"/>
      <c r="QSZ42" s="285"/>
      <c r="QTA42" s="285"/>
      <c r="QTB42" s="285"/>
      <c r="QTC42" s="285"/>
      <c r="QTD42" s="285"/>
      <c r="QTE42" s="285"/>
      <c r="QTF42" s="285"/>
      <c r="QTG42" s="285"/>
      <c r="QTH42" s="285"/>
      <c r="QTI42" s="285"/>
      <c r="QTJ42" s="285"/>
      <c r="QTK42" s="285"/>
      <c r="QTL42" s="285"/>
      <c r="QTM42" s="285"/>
      <c r="QTN42" s="285"/>
      <c r="QTO42" s="285"/>
      <c r="QTP42" s="285"/>
      <c r="QTQ42" s="285"/>
      <c r="QTR42" s="285"/>
      <c r="QTS42" s="285"/>
      <c r="QTT42" s="285"/>
      <c r="QTU42" s="285"/>
      <c r="QTV42" s="285"/>
      <c r="QTW42" s="285"/>
      <c r="QTX42" s="285"/>
      <c r="QTY42" s="285"/>
      <c r="QTZ42" s="285"/>
      <c r="QUA42" s="285"/>
      <c r="QUB42" s="285"/>
      <c r="QUC42" s="285"/>
      <c r="QUD42" s="285"/>
      <c r="QUE42" s="285"/>
      <c r="QUF42" s="285"/>
      <c r="QUG42" s="285"/>
      <c r="QUH42" s="285"/>
      <c r="QUI42" s="285"/>
      <c r="QUJ42" s="285"/>
      <c r="QUK42" s="285"/>
      <c r="QUL42" s="285"/>
      <c r="QUM42" s="285"/>
      <c r="QUN42" s="285"/>
      <c r="QUO42" s="285"/>
      <c r="QUP42" s="285"/>
      <c r="QUQ42" s="285"/>
      <c r="QUR42" s="285"/>
      <c r="QUS42" s="285"/>
      <c r="QUT42" s="285"/>
      <c r="QUU42" s="285"/>
      <c r="QUV42" s="285"/>
      <c r="QUW42" s="285"/>
      <c r="QUX42" s="285"/>
      <c r="QUY42" s="285"/>
      <c r="QUZ42" s="285"/>
      <c r="QVA42" s="285"/>
      <c r="QVB42" s="285"/>
      <c r="QVC42" s="285"/>
      <c r="QVD42" s="285"/>
      <c r="QVE42" s="285"/>
      <c r="QVF42" s="285"/>
      <c r="QVG42" s="285"/>
      <c r="QVH42" s="285"/>
      <c r="QVI42" s="285"/>
      <c r="QVJ42" s="285"/>
      <c r="QVK42" s="285"/>
      <c r="QVL42" s="285"/>
      <c r="QVM42" s="285"/>
      <c r="QVN42" s="285"/>
      <c r="QVO42" s="285"/>
      <c r="QVP42" s="285"/>
      <c r="QVQ42" s="285"/>
      <c r="QVR42" s="285"/>
      <c r="QVS42" s="285"/>
      <c r="QVT42" s="285"/>
      <c r="QVU42" s="285"/>
      <c r="QVV42" s="285"/>
      <c r="QVW42" s="285"/>
      <c r="QVX42" s="285"/>
      <c r="QVY42" s="285"/>
      <c r="QVZ42" s="285"/>
      <c r="QWA42" s="285"/>
      <c r="QWB42" s="285"/>
      <c r="QWC42" s="285"/>
      <c r="QWD42" s="285"/>
      <c r="QWE42" s="285"/>
      <c r="QWF42" s="285"/>
      <c r="QWG42" s="285"/>
      <c r="QWH42" s="285"/>
      <c r="QWI42" s="285"/>
      <c r="QWJ42" s="285"/>
      <c r="QWK42" s="285"/>
      <c r="QWL42" s="285"/>
      <c r="QWM42" s="285"/>
      <c r="QWN42" s="285"/>
      <c r="QWO42" s="285"/>
      <c r="QWP42" s="285"/>
      <c r="QWQ42" s="285"/>
      <c r="QWR42" s="285"/>
      <c r="QWS42" s="285"/>
      <c r="QWT42" s="285"/>
      <c r="QWU42" s="285"/>
      <c r="QWV42" s="285"/>
      <c r="QWW42" s="285"/>
      <c r="QWX42" s="285"/>
      <c r="QWY42" s="285"/>
      <c r="QWZ42" s="285"/>
      <c r="QXA42" s="285"/>
      <c r="QXB42" s="285"/>
      <c r="QXC42" s="285"/>
      <c r="QXD42" s="285"/>
      <c r="QXE42" s="285"/>
      <c r="QXF42" s="285"/>
      <c r="QXG42" s="285"/>
      <c r="QXH42" s="285"/>
      <c r="QXI42" s="285"/>
      <c r="QXJ42" s="285"/>
      <c r="QXK42" s="285"/>
      <c r="QXL42" s="285"/>
      <c r="QXM42" s="285"/>
      <c r="QXN42" s="285"/>
      <c r="QXO42" s="285"/>
      <c r="QXP42" s="285"/>
      <c r="QXQ42" s="285"/>
      <c r="QXR42" s="285"/>
      <c r="QXS42" s="285"/>
      <c r="QXT42" s="285"/>
      <c r="QXU42" s="285"/>
      <c r="QXV42" s="285"/>
      <c r="QXW42" s="285"/>
      <c r="QXX42" s="285"/>
      <c r="QXY42" s="285"/>
      <c r="QXZ42" s="285"/>
      <c r="QYA42" s="285"/>
      <c r="QYB42" s="285"/>
      <c r="QYC42" s="285"/>
      <c r="QYD42" s="285"/>
      <c r="QYE42" s="285"/>
      <c r="QYF42" s="285"/>
      <c r="QYG42" s="285"/>
      <c r="QYH42" s="285"/>
      <c r="QYI42" s="285"/>
      <c r="QYJ42" s="285"/>
      <c r="QYK42" s="285"/>
      <c r="QYL42" s="285"/>
      <c r="QYM42" s="285"/>
      <c r="QYN42" s="285"/>
      <c r="QYO42" s="285"/>
      <c r="QYP42" s="285"/>
      <c r="QYQ42" s="285"/>
      <c r="QYR42" s="285"/>
      <c r="QYS42" s="285"/>
      <c r="QYT42" s="285"/>
      <c r="QYU42" s="285"/>
      <c r="QYV42" s="285"/>
      <c r="QYW42" s="285"/>
      <c r="QYX42" s="285"/>
      <c r="QYY42" s="285"/>
      <c r="QYZ42" s="285"/>
      <c r="QZA42" s="285"/>
      <c r="QZB42" s="285"/>
      <c r="QZC42" s="285"/>
      <c r="QZD42" s="285"/>
      <c r="QZE42" s="285"/>
      <c r="QZF42" s="285"/>
      <c r="QZG42" s="285"/>
      <c r="QZH42" s="285"/>
      <c r="QZI42" s="285"/>
      <c r="QZJ42" s="285"/>
      <c r="QZK42" s="285"/>
      <c r="QZL42" s="285"/>
      <c r="QZM42" s="285"/>
      <c r="QZN42" s="285"/>
      <c r="QZO42" s="285"/>
      <c r="QZP42" s="285"/>
      <c r="QZQ42" s="285"/>
      <c r="QZR42" s="285"/>
      <c r="QZS42" s="285"/>
      <c r="QZT42" s="285"/>
      <c r="QZU42" s="285"/>
      <c r="QZV42" s="285"/>
      <c r="QZW42" s="285"/>
      <c r="QZX42" s="285"/>
      <c r="QZY42" s="285"/>
      <c r="QZZ42" s="285"/>
      <c r="RAA42" s="285"/>
      <c r="RAB42" s="285"/>
      <c r="RAC42" s="285"/>
      <c r="RAD42" s="285"/>
      <c r="RAE42" s="285"/>
      <c r="RAF42" s="285"/>
      <c r="RAG42" s="285"/>
      <c r="RAH42" s="285"/>
      <c r="RAI42" s="285"/>
      <c r="RAJ42" s="285"/>
      <c r="RAK42" s="285"/>
      <c r="RAL42" s="285"/>
      <c r="RAM42" s="285"/>
      <c r="RAN42" s="285"/>
      <c r="RAO42" s="285"/>
      <c r="RAP42" s="285"/>
      <c r="RAQ42" s="285"/>
      <c r="RAR42" s="285"/>
      <c r="RAS42" s="285"/>
      <c r="RAT42" s="285"/>
      <c r="RAU42" s="285"/>
      <c r="RAV42" s="285"/>
      <c r="RAW42" s="285"/>
      <c r="RAX42" s="285"/>
      <c r="RAY42" s="285"/>
      <c r="RAZ42" s="285"/>
      <c r="RBA42" s="285"/>
      <c r="RBB42" s="285"/>
      <c r="RBC42" s="285"/>
      <c r="RBD42" s="285"/>
      <c r="RBE42" s="285"/>
      <c r="RBF42" s="285"/>
      <c r="RBG42" s="285"/>
      <c r="RBH42" s="285"/>
      <c r="RBI42" s="285"/>
      <c r="RBJ42" s="285"/>
      <c r="RBK42" s="285"/>
      <c r="RBL42" s="285"/>
      <c r="RBM42" s="285"/>
      <c r="RBN42" s="285"/>
      <c r="RBO42" s="285"/>
      <c r="RBP42" s="285"/>
      <c r="RBQ42" s="285"/>
      <c r="RBR42" s="285"/>
      <c r="RBS42" s="285"/>
      <c r="RBT42" s="285"/>
      <c r="RBU42" s="285"/>
      <c r="RBV42" s="285"/>
      <c r="RBW42" s="285"/>
      <c r="RBX42" s="285"/>
      <c r="RBY42" s="285"/>
      <c r="RBZ42" s="285"/>
      <c r="RCA42" s="285"/>
      <c r="RCB42" s="285"/>
      <c r="RCC42" s="285"/>
      <c r="RCD42" s="285"/>
      <c r="RCE42" s="285"/>
      <c r="RCF42" s="285"/>
      <c r="RCG42" s="285"/>
      <c r="RCH42" s="285"/>
      <c r="RCI42" s="285"/>
      <c r="RCJ42" s="285"/>
      <c r="RCK42" s="285"/>
      <c r="RCL42" s="285"/>
      <c r="RCM42" s="285"/>
      <c r="RCN42" s="285"/>
      <c r="RCO42" s="285"/>
      <c r="RCP42" s="285"/>
      <c r="RCQ42" s="285"/>
      <c r="RCR42" s="285"/>
      <c r="RCS42" s="285"/>
      <c r="RCT42" s="285"/>
      <c r="RCU42" s="285"/>
      <c r="RCV42" s="285"/>
      <c r="RCW42" s="285"/>
      <c r="RCX42" s="285"/>
      <c r="RCY42" s="285"/>
      <c r="RCZ42" s="285"/>
      <c r="RDA42" s="285"/>
      <c r="RDB42" s="285"/>
      <c r="RDC42" s="285"/>
      <c r="RDD42" s="285"/>
      <c r="RDE42" s="285"/>
      <c r="RDF42" s="285"/>
      <c r="RDG42" s="285"/>
      <c r="RDH42" s="285"/>
      <c r="RDI42" s="285"/>
      <c r="RDJ42" s="285"/>
      <c r="RDK42" s="285"/>
      <c r="RDL42" s="285"/>
      <c r="RDM42" s="285"/>
      <c r="RDN42" s="285"/>
      <c r="RDO42" s="285"/>
      <c r="RDP42" s="285"/>
      <c r="RDQ42" s="285"/>
      <c r="RDR42" s="285"/>
      <c r="RDS42" s="285"/>
      <c r="RDT42" s="285"/>
      <c r="RDU42" s="285"/>
      <c r="RDV42" s="285"/>
      <c r="RDW42" s="285"/>
      <c r="RDX42" s="285"/>
      <c r="RDY42" s="285"/>
      <c r="RDZ42" s="285"/>
      <c r="REA42" s="285"/>
      <c r="REB42" s="285"/>
      <c r="REC42" s="285"/>
      <c r="RED42" s="285"/>
      <c r="REE42" s="285"/>
      <c r="REF42" s="285"/>
      <c r="REG42" s="285"/>
      <c r="REH42" s="285"/>
      <c r="REI42" s="285"/>
      <c r="REJ42" s="285"/>
      <c r="REK42" s="285"/>
      <c r="REL42" s="285"/>
      <c r="REM42" s="285"/>
      <c r="REN42" s="285"/>
      <c r="REO42" s="285"/>
      <c r="REP42" s="285"/>
      <c r="REQ42" s="285"/>
      <c r="RER42" s="285"/>
      <c r="RES42" s="285"/>
      <c r="RET42" s="285"/>
      <c r="REU42" s="285"/>
      <c r="REV42" s="285"/>
      <c r="REW42" s="285"/>
      <c r="REX42" s="285"/>
      <c r="REY42" s="285"/>
      <c r="REZ42" s="285"/>
      <c r="RFA42" s="285"/>
      <c r="RFB42" s="285"/>
      <c r="RFC42" s="285"/>
      <c r="RFD42" s="285"/>
      <c r="RFE42" s="285"/>
      <c r="RFF42" s="285"/>
      <c r="RFG42" s="285"/>
      <c r="RFH42" s="285"/>
      <c r="RFI42" s="285"/>
      <c r="RFJ42" s="285"/>
      <c r="RFK42" s="285"/>
      <c r="RFL42" s="285"/>
      <c r="RFM42" s="285"/>
      <c r="RFN42" s="285"/>
      <c r="RFO42" s="285"/>
      <c r="RFP42" s="285"/>
      <c r="RFQ42" s="285"/>
      <c r="RFR42" s="285"/>
      <c r="RFS42" s="285"/>
      <c r="RFT42" s="285"/>
      <c r="RFU42" s="285"/>
      <c r="RFV42" s="285"/>
      <c r="RFW42" s="285"/>
      <c r="RFX42" s="285"/>
      <c r="RFY42" s="285"/>
      <c r="RFZ42" s="285"/>
      <c r="RGA42" s="285"/>
      <c r="RGB42" s="285"/>
      <c r="RGC42" s="285"/>
      <c r="RGD42" s="285"/>
      <c r="RGE42" s="285"/>
      <c r="RGF42" s="285"/>
      <c r="RGG42" s="285"/>
      <c r="RGH42" s="285"/>
      <c r="RGI42" s="285"/>
      <c r="RGJ42" s="285"/>
      <c r="RGK42" s="285"/>
      <c r="RGL42" s="285"/>
      <c r="RGM42" s="285"/>
      <c r="RGN42" s="285"/>
      <c r="RGO42" s="285"/>
      <c r="RGP42" s="285"/>
      <c r="RGQ42" s="285"/>
      <c r="RGR42" s="285"/>
      <c r="RGS42" s="285"/>
      <c r="RGT42" s="285"/>
      <c r="RGU42" s="285"/>
      <c r="RGV42" s="285"/>
      <c r="RGW42" s="285"/>
      <c r="RGX42" s="285"/>
      <c r="RGY42" s="285"/>
      <c r="RGZ42" s="285"/>
      <c r="RHA42" s="285"/>
      <c r="RHB42" s="285"/>
      <c r="RHC42" s="285"/>
      <c r="RHD42" s="285"/>
      <c r="RHE42" s="285"/>
      <c r="RHF42" s="285"/>
      <c r="RHG42" s="285"/>
      <c r="RHH42" s="285"/>
      <c r="RHI42" s="285"/>
      <c r="RHJ42" s="285"/>
      <c r="RHK42" s="285"/>
      <c r="RHL42" s="285"/>
      <c r="RHM42" s="285"/>
      <c r="RHN42" s="285"/>
      <c r="RHO42" s="285"/>
      <c r="RHP42" s="285"/>
      <c r="RHQ42" s="285"/>
      <c r="RHR42" s="285"/>
      <c r="RHS42" s="285"/>
      <c r="RHT42" s="285"/>
      <c r="RHU42" s="285"/>
      <c r="RHV42" s="285"/>
      <c r="RHW42" s="285"/>
      <c r="RHX42" s="285"/>
      <c r="RHY42" s="285"/>
      <c r="RHZ42" s="285"/>
      <c r="RIA42" s="285"/>
      <c r="RIB42" s="285"/>
      <c r="RIC42" s="285"/>
      <c r="RID42" s="285"/>
      <c r="RIE42" s="285"/>
      <c r="RIF42" s="285"/>
      <c r="RIG42" s="285"/>
      <c r="RIH42" s="285"/>
      <c r="RII42" s="285"/>
      <c r="RIJ42" s="285"/>
      <c r="RIK42" s="285"/>
      <c r="RIL42" s="285"/>
      <c r="RIM42" s="285"/>
      <c r="RIN42" s="285"/>
      <c r="RIO42" s="285"/>
      <c r="RIP42" s="285"/>
      <c r="RIQ42" s="285"/>
      <c r="RIR42" s="285"/>
      <c r="RIS42" s="285"/>
      <c r="RIT42" s="285"/>
      <c r="RIU42" s="285"/>
      <c r="RIV42" s="285"/>
      <c r="RIW42" s="285"/>
      <c r="RIX42" s="285"/>
      <c r="RIY42" s="285"/>
      <c r="RIZ42" s="285"/>
      <c r="RJA42" s="285"/>
      <c r="RJB42" s="285"/>
      <c r="RJC42" s="285"/>
      <c r="RJD42" s="285"/>
      <c r="RJE42" s="285"/>
      <c r="RJF42" s="285"/>
      <c r="RJG42" s="285"/>
      <c r="RJH42" s="285"/>
      <c r="RJI42" s="285"/>
      <c r="RJJ42" s="285"/>
      <c r="RJK42" s="285"/>
      <c r="RJL42" s="285"/>
      <c r="RJM42" s="285"/>
      <c r="RJN42" s="285"/>
      <c r="RJO42" s="285"/>
      <c r="RJP42" s="285"/>
      <c r="RJQ42" s="285"/>
      <c r="RJR42" s="285"/>
      <c r="RJS42" s="285"/>
      <c r="RJT42" s="285"/>
      <c r="RJU42" s="285"/>
      <c r="RJV42" s="285"/>
      <c r="RJW42" s="285"/>
      <c r="RJX42" s="285"/>
      <c r="RJY42" s="285"/>
      <c r="RJZ42" s="285"/>
      <c r="RKA42" s="285"/>
      <c r="RKB42" s="285"/>
      <c r="RKC42" s="285"/>
      <c r="RKD42" s="285"/>
      <c r="RKE42" s="285"/>
      <c r="RKF42" s="285"/>
      <c r="RKG42" s="285"/>
      <c r="RKH42" s="285"/>
      <c r="RKI42" s="285"/>
      <c r="RKJ42" s="285"/>
      <c r="RKK42" s="285"/>
      <c r="RKL42" s="285"/>
      <c r="RKM42" s="285"/>
      <c r="RKN42" s="285"/>
      <c r="RKO42" s="285"/>
      <c r="RKP42" s="285"/>
      <c r="RKQ42" s="285"/>
      <c r="RKR42" s="285"/>
      <c r="RKS42" s="285"/>
      <c r="RKT42" s="285"/>
      <c r="RKU42" s="285"/>
      <c r="RKV42" s="285"/>
      <c r="RKW42" s="285"/>
      <c r="RKX42" s="285"/>
      <c r="RKY42" s="285"/>
      <c r="RKZ42" s="285"/>
      <c r="RLA42" s="285"/>
      <c r="RLB42" s="285"/>
      <c r="RLC42" s="285"/>
      <c r="RLD42" s="285"/>
      <c r="RLE42" s="285"/>
      <c r="RLF42" s="285"/>
      <c r="RLG42" s="285"/>
      <c r="RLH42" s="285"/>
      <c r="RLI42" s="285"/>
      <c r="RLJ42" s="285"/>
      <c r="RLK42" s="285"/>
      <c r="RLL42" s="285"/>
      <c r="RLM42" s="285"/>
      <c r="RLN42" s="285"/>
      <c r="RLO42" s="285"/>
      <c r="RLP42" s="285"/>
      <c r="RLQ42" s="285"/>
      <c r="RLR42" s="285"/>
      <c r="RLS42" s="285"/>
      <c r="RLT42" s="285"/>
      <c r="RLU42" s="285"/>
      <c r="RLV42" s="285"/>
      <c r="RLW42" s="285"/>
      <c r="RLX42" s="285"/>
      <c r="RLY42" s="285"/>
      <c r="RLZ42" s="285"/>
      <c r="RMA42" s="285"/>
      <c r="RMB42" s="285"/>
      <c r="RMC42" s="285"/>
      <c r="RMD42" s="285"/>
      <c r="RME42" s="285"/>
      <c r="RMF42" s="285"/>
      <c r="RMG42" s="285"/>
      <c r="RMH42" s="285"/>
      <c r="RMI42" s="285"/>
      <c r="RMJ42" s="285"/>
      <c r="RMK42" s="285"/>
      <c r="RML42" s="285"/>
      <c r="RMM42" s="285"/>
      <c r="RMN42" s="285"/>
      <c r="RMO42" s="285"/>
      <c r="RMP42" s="285"/>
      <c r="RMQ42" s="285"/>
      <c r="RMR42" s="285"/>
      <c r="RMS42" s="285"/>
      <c r="RMT42" s="285"/>
      <c r="RMU42" s="285"/>
      <c r="RMV42" s="285"/>
      <c r="RMW42" s="285"/>
      <c r="RMX42" s="285"/>
      <c r="RMY42" s="285"/>
      <c r="RMZ42" s="285"/>
      <c r="RNA42" s="285"/>
      <c r="RNB42" s="285"/>
      <c r="RNC42" s="285"/>
      <c r="RND42" s="285"/>
      <c r="RNE42" s="285"/>
      <c r="RNF42" s="285"/>
      <c r="RNG42" s="285"/>
      <c r="RNH42" s="285"/>
      <c r="RNI42" s="285"/>
      <c r="RNJ42" s="285"/>
      <c r="RNK42" s="285"/>
      <c r="RNL42" s="285"/>
      <c r="RNM42" s="285"/>
      <c r="RNN42" s="285"/>
      <c r="RNO42" s="285"/>
      <c r="RNP42" s="285"/>
      <c r="RNQ42" s="285"/>
      <c r="RNR42" s="285"/>
      <c r="RNS42" s="285"/>
      <c r="RNT42" s="285"/>
      <c r="RNU42" s="285"/>
      <c r="RNV42" s="285"/>
      <c r="RNW42" s="285"/>
      <c r="RNX42" s="285"/>
      <c r="RNY42" s="285"/>
      <c r="RNZ42" s="285"/>
      <c r="ROA42" s="285"/>
      <c r="ROB42" s="285"/>
      <c r="ROC42" s="285"/>
      <c r="ROD42" s="285"/>
      <c r="ROE42" s="285"/>
      <c r="ROF42" s="285"/>
      <c r="ROG42" s="285"/>
      <c r="ROH42" s="285"/>
      <c r="ROI42" s="285"/>
      <c r="ROJ42" s="285"/>
      <c r="ROK42" s="285"/>
      <c r="ROL42" s="285"/>
      <c r="ROM42" s="285"/>
      <c r="RON42" s="285"/>
      <c r="ROO42" s="285"/>
      <c r="ROP42" s="285"/>
      <c r="ROQ42" s="285"/>
      <c r="ROR42" s="285"/>
      <c r="ROS42" s="285"/>
      <c r="ROT42" s="285"/>
      <c r="ROU42" s="285"/>
      <c r="ROV42" s="285"/>
      <c r="ROW42" s="285"/>
      <c r="ROX42" s="285"/>
      <c r="ROY42" s="285"/>
      <c r="ROZ42" s="285"/>
      <c r="RPA42" s="285"/>
      <c r="RPB42" s="285"/>
      <c r="RPC42" s="285"/>
      <c r="RPD42" s="285"/>
      <c r="RPE42" s="285"/>
      <c r="RPF42" s="285"/>
      <c r="RPG42" s="285"/>
      <c r="RPH42" s="285"/>
      <c r="RPI42" s="285"/>
      <c r="RPJ42" s="285"/>
      <c r="RPK42" s="285"/>
      <c r="RPL42" s="285"/>
      <c r="RPM42" s="285"/>
      <c r="RPN42" s="285"/>
      <c r="RPO42" s="285"/>
      <c r="RPP42" s="285"/>
      <c r="RPQ42" s="285"/>
      <c r="RPR42" s="285"/>
      <c r="RPS42" s="285"/>
      <c r="RPT42" s="285"/>
      <c r="RPU42" s="285"/>
      <c r="RPV42" s="285"/>
      <c r="RPW42" s="285"/>
      <c r="RPX42" s="285"/>
      <c r="RPY42" s="285"/>
      <c r="RPZ42" s="285"/>
      <c r="RQA42" s="285"/>
      <c r="RQB42" s="285"/>
      <c r="RQC42" s="285"/>
      <c r="RQD42" s="285"/>
      <c r="RQE42" s="285"/>
      <c r="RQF42" s="285"/>
      <c r="RQG42" s="285"/>
      <c r="RQH42" s="285"/>
      <c r="RQI42" s="285"/>
      <c r="RQJ42" s="285"/>
      <c r="RQK42" s="285"/>
      <c r="RQL42" s="285"/>
      <c r="RQM42" s="285"/>
      <c r="RQN42" s="285"/>
      <c r="RQO42" s="285"/>
      <c r="RQP42" s="285"/>
      <c r="RQQ42" s="285"/>
      <c r="RQR42" s="285"/>
      <c r="RQS42" s="285"/>
      <c r="RQT42" s="285"/>
      <c r="RQU42" s="285"/>
      <c r="RQV42" s="285"/>
      <c r="RQW42" s="285"/>
      <c r="RQX42" s="285"/>
      <c r="RQY42" s="285"/>
      <c r="RQZ42" s="285"/>
      <c r="RRA42" s="285"/>
      <c r="RRB42" s="285"/>
      <c r="RRC42" s="285"/>
      <c r="RRD42" s="285"/>
      <c r="RRE42" s="285"/>
      <c r="RRF42" s="285"/>
      <c r="RRG42" s="285"/>
      <c r="RRH42" s="285"/>
      <c r="RRI42" s="285"/>
      <c r="RRJ42" s="285"/>
      <c r="RRK42" s="285"/>
      <c r="RRL42" s="285"/>
      <c r="RRM42" s="285"/>
      <c r="RRN42" s="285"/>
      <c r="RRO42" s="285"/>
      <c r="RRP42" s="285"/>
      <c r="RRQ42" s="285"/>
      <c r="RRR42" s="285"/>
      <c r="RRS42" s="285"/>
      <c r="RRT42" s="285"/>
      <c r="RRU42" s="285"/>
      <c r="RRV42" s="285"/>
      <c r="RRW42" s="285"/>
      <c r="RRX42" s="285"/>
      <c r="RRY42" s="285"/>
      <c r="RRZ42" s="285"/>
      <c r="RSA42" s="285"/>
      <c r="RSB42" s="285"/>
      <c r="RSC42" s="285"/>
      <c r="RSD42" s="285"/>
      <c r="RSE42" s="285"/>
      <c r="RSF42" s="285"/>
      <c r="RSG42" s="285"/>
      <c r="RSH42" s="285"/>
      <c r="RSI42" s="285"/>
      <c r="RSJ42" s="285"/>
      <c r="RSK42" s="285"/>
      <c r="RSL42" s="285"/>
      <c r="RSM42" s="285"/>
      <c r="RSN42" s="285"/>
      <c r="RSO42" s="285"/>
      <c r="RSP42" s="285"/>
      <c r="RSQ42" s="285"/>
      <c r="RSR42" s="285"/>
      <c r="RSS42" s="285"/>
      <c r="RST42" s="285"/>
      <c r="RSU42" s="285"/>
      <c r="RSV42" s="285"/>
      <c r="RSW42" s="285"/>
      <c r="RSX42" s="285"/>
      <c r="RSY42" s="285"/>
      <c r="RSZ42" s="285"/>
      <c r="RTA42" s="285"/>
      <c r="RTB42" s="285"/>
      <c r="RTC42" s="285"/>
      <c r="RTD42" s="285"/>
      <c r="RTE42" s="285"/>
      <c r="RTF42" s="285"/>
      <c r="RTG42" s="285"/>
      <c r="RTH42" s="285"/>
      <c r="RTI42" s="285"/>
      <c r="RTJ42" s="285"/>
      <c r="RTK42" s="285"/>
      <c r="RTL42" s="285"/>
      <c r="RTM42" s="285"/>
      <c r="RTN42" s="285"/>
      <c r="RTO42" s="285"/>
      <c r="RTP42" s="285"/>
      <c r="RTQ42" s="285"/>
      <c r="RTR42" s="285"/>
      <c r="RTS42" s="285"/>
      <c r="RTT42" s="285"/>
      <c r="RTU42" s="285"/>
      <c r="RTV42" s="285"/>
      <c r="RTW42" s="285"/>
      <c r="RTX42" s="285"/>
      <c r="RTY42" s="285"/>
      <c r="RTZ42" s="285"/>
      <c r="RUA42" s="285"/>
      <c r="RUB42" s="285"/>
      <c r="RUC42" s="285"/>
      <c r="RUD42" s="285"/>
      <c r="RUE42" s="285"/>
      <c r="RUF42" s="285"/>
      <c r="RUG42" s="285"/>
      <c r="RUH42" s="285"/>
      <c r="RUI42" s="285"/>
      <c r="RUJ42" s="285"/>
      <c r="RUK42" s="285"/>
      <c r="RUL42" s="285"/>
      <c r="RUM42" s="285"/>
      <c r="RUN42" s="285"/>
      <c r="RUO42" s="285"/>
      <c r="RUP42" s="285"/>
      <c r="RUQ42" s="285"/>
      <c r="RUR42" s="285"/>
      <c r="RUS42" s="285"/>
      <c r="RUT42" s="285"/>
      <c r="RUU42" s="285"/>
      <c r="RUV42" s="285"/>
      <c r="RUW42" s="285"/>
      <c r="RUX42" s="285"/>
      <c r="RUY42" s="285"/>
      <c r="RUZ42" s="285"/>
      <c r="RVA42" s="285"/>
      <c r="RVB42" s="285"/>
      <c r="RVC42" s="285"/>
      <c r="RVD42" s="285"/>
      <c r="RVE42" s="285"/>
      <c r="RVF42" s="285"/>
      <c r="RVG42" s="285"/>
      <c r="RVH42" s="285"/>
      <c r="RVI42" s="285"/>
      <c r="RVJ42" s="285"/>
      <c r="RVK42" s="285"/>
      <c r="RVL42" s="285"/>
      <c r="RVM42" s="285"/>
      <c r="RVN42" s="285"/>
      <c r="RVO42" s="285"/>
      <c r="RVP42" s="285"/>
      <c r="RVQ42" s="285"/>
      <c r="RVR42" s="285"/>
      <c r="RVS42" s="285"/>
      <c r="RVT42" s="285"/>
      <c r="RVU42" s="285"/>
      <c r="RVV42" s="285"/>
      <c r="RVW42" s="285"/>
      <c r="RVX42" s="285"/>
      <c r="RVY42" s="285"/>
      <c r="RVZ42" s="285"/>
      <c r="RWA42" s="285"/>
      <c r="RWB42" s="285"/>
      <c r="RWC42" s="285"/>
      <c r="RWD42" s="285"/>
      <c r="RWE42" s="285"/>
      <c r="RWF42" s="285"/>
      <c r="RWG42" s="285"/>
      <c r="RWH42" s="285"/>
      <c r="RWI42" s="285"/>
      <c r="RWJ42" s="285"/>
      <c r="RWK42" s="285"/>
      <c r="RWL42" s="285"/>
      <c r="RWM42" s="285"/>
      <c r="RWN42" s="285"/>
      <c r="RWO42" s="285"/>
      <c r="RWP42" s="285"/>
      <c r="RWQ42" s="285"/>
      <c r="RWR42" s="285"/>
      <c r="RWS42" s="285"/>
      <c r="RWT42" s="285"/>
      <c r="RWU42" s="285"/>
      <c r="RWV42" s="285"/>
      <c r="RWW42" s="285"/>
      <c r="RWX42" s="285"/>
      <c r="RWY42" s="285"/>
      <c r="RWZ42" s="285"/>
      <c r="RXA42" s="285"/>
      <c r="RXB42" s="285"/>
      <c r="RXC42" s="285"/>
      <c r="RXD42" s="285"/>
      <c r="RXE42" s="285"/>
      <c r="RXF42" s="285"/>
      <c r="RXG42" s="285"/>
      <c r="RXH42" s="285"/>
      <c r="RXI42" s="285"/>
      <c r="RXJ42" s="285"/>
      <c r="RXK42" s="285"/>
      <c r="RXL42" s="285"/>
      <c r="RXM42" s="285"/>
      <c r="RXN42" s="285"/>
      <c r="RXO42" s="285"/>
      <c r="RXP42" s="285"/>
      <c r="RXQ42" s="285"/>
      <c r="RXR42" s="285"/>
      <c r="RXS42" s="285"/>
      <c r="RXT42" s="285"/>
      <c r="RXU42" s="285"/>
      <c r="RXV42" s="285"/>
      <c r="RXW42" s="285"/>
      <c r="RXX42" s="285"/>
      <c r="RXY42" s="285"/>
      <c r="RXZ42" s="285"/>
      <c r="RYA42" s="285"/>
      <c r="RYB42" s="285"/>
      <c r="RYC42" s="285"/>
      <c r="RYD42" s="285"/>
      <c r="RYE42" s="285"/>
      <c r="RYF42" s="285"/>
      <c r="RYG42" s="285"/>
      <c r="RYH42" s="285"/>
      <c r="RYI42" s="285"/>
      <c r="RYJ42" s="285"/>
      <c r="RYK42" s="285"/>
      <c r="RYL42" s="285"/>
      <c r="RYM42" s="285"/>
      <c r="RYN42" s="285"/>
      <c r="RYO42" s="285"/>
      <c r="RYP42" s="285"/>
      <c r="RYQ42" s="285"/>
      <c r="RYR42" s="285"/>
      <c r="RYS42" s="285"/>
      <c r="RYT42" s="285"/>
      <c r="RYU42" s="285"/>
      <c r="RYV42" s="285"/>
      <c r="RYW42" s="285"/>
      <c r="RYX42" s="285"/>
      <c r="RYY42" s="285"/>
      <c r="RYZ42" s="285"/>
      <c r="RZA42" s="285"/>
      <c r="RZB42" s="285"/>
      <c r="RZC42" s="285"/>
      <c r="RZD42" s="285"/>
      <c r="RZE42" s="285"/>
      <c r="RZF42" s="285"/>
      <c r="RZG42" s="285"/>
      <c r="RZH42" s="285"/>
      <c r="RZI42" s="285"/>
      <c r="RZJ42" s="285"/>
      <c r="RZK42" s="285"/>
      <c r="RZL42" s="285"/>
      <c r="RZM42" s="285"/>
      <c r="RZN42" s="285"/>
      <c r="RZO42" s="285"/>
      <c r="RZP42" s="285"/>
      <c r="RZQ42" s="285"/>
      <c r="RZR42" s="285"/>
      <c r="RZS42" s="285"/>
      <c r="RZT42" s="285"/>
      <c r="RZU42" s="285"/>
      <c r="RZV42" s="285"/>
      <c r="RZW42" s="285"/>
      <c r="RZX42" s="285"/>
      <c r="RZY42" s="285"/>
      <c r="RZZ42" s="285"/>
      <c r="SAA42" s="285"/>
      <c r="SAB42" s="285"/>
      <c r="SAC42" s="285"/>
      <c r="SAD42" s="285"/>
      <c r="SAE42" s="285"/>
      <c r="SAF42" s="285"/>
      <c r="SAG42" s="285"/>
      <c r="SAH42" s="285"/>
      <c r="SAI42" s="285"/>
      <c r="SAJ42" s="285"/>
      <c r="SAK42" s="285"/>
      <c r="SAL42" s="285"/>
      <c r="SAM42" s="285"/>
      <c r="SAN42" s="285"/>
      <c r="SAO42" s="285"/>
      <c r="SAP42" s="285"/>
      <c r="SAQ42" s="285"/>
      <c r="SAR42" s="285"/>
      <c r="SAS42" s="285"/>
      <c r="SAT42" s="285"/>
      <c r="SAU42" s="285"/>
      <c r="SAV42" s="285"/>
      <c r="SAW42" s="285"/>
      <c r="SAX42" s="285"/>
      <c r="SAY42" s="285"/>
      <c r="SAZ42" s="285"/>
      <c r="SBA42" s="285"/>
      <c r="SBB42" s="285"/>
      <c r="SBC42" s="285"/>
      <c r="SBD42" s="285"/>
      <c r="SBE42" s="285"/>
      <c r="SBF42" s="285"/>
      <c r="SBG42" s="285"/>
      <c r="SBH42" s="285"/>
      <c r="SBI42" s="285"/>
      <c r="SBJ42" s="285"/>
      <c r="SBK42" s="285"/>
      <c r="SBL42" s="285"/>
      <c r="SBM42" s="285"/>
      <c r="SBN42" s="285"/>
      <c r="SBO42" s="285"/>
      <c r="SBP42" s="285"/>
      <c r="SBQ42" s="285"/>
      <c r="SBR42" s="285"/>
      <c r="SBS42" s="285"/>
      <c r="SBT42" s="285"/>
      <c r="SBU42" s="285"/>
      <c r="SBV42" s="285"/>
      <c r="SBW42" s="285"/>
      <c r="SBX42" s="285"/>
      <c r="SBY42" s="285"/>
      <c r="SBZ42" s="285"/>
      <c r="SCA42" s="285"/>
      <c r="SCB42" s="285"/>
      <c r="SCC42" s="285"/>
      <c r="SCD42" s="285"/>
      <c r="SCE42" s="285"/>
      <c r="SCF42" s="285"/>
      <c r="SCG42" s="285"/>
      <c r="SCH42" s="285"/>
      <c r="SCI42" s="285"/>
      <c r="SCJ42" s="285"/>
      <c r="SCK42" s="285"/>
      <c r="SCL42" s="285"/>
      <c r="SCM42" s="285"/>
      <c r="SCN42" s="285"/>
      <c r="SCO42" s="285"/>
      <c r="SCP42" s="285"/>
      <c r="SCQ42" s="285"/>
      <c r="SCR42" s="285"/>
      <c r="SCS42" s="285"/>
      <c r="SCT42" s="285"/>
      <c r="SCU42" s="285"/>
      <c r="SCV42" s="285"/>
      <c r="SCW42" s="285"/>
      <c r="SCX42" s="285"/>
      <c r="SCY42" s="285"/>
      <c r="SCZ42" s="285"/>
      <c r="SDA42" s="285"/>
      <c r="SDB42" s="285"/>
      <c r="SDC42" s="285"/>
      <c r="SDD42" s="285"/>
      <c r="SDE42" s="285"/>
      <c r="SDF42" s="285"/>
      <c r="SDG42" s="285"/>
      <c r="SDH42" s="285"/>
      <c r="SDI42" s="285"/>
      <c r="SDJ42" s="285"/>
      <c r="SDK42" s="285"/>
      <c r="SDL42" s="285"/>
      <c r="SDM42" s="285"/>
      <c r="SDN42" s="285"/>
      <c r="SDO42" s="285"/>
      <c r="SDP42" s="285"/>
      <c r="SDQ42" s="285"/>
      <c r="SDR42" s="285"/>
      <c r="SDS42" s="285"/>
      <c r="SDT42" s="285"/>
      <c r="SDU42" s="285"/>
      <c r="SDV42" s="285"/>
      <c r="SDW42" s="285"/>
      <c r="SDX42" s="285"/>
      <c r="SDY42" s="285"/>
      <c r="SDZ42" s="285"/>
      <c r="SEA42" s="285"/>
      <c r="SEB42" s="285"/>
      <c r="SEC42" s="285"/>
      <c r="SED42" s="285"/>
      <c r="SEE42" s="285"/>
      <c r="SEF42" s="285"/>
      <c r="SEG42" s="285"/>
      <c r="SEH42" s="285"/>
      <c r="SEI42" s="285"/>
      <c r="SEJ42" s="285"/>
      <c r="SEK42" s="285"/>
      <c r="SEL42" s="285"/>
      <c r="SEM42" s="285"/>
      <c r="SEN42" s="285"/>
      <c r="SEO42" s="285"/>
      <c r="SEP42" s="285"/>
      <c r="SEQ42" s="285"/>
      <c r="SER42" s="285"/>
      <c r="SES42" s="285"/>
      <c r="SET42" s="285"/>
      <c r="SEU42" s="285"/>
      <c r="SEV42" s="285"/>
      <c r="SEW42" s="285"/>
      <c r="SEX42" s="285"/>
      <c r="SEY42" s="285"/>
      <c r="SEZ42" s="285"/>
      <c r="SFA42" s="285"/>
      <c r="SFB42" s="285"/>
      <c r="SFC42" s="285"/>
      <c r="SFD42" s="285"/>
      <c r="SFE42" s="285"/>
      <c r="SFF42" s="285"/>
      <c r="SFG42" s="285"/>
      <c r="SFH42" s="285"/>
      <c r="SFI42" s="285"/>
      <c r="SFJ42" s="285"/>
      <c r="SFK42" s="285"/>
      <c r="SFL42" s="285"/>
      <c r="SFM42" s="285"/>
      <c r="SFN42" s="285"/>
      <c r="SFO42" s="285"/>
      <c r="SFP42" s="285"/>
      <c r="SFQ42" s="285"/>
      <c r="SFR42" s="285"/>
      <c r="SFS42" s="285"/>
      <c r="SFT42" s="285"/>
      <c r="SFU42" s="285"/>
      <c r="SFV42" s="285"/>
      <c r="SFW42" s="285"/>
      <c r="SFX42" s="285"/>
      <c r="SFY42" s="285"/>
      <c r="SFZ42" s="285"/>
      <c r="SGA42" s="285"/>
      <c r="SGB42" s="285"/>
      <c r="SGC42" s="285"/>
      <c r="SGD42" s="285"/>
      <c r="SGE42" s="285"/>
      <c r="SGF42" s="285"/>
      <c r="SGG42" s="285"/>
      <c r="SGH42" s="285"/>
      <c r="SGI42" s="285"/>
      <c r="SGJ42" s="285"/>
      <c r="SGK42" s="285"/>
      <c r="SGL42" s="285"/>
      <c r="SGM42" s="285"/>
      <c r="SGN42" s="285"/>
      <c r="SGO42" s="285"/>
      <c r="SGP42" s="285"/>
      <c r="SGQ42" s="285"/>
      <c r="SGR42" s="285"/>
      <c r="SGS42" s="285"/>
      <c r="SGT42" s="285"/>
      <c r="SGU42" s="285"/>
      <c r="SGV42" s="285"/>
      <c r="SGW42" s="285"/>
      <c r="SGX42" s="285"/>
      <c r="SGY42" s="285"/>
      <c r="SGZ42" s="285"/>
      <c r="SHA42" s="285"/>
      <c r="SHB42" s="285"/>
      <c r="SHC42" s="285"/>
      <c r="SHD42" s="285"/>
      <c r="SHE42" s="285"/>
      <c r="SHF42" s="285"/>
      <c r="SHG42" s="285"/>
      <c r="SHH42" s="285"/>
      <c r="SHI42" s="285"/>
      <c r="SHJ42" s="285"/>
      <c r="SHK42" s="285"/>
      <c r="SHL42" s="285"/>
      <c r="SHM42" s="285"/>
      <c r="SHN42" s="285"/>
      <c r="SHO42" s="285"/>
      <c r="SHP42" s="285"/>
      <c r="SHQ42" s="285"/>
      <c r="SHR42" s="285"/>
      <c r="SHS42" s="285"/>
      <c r="SHT42" s="285"/>
      <c r="SHU42" s="285"/>
      <c r="SHV42" s="285"/>
      <c r="SHW42" s="285"/>
      <c r="SHX42" s="285"/>
      <c r="SHY42" s="285"/>
      <c r="SHZ42" s="285"/>
      <c r="SIA42" s="285"/>
      <c r="SIB42" s="285"/>
      <c r="SIC42" s="285"/>
      <c r="SID42" s="285"/>
      <c r="SIE42" s="285"/>
      <c r="SIF42" s="285"/>
      <c r="SIG42" s="285"/>
      <c r="SIH42" s="285"/>
      <c r="SII42" s="285"/>
      <c r="SIJ42" s="285"/>
      <c r="SIK42" s="285"/>
      <c r="SIL42" s="285"/>
      <c r="SIM42" s="285"/>
      <c r="SIN42" s="285"/>
      <c r="SIO42" s="285"/>
      <c r="SIP42" s="285"/>
      <c r="SIQ42" s="285"/>
      <c r="SIR42" s="285"/>
      <c r="SIS42" s="285"/>
      <c r="SIT42" s="285"/>
      <c r="SIU42" s="285"/>
      <c r="SIV42" s="285"/>
      <c r="SIW42" s="285"/>
      <c r="SIX42" s="285"/>
      <c r="SIY42" s="285"/>
      <c r="SIZ42" s="285"/>
      <c r="SJA42" s="285"/>
      <c r="SJB42" s="285"/>
      <c r="SJC42" s="285"/>
      <c r="SJD42" s="285"/>
      <c r="SJE42" s="285"/>
      <c r="SJF42" s="285"/>
      <c r="SJG42" s="285"/>
      <c r="SJH42" s="285"/>
      <c r="SJI42" s="285"/>
      <c r="SJJ42" s="285"/>
      <c r="SJK42" s="285"/>
      <c r="SJL42" s="285"/>
      <c r="SJM42" s="285"/>
      <c r="SJN42" s="285"/>
      <c r="SJO42" s="285"/>
      <c r="SJP42" s="285"/>
      <c r="SJQ42" s="285"/>
      <c r="SJR42" s="285"/>
      <c r="SJS42" s="285"/>
      <c r="SJT42" s="285"/>
      <c r="SJU42" s="285"/>
      <c r="SJV42" s="285"/>
      <c r="SJW42" s="285"/>
      <c r="SJX42" s="285"/>
      <c r="SJY42" s="285"/>
      <c r="SJZ42" s="285"/>
      <c r="SKA42" s="285"/>
      <c r="SKB42" s="285"/>
      <c r="SKC42" s="285"/>
      <c r="SKD42" s="285"/>
      <c r="SKE42" s="285"/>
      <c r="SKF42" s="285"/>
      <c r="SKG42" s="285"/>
      <c r="SKH42" s="285"/>
      <c r="SKI42" s="285"/>
      <c r="SKJ42" s="285"/>
      <c r="SKK42" s="285"/>
      <c r="SKL42" s="285"/>
      <c r="SKM42" s="285"/>
      <c r="SKN42" s="285"/>
      <c r="SKO42" s="285"/>
      <c r="SKP42" s="285"/>
      <c r="SKQ42" s="285"/>
      <c r="SKR42" s="285"/>
      <c r="SKS42" s="285"/>
      <c r="SKT42" s="285"/>
      <c r="SKU42" s="285"/>
      <c r="SKV42" s="285"/>
      <c r="SKW42" s="285"/>
      <c r="SKX42" s="285"/>
      <c r="SKY42" s="285"/>
      <c r="SKZ42" s="285"/>
      <c r="SLA42" s="285"/>
      <c r="SLB42" s="285"/>
      <c r="SLC42" s="285"/>
      <c r="SLD42" s="285"/>
      <c r="SLE42" s="285"/>
      <c r="SLF42" s="285"/>
      <c r="SLG42" s="285"/>
      <c r="SLH42" s="285"/>
      <c r="SLI42" s="285"/>
      <c r="SLJ42" s="285"/>
      <c r="SLK42" s="285"/>
      <c r="SLL42" s="285"/>
      <c r="SLM42" s="285"/>
      <c r="SLN42" s="285"/>
      <c r="SLO42" s="285"/>
      <c r="SLP42" s="285"/>
      <c r="SLQ42" s="285"/>
      <c r="SLR42" s="285"/>
      <c r="SLS42" s="285"/>
      <c r="SLT42" s="285"/>
      <c r="SLU42" s="285"/>
      <c r="SLV42" s="285"/>
      <c r="SLW42" s="285"/>
      <c r="SLX42" s="285"/>
      <c r="SLY42" s="285"/>
      <c r="SLZ42" s="285"/>
      <c r="SMA42" s="285"/>
      <c r="SMB42" s="285"/>
      <c r="SMC42" s="285"/>
      <c r="SMD42" s="285"/>
      <c r="SME42" s="285"/>
      <c r="SMF42" s="285"/>
      <c r="SMG42" s="285"/>
      <c r="SMH42" s="285"/>
      <c r="SMI42" s="285"/>
      <c r="SMJ42" s="285"/>
      <c r="SMK42" s="285"/>
      <c r="SML42" s="285"/>
      <c r="SMM42" s="285"/>
      <c r="SMN42" s="285"/>
      <c r="SMO42" s="285"/>
      <c r="SMP42" s="285"/>
      <c r="SMQ42" s="285"/>
      <c r="SMR42" s="285"/>
      <c r="SMS42" s="285"/>
      <c r="SMT42" s="285"/>
      <c r="SMU42" s="285"/>
      <c r="SMV42" s="285"/>
      <c r="SMW42" s="285"/>
      <c r="SMX42" s="285"/>
      <c r="SMY42" s="285"/>
      <c r="SMZ42" s="285"/>
      <c r="SNA42" s="285"/>
      <c r="SNB42" s="285"/>
      <c r="SNC42" s="285"/>
      <c r="SND42" s="285"/>
      <c r="SNE42" s="285"/>
      <c r="SNF42" s="285"/>
      <c r="SNG42" s="285"/>
      <c r="SNH42" s="285"/>
      <c r="SNI42" s="285"/>
      <c r="SNJ42" s="285"/>
      <c r="SNK42" s="285"/>
      <c r="SNL42" s="285"/>
      <c r="SNM42" s="285"/>
      <c r="SNN42" s="285"/>
      <c r="SNO42" s="285"/>
      <c r="SNP42" s="285"/>
      <c r="SNQ42" s="285"/>
      <c r="SNR42" s="285"/>
      <c r="SNS42" s="285"/>
      <c r="SNT42" s="285"/>
      <c r="SNU42" s="285"/>
      <c r="SNV42" s="285"/>
      <c r="SNW42" s="285"/>
      <c r="SNX42" s="285"/>
      <c r="SNY42" s="285"/>
      <c r="SNZ42" s="285"/>
      <c r="SOA42" s="285"/>
      <c r="SOB42" s="285"/>
      <c r="SOC42" s="285"/>
      <c r="SOD42" s="285"/>
      <c r="SOE42" s="285"/>
      <c r="SOF42" s="285"/>
      <c r="SOG42" s="285"/>
      <c r="SOH42" s="285"/>
      <c r="SOI42" s="285"/>
      <c r="SOJ42" s="285"/>
      <c r="SOK42" s="285"/>
      <c r="SOL42" s="285"/>
      <c r="SOM42" s="285"/>
      <c r="SON42" s="285"/>
      <c r="SOO42" s="285"/>
      <c r="SOP42" s="285"/>
      <c r="SOQ42" s="285"/>
      <c r="SOR42" s="285"/>
      <c r="SOS42" s="285"/>
      <c r="SOT42" s="285"/>
      <c r="SOU42" s="285"/>
      <c r="SOV42" s="285"/>
      <c r="SOW42" s="285"/>
      <c r="SOX42" s="285"/>
      <c r="SOY42" s="285"/>
      <c r="SOZ42" s="285"/>
      <c r="SPA42" s="285"/>
      <c r="SPB42" s="285"/>
      <c r="SPC42" s="285"/>
      <c r="SPD42" s="285"/>
      <c r="SPE42" s="285"/>
      <c r="SPF42" s="285"/>
      <c r="SPG42" s="285"/>
      <c r="SPH42" s="285"/>
      <c r="SPI42" s="285"/>
      <c r="SPJ42" s="285"/>
      <c r="SPK42" s="285"/>
      <c r="SPL42" s="285"/>
      <c r="SPM42" s="285"/>
      <c r="SPN42" s="285"/>
      <c r="SPO42" s="285"/>
      <c r="SPP42" s="285"/>
      <c r="SPQ42" s="285"/>
      <c r="SPR42" s="285"/>
      <c r="SPS42" s="285"/>
      <c r="SPT42" s="285"/>
      <c r="SPU42" s="285"/>
      <c r="SPV42" s="285"/>
      <c r="SPW42" s="285"/>
      <c r="SPX42" s="285"/>
      <c r="SPY42" s="285"/>
      <c r="SPZ42" s="285"/>
      <c r="SQA42" s="285"/>
      <c r="SQB42" s="285"/>
      <c r="SQC42" s="285"/>
      <c r="SQD42" s="285"/>
      <c r="SQE42" s="285"/>
      <c r="SQF42" s="285"/>
      <c r="SQG42" s="285"/>
      <c r="SQH42" s="285"/>
      <c r="SQI42" s="285"/>
      <c r="SQJ42" s="285"/>
      <c r="SQK42" s="285"/>
      <c r="SQL42" s="285"/>
      <c r="SQM42" s="285"/>
      <c r="SQN42" s="285"/>
      <c r="SQO42" s="285"/>
      <c r="SQP42" s="285"/>
      <c r="SQQ42" s="285"/>
      <c r="SQR42" s="285"/>
      <c r="SQS42" s="285"/>
      <c r="SQT42" s="285"/>
      <c r="SQU42" s="285"/>
      <c r="SQV42" s="285"/>
      <c r="SQW42" s="285"/>
      <c r="SQX42" s="285"/>
      <c r="SQY42" s="285"/>
      <c r="SQZ42" s="285"/>
      <c r="SRA42" s="285"/>
      <c r="SRB42" s="285"/>
      <c r="SRC42" s="285"/>
      <c r="SRD42" s="285"/>
      <c r="SRE42" s="285"/>
      <c r="SRF42" s="285"/>
      <c r="SRG42" s="285"/>
      <c r="SRH42" s="285"/>
      <c r="SRI42" s="285"/>
      <c r="SRJ42" s="285"/>
      <c r="SRK42" s="285"/>
      <c r="SRL42" s="285"/>
      <c r="SRM42" s="285"/>
      <c r="SRN42" s="285"/>
      <c r="SRO42" s="285"/>
      <c r="SRP42" s="285"/>
      <c r="SRQ42" s="285"/>
      <c r="SRR42" s="285"/>
      <c r="SRS42" s="285"/>
      <c r="SRT42" s="285"/>
      <c r="SRU42" s="285"/>
      <c r="SRV42" s="285"/>
      <c r="SRW42" s="285"/>
      <c r="SRX42" s="285"/>
      <c r="SRY42" s="285"/>
      <c r="SRZ42" s="285"/>
      <c r="SSA42" s="285"/>
      <c r="SSB42" s="285"/>
      <c r="SSC42" s="285"/>
      <c r="SSD42" s="285"/>
      <c r="SSE42" s="285"/>
      <c r="SSF42" s="285"/>
      <c r="SSG42" s="285"/>
      <c r="SSH42" s="285"/>
      <c r="SSI42" s="285"/>
      <c r="SSJ42" s="285"/>
      <c r="SSK42" s="285"/>
      <c r="SSL42" s="285"/>
      <c r="SSM42" s="285"/>
      <c r="SSN42" s="285"/>
      <c r="SSO42" s="285"/>
      <c r="SSP42" s="285"/>
      <c r="SSQ42" s="285"/>
      <c r="SSR42" s="285"/>
      <c r="SSS42" s="285"/>
      <c r="SST42" s="285"/>
      <c r="SSU42" s="285"/>
      <c r="SSV42" s="285"/>
      <c r="SSW42" s="285"/>
      <c r="SSX42" s="285"/>
      <c r="SSY42" s="285"/>
      <c r="SSZ42" s="285"/>
      <c r="STA42" s="285"/>
      <c r="STB42" s="285"/>
      <c r="STC42" s="285"/>
      <c r="STD42" s="285"/>
      <c r="STE42" s="285"/>
      <c r="STF42" s="285"/>
      <c r="STG42" s="285"/>
      <c r="STH42" s="285"/>
      <c r="STI42" s="285"/>
      <c r="STJ42" s="285"/>
      <c r="STK42" s="285"/>
      <c r="STL42" s="285"/>
      <c r="STM42" s="285"/>
      <c r="STN42" s="285"/>
      <c r="STO42" s="285"/>
      <c r="STP42" s="285"/>
      <c r="STQ42" s="285"/>
      <c r="STR42" s="285"/>
      <c r="STS42" s="285"/>
      <c r="STT42" s="285"/>
      <c r="STU42" s="285"/>
      <c r="STV42" s="285"/>
      <c r="STW42" s="285"/>
      <c r="STX42" s="285"/>
      <c r="STY42" s="285"/>
      <c r="STZ42" s="285"/>
      <c r="SUA42" s="285"/>
      <c r="SUB42" s="285"/>
      <c r="SUC42" s="285"/>
      <c r="SUD42" s="285"/>
      <c r="SUE42" s="285"/>
      <c r="SUF42" s="285"/>
      <c r="SUG42" s="285"/>
      <c r="SUH42" s="285"/>
      <c r="SUI42" s="285"/>
      <c r="SUJ42" s="285"/>
      <c r="SUK42" s="285"/>
      <c r="SUL42" s="285"/>
      <c r="SUM42" s="285"/>
      <c r="SUN42" s="285"/>
      <c r="SUO42" s="285"/>
      <c r="SUP42" s="285"/>
      <c r="SUQ42" s="285"/>
      <c r="SUR42" s="285"/>
      <c r="SUS42" s="285"/>
      <c r="SUT42" s="285"/>
      <c r="SUU42" s="285"/>
      <c r="SUV42" s="285"/>
      <c r="SUW42" s="285"/>
      <c r="SUX42" s="285"/>
      <c r="SUY42" s="285"/>
      <c r="SUZ42" s="285"/>
      <c r="SVA42" s="285"/>
      <c r="SVB42" s="285"/>
      <c r="SVC42" s="285"/>
      <c r="SVD42" s="285"/>
      <c r="SVE42" s="285"/>
      <c r="SVF42" s="285"/>
      <c r="SVG42" s="285"/>
      <c r="SVH42" s="285"/>
      <c r="SVI42" s="285"/>
      <c r="SVJ42" s="285"/>
      <c r="SVK42" s="285"/>
      <c r="SVL42" s="285"/>
      <c r="SVM42" s="285"/>
      <c r="SVN42" s="285"/>
      <c r="SVO42" s="285"/>
      <c r="SVP42" s="285"/>
      <c r="SVQ42" s="285"/>
      <c r="SVR42" s="285"/>
      <c r="SVS42" s="285"/>
      <c r="SVT42" s="285"/>
      <c r="SVU42" s="285"/>
      <c r="SVV42" s="285"/>
      <c r="SVW42" s="285"/>
      <c r="SVX42" s="285"/>
      <c r="SVY42" s="285"/>
      <c r="SVZ42" s="285"/>
      <c r="SWA42" s="285"/>
      <c r="SWB42" s="285"/>
      <c r="SWC42" s="285"/>
      <c r="SWD42" s="285"/>
      <c r="SWE42" s="285"/>
      <c r="SWF42" s="285"/>
      <c r="SWG42" s="285"/>
      <c r="SWH42" s="285"/>
      <c r="SWI42" s="285"/>
      <c r="SWJ42" s="285"/>
      <c r="SWK42" s="285"/>
      <c r="SWL42" s="285"/>
      <c r="SWM42" s="285"/>
      <c r="SWN42" s="285"/>
      <c r="SWO42" s="285"/>
      <c r="SWP42" s="285"/>
      <c r="SWQ42" s="285"/>
      <c r="SWR42" s="285"/>
      <c r="SWS42" s="285"/>
      <c r="SWT42" s="285"/>
      <c r="SWU42" s="285"/>
      <c r="SWV42" s="285"/>
      <c r="SWW42" s="285"/>
      <c r="SWX42" s="285"/>
      <c r="SWY42" s="285"/>
      <c r="SWZ42" s="285"/>
      <c r="SXA42" s="285"/>
      <c r="SXB42" s="285"/>
      <c r="SXC42" s="285"/>
      <c r="SXD42" s="285"/>
      <c r="SXE42" s="285"/>
      <c r="SXF42" s="285"/>
      <c r="SXG42" s="285"/>
      <c r="SXH42" s="285"/>
      <c r="SXI42" s="285"/>
      <c r="SXJ42" s="285"/>
      <c r="SXK42" s="285"/>
      <c r="SXL42" s="285"/>
      <c r="SXM42" s="285"/>
      <c r="SXN42" s="285"/>
      <c r="SXO42" s="285"/>
      <c r="SXP42" s="285"/>
      <c r="SXQ42" s="285"/>
      <c r="SXR42" s="285"/>
      <c r="SXS42" s="285"/>
      <c r="SXT42" s="285"/>
      <c r="SXU42" s="285"/>
      <c r="SXV42" s="285"/>
      <c r="SXW42" s="285"/>
      <c r="SXX42" s="285"/>
      <c r="SXY42" s="285"/>
      <c r="SXZ42" s="285"/>
      <c r="SYA42" s="285"/>
      <c r="SYB42" s="285"/>
      <c r="SYC42" s="285"/>
      <c r="SYD42" s="285"/>
      <c r="SYE42" s="285"/>
      <c r="SYF42" s="285"/>
      <c r="SYG42" s="285"/>
      <c r="SYH42" s="285"/>
      <c r="SYI42" s="285"/>
      <c r="SYJ42" s="285"/>
      <c r="SYK42" s="285"/>
      <c r="SYL42" s="285"/>
      <c r="SYM42" s="285"/>
      <c r="SYN42" s="285"/>
      <c r="SYO42" s="285"/>
      <c r="SYP42" s="285"/>
      <c r="SYQ42" s="285"/>
      <c r="SYR42" s="285"/>
      <c r="SYS42" s="285"/>
      <c r="SYT42" s="285"/>
      <c r="SYU42" s="285"/>
      <c r="SYV42" s="285"/>
      <c r="SYW42" s="285"/>
      <c r="SYX42" s="285"/>
      <c r="SYY42" s="285"/>
      <c r="SYZ42" s="285"/>
      <c r="SZA42" s="285"/>
      <c r="SZB42" s="285"/>
      <c r="SZC42" s="285"/>
      <c r="SZD42" s="285"/>
      <c r="SZE42" s="285"/>
      <c r="SZF42" s="285"/>
      <c r="SZG42" s="285"/>
      <c r="SZH42" s="285"/>
      <c r="SZI42" s="285"/>
      <c r="SZJ42" s="285"/>
      <c r="SZK42" s="285"/>
      <c r="SZL42" s="285"/>
      <c r="SZM42" s="285"/>
      <c r="SZN42" s="285"/>
      <c r="SZO42" s="285"/>
      <c r="SZP42" s="285"/>
      <c r="SZQ42" s="285"/>
      <c r="SZR42" s="285"/>
      <c r="SZS42" s="285"/>
      <c r="SZT42" s="285"/>
      <c r="SZU42" s="285"/>
      <c r="SZV42" s="285"/>
      <c r="SZW42" s="285"/>
      <c r="SZX42" s="285"/>
      <c r="SZY42" s="285"/>
      <c r="SZZ42" s="285"/>
      <c r="TAA42" s="285"/>
      <c r="TAB42" s="285"/>
      <c r="TAC42" s="285"/>
      <c r="TAD42" s="285"/>
      <c r="TAE42" s="285"/>
      <c r="TAF42" s="285"/>
      <c r="TAG42" s="285"/>
      <c r="TAH42" s="285"/>
      <c r="TAI42" s="285"/>
      <c r="TAJ42" s="285"/>
      <c r="TAK42" s="285"/>
      <c r="TAL42" s="285"/>
      <c r="TAM42" s="285"/>
      <c r="TAN42" s="285"/>
      <c r="TAO42" s="285"/>
      <c r="TAP42" s="285"/>
      <c r="TAQ42" s="285"/>
      <c r="TAR42" s="285"/>
      <c r="TAS42" s="285"/>
      <c r="TAT42" s="285"/>
      <c r="TAU42" s="285"/>
      <c r="TAV42" s="285"/>
      <c r="TAW42" s="285"/>
      <c r="TAX42" s="285"/>
      <c r="TAY42" s="285"/>
      <c r="TAZ42" s="285"/>
      <c r="TBA42" s="285"/>
      <c r="TBB42" s="285"/>
      <c r="TBC42" s="285"/>
      <c r="TBD42" s="285"/>
      <c r="TBE42" s="285"/>
      <c r="TBF42" s="285"/>
      <c r="TBG42" s="285"/>
      <c r="TBH42" s="285"/>
      <c r="TBI42" s="285"/>
      <c r="TBJ42" s="285"/>
      <c r="TBK42" s="285"/>
      <c r="TBL42" s="285"/>
      <c r="TBM42" s="285"/>
      <c r="TBN42" s="285"/>
      <c r="TBO42" s="285"/>
      <c r="TBP42" s="285"/>
      <c r="TBQ42" s="285"/>
      <c r="TBR42" s="285"/>
      <c r="TBS42" s="285"/>
      <c r="TBT42" s="285"/>
      <c r="TBU42" s="285"/>
      <c r="TBV42" s="285"/>
      <c r="TBW42" s="285"/>
      <c r="TBX42" s="285"/>
      <c r="TBY42" s="285"/>
      <c r="TBZ42" s="285"/>
      <c r="TCA42" s="285"/>
      <c r="TCB42" s="285"/>
      <c r="TCC42" s="285"/>
      <c r="TCD42" s="285"/>
      <c r="TCE42" s="285"/>
      <c r="TCF42" s="285"/>
      <c r="TCG42" s="285"/>
      <c r="TCH42" s="285"/>
      <c r="TCI42" s="285"/>
      <c r="TCJ42" s="285"/>
      <c r="TCK42" s="285"/>
      <c r="TCL42" s="285"/>
      <c r="TCM42" s="285"/>
      <c r="TCN42" s="285"/>
      <c r="TCO42" s="285"/>
      <c r="TCP42" s="285"/>
      <c r="TCQ42" s="285"/>
      <c r="TCR42" s="285"/>
      <c r="TCS42" s="285"/>
      <c r="TCT42" s="285"/>
      <c r="TCU42" s="285"/>
      <c r="TCV42" s="285"/>
      <c r="TCW42" s="285"/>
      <c r="TCX42" s="285"/>
      <c r="TCY42" s="285"/>
      <c r="TCZ42" s="285"/>
      <c r="TDA42" s="285"/>
      <c r="TDB42" s="285"/>
      <c r="TDC42" s="285"/>
      <c r="TDD42" s="285"/>
      <c r="TDE42" s="285"/>
      <c r="TDF42" s="285"/>
      <c r="TDG42" s="285"/>
      <c r="TDH42" s="285"/>
      <c r="TDI42" s="285"/>
      <c r="TDJ42" s="285"/>
      <c r="TDK42" s="285"/>
      <c r="TDL42" s="285"/>
      <c r="TDM42" s="285"/>
      <c r="TDN42" s="285"/>
      <c r="TDO42" s="285"/>
      <c r="TDP42" s="285"/>
      <c r="TDQ42" s="285"/>
      <c r="TDR42" s="285"/>
      <c r="TDS42" s="285"/>
      <c r="TDT42" s="285"/>
      <c r="TDU42" s="285"/>
      <c r="TDV42" s="285"/>
      <c r="TDW42" s="285"/>
      <c r="TDX42" s="285"/>
      <c r="TDY42" s="285"/>
      <c r="TDZ42" s="285"/>
      <c r="TEA42" s="285"/>
      <c r="TEB42" s="285"/>
      <c r="TEC42" s="285"/>
      <c r="TED42" s="285"/>
      <c r="TEE42" s="285"/>
      <c r="TEF42" s="285"/>
      <c r="TEG42" s="285"/>
      <c r="TEH42" s="285"/>
      <c r="TEI42" s="285"/>
      <c r="TEJ42" s="285"/>
      <c r="TEK42" s="285"/>
      <c r="TEL42" s="285"/>
      <c r="TEM42" s="285"/>
      <c r="TEN42" s="285"/>
      <c r="TEO42" s="285"/>
      <c r="TEP42" s="285"/>
      <c r="TEQ42" s="285"/>
      <c r="TER42" s="285"/>
      <c r="TES42" s="285"/>
      <c r="TET42" s="285"/>
      <c r="TEU42" s="285"/>
      <c r="TEV42" s="285"/>
      <c r="TEW42" s="285"/>
      <c r="TEX42" s="285"/>
      <c r="TEY42" s="285"/>
      <c r="TEZ42" s="285"/>
      <c r="TFA42" s="285"/>
      <c r="TFB42" s="285"/>
      <c r="TFC42" s="285"/>
      <c r="TFD42" s="285"/>
      <c r="TFE42" s="285"/>
      <c r="TFF42" s="285"/>
      <c r="TFG42" s="285"/>
      <c r="TFH42" s="285"/>
      <c r="TFI42" s="285"/>
      <c r="TFJ42" s="285"/>
      <c r="TFK42" s="285"/>
      <c r="TFL42" s="285"/>
      <c r="TFM42" s="285"/>
      <c r="TFN42" s="285"/>
      <c r="TFO42" s="285"/>
      <c r="TFP42" s="285"/>
      <c r="TFQ42" s="285"/>
      <c r="TFR42" s="285"/>
      <c r="TFS42" s="285"/>
      <c r="TFT42" s="285"/>
      <c r="TFU42" s="285"/>
      <c r="TFV42" s="285"/>
      <c r="TFW42" s="285"/>
      <c r="TFX42" s="285"/>
      <c r="TFY42" s="285"/>
      <c r="TFZ42" s="285"/>
      <c r="TGA42" s="285"/>
      <c r="TGB42" s="285"/>
      <c r="TGC42" s="285"/>
      <c r="TGD42" s="285"/>
      <c r="TGE42" s="285"/>
      <c r="TGF42" s="285"/>
      <c r="TGG42" s="285"/>
      <c r="TGH42" s="285"/>
      <c r="TGI42" s="285"/>
      <c r="TGJ42" s="285"/>
      <c r="TGK42" s="285"/>
      <c r="TGL42" s="285"/>
      <c r="TGM42" s="285"/>
      <c r="TGN42" s="285"/>
      <c r="TGO42" s="285"/>
      <c r="TGP42" s="285"/>
      <c r="TGQ42" s="285"/>
      <c r="TGR42" s="285"/>
      <c r="TGS42" s="285"/>
      <c r="TGT42" s="285"/>
      <c r="TGU42" s="285"/>
      <c r="TGV42" s="285"/>
      <c r="TGW42" s="285"/>
      <c r="TGX42" s="285"/>
      <c r="TGY42" s="285"/>
      <c r="TGZ42" s="285"/>
      <c r="THA42" s="285"/>
      <c r="THB42" s="285"/>
      <c r="THC42" s="285"/>
      <c r="THD42" s="285"/>
      <c r="THE42" s="285"/>
      <c r="THF42" s="285"/>
      <c r="THG42" s="285"/>
      <c r="THH42" s="285"/>
      <c r="THI42" s="285"/>
      <c r="THJ42" s="285"/>
      <c r="THK42" s="285"/>
      <c r="THL42" s="285"/>
      <c r="THM42" s="285"/>
      <c r="THN42" s="285"/>
      <c r="THO42" s="285"/>
      <c r="THP42" s="285"/>
      <c r="THQ42" s="285"/>
      <c r="THR42" s="285"/>
      <c r="THS42" s="285"/>
      <c r="THT42" s="285"/>
      <c r="THU42" s="285"/>
      <c r="THV42" s="285"/>
      <c r="THW42" s="285"/>
      <c r="THX42" s="285"/>
      <c r="THY42" s="285"/>
      <c r="THZ42" s="285"/>
      <c r="TIA42" s="285"/>
      <c r="TIB42" s="285"/>
      <c r="TIC42" s="285"/>
      <c r="TID42" s="285"/>
      <c r="TIE42" s="285"/>
      <c r="TIF42" s="285"/>
      <c r="TIG42" s="285"/>
      <c r="TIH42" s="285"/>
      <c r="TII42" s="285"/>
      <c r="TIJ42" s="285"/>
      <c r="TIK42" s="285"/>
      <c r="TIL42" s="285"/>
      <c r="TIM42" s="285"/>
      <c r="TIN42" s="285"/>
      <c r="TIO42" s="285"/>
      <c r="TIP42" s="285"/>
      <c r="TIQ42" s="285"/>
      <c r="TIR42" s="285"/>
      <c r="TIS42" s="285"/>
      <c r="TIT42" s="285"/>
      <c r="TIU42" s="285"/>
      <c r="TIV42" s="285"/>
      <c r="TIW42" s="285"/>
      <c r="TIX42" s="285"/>
      <c r="TIY42" s="285"/>
      <c r="TIZ42" s="285"/>
      <c r="TJA42" s="285"/>
      <c r="TJB42" s="285"/>
      <c r="TJC42" s="285"/>
      <c r="TJD42" s="285"/>
      <c r="TJE42" s="285"/>
      <c r="TJF42" s="285"/>
      <c r="TJG42" s="285"/>
      <c r="TJH42" s="285"/>
      <c r="TJI42" s="285"/>
      <c r="TJJ42" s="285"/>
      <c r="TJK42" s="285"/>
      <c r="TJL42" s="285"/>
      <c r="TJM42" s="285"/>
      <c r="TJN42" s="285"/>
      <c r="TJO42" s="285"/>
      <c r="TJP42" s="285"/>
      <c r="TJQ42" s="285"/>
      <c r="TJR42" s="285"/>
      <c r="TJS42" s="285"/>
      <c r="TJT42" s="285"/>
      <c r="TJU42" s="285"/>
      <c r="TJV42" s="285"/>
      <c r="TJW42" s="285"/>
      <c r="TJX42" s="285"/>
      <c r="TJY42" s="285"/>
      <c r="TJZ42" s="285"/>
      <c r="TKA42" s="285"/>
      <c r="TKB42" s="285"/>
      <c r="TKC42" s="285"/>
      <c r="TKD42" s="285"/>
      <c r="TKE42" s="285"/>
      <c r="TKF42" s="285"/>
      <c r="TKG42" s="285"/>
      <c r="TKH42" s="285"/>
      <c r="TKI42" s="285"/>
      <c r="TKJ42" s="285"/>
      <c r="TKK42" s="285"/>
      <c r="TKL42" s="285"/>
      <c r="TKM42" s="285"/>
      <c r="TKN42" s="285"/>
      <c r="TKO42" s="285"/>
      <c r="TKP42" s="285"/>
      <c r="TKQ42" s="285"/>
      <c r="TKR42" s="285"/>
      <c r="TKS42" s="285"/>
      <c r="TKT42" s="285"/>
      <c r="TKU42" s="285"/>
      <c r="TKV42" s="285"/>
      <c r="TKW42" s="285"/>
      <c r="TKX42" s="285"/>
      <c r="TKY42" s="285"/>
      <c r="TKZ42" s="285"/>
      <c r="TLA42" s="285"/>
      <c r="TLB42" s="285"/>
      <c r="TLC42" s="285"/>
      <c r="TLD42" s="285"/>
      <c r="TLE42" s="285"/>
      <c r="TLF42" s="285"/>
      <c r="TLG42" s="285"/>
      <c r="TLH42" s="285"/>
      <c r="TLI42" s="285"/>
      <c r="TLJ42" s="285"/>
      <c r="TLK42" s="285"/>
      <c r="TLL42" s="285"/>
      <c r="TLM42" s="285"/>
      <c r="TLN42" s="285"/>
      <c r="TLO42" s="285"/>
      <c r="TLP42" s="285"/>
      <c r="TLQ42" s="285"/>
      <c r="TLR42" s="285"/>
      <c r="TLS42" s="285"/>
      <c r="TLT42" s="285"/>
      <c r="TLU42" s="285"/>
      <c r="TLV42" s="285"/>
      <c r="TLW42" s="285"/>
      <c r="TLX42" s="285"/>
      <c r="TLY42" s="285"/>
      <c r="TLZ42" s="285"/>
      <c r="TMA42" s="285"/>
      <c r="TMB42" s="285"/>
      <c r="TMC42" s="285"/>
      <c r="TMD42" s="285"/>
      <c r="TME42" s="285"/>
      <c r="TMF42" s="285"/>
      <c r="TMG42" s="285"/>
      <c r="TMH42" s="285"/>
      <c r="TMI42" s="285"/>
      <c r="TMJ42" s="285"/>
      <c r="TMK42" s="285"/>
      <c r="TML42" s="285"/>
      <c r="TMM42" s="285"/>
      <c r="TMN42" s="285"/>
      <c r="TMO42" s="285"/>
      <c r="TMP42" s="285"/>
      <c r="TMQ42" s="285"/>
      <c r="TMR42" s="285"/>
      <c r="TMS42" s="285"/>
      <c r="TMT42" s="285"/>
      <c r="TMU42" s="285"/>
      <c r="TMV42" s="285"/>
      <c r="TMW42" s="285"/>
      <c r="TMX42" s="285"/>
      <c r="TMY42" s="285"/>
      <c r="TMZ42" s="285"/>
      <c r="TNA42" s="285"/>
      <c r="TNB42" s="285"/>
      <c r="TNC42" s="285"/>
      <c r="TND42" s="285"/>
      <c r="TNE42" s="285"/>
      <c r="TNF42" s="285"/>
      <c r="TNG42" s="285"/>
      <c r="TNH42" s="285"/>
      <c r="TNI42" s="285"/>
      <c r="TNJ42" s="285"/>
      <c r="TNK42" s="285"/>
      <c r="TNL42" s="285"/>
      <c r="TNM42" s="285"/>
      <c r="TNN42" s="285"/>
      <c r="TNO42" s="285"/>
      <c r="TNP42" s="285"/>
      <c r="TNQ42" s="285"/>
      <c r="TNR42" s="285"/>
      <c r="TNS42" s="285"/>
      <c r="TNT42" s="285"/>
      <c r="TNU42" s="285"/>
      <c r="TNV42" s="285"/>
      <c r="TNW42" s="285"/>
      <c r="TNX42" s="285"/>
      <c r="TNY42" s="285"/>
      <c r="TNZ42" s="285"/>
      <c r="TOA42" s="285"/>
      <c r="TOB42" s="285"/>
      <c r="TOC42" s="285"/>
      <c r="TOD42" s="285"/>
      <c r="TOE42" s="285"/>
      <c r="TOF42" s="285"/>
      <c r="TOG42" s="285"/>
      <c r="TOH42" s="285"/>
      <c r="TOI42" s="285"/>
      <c r="TOJ42" s="285"/>
      <c r="TOK42" s="285"/>
      <c r="TOL42" s="285"/>
      <c r="TOM42" s="285"/>
      <c r="TON42" s="285"/>
      <c r="TOO42" s="285"/>
      <c r="TOP42" s="285"/>
      <c r="TOQ42" s="285"/>
      <c r="TOR42" s="285"/>
      <c r="TOS42" s="285"/>
      <c r="TOT42" s="285"/>
      <c r="TOU42" s="285"/>
      <c r="TOV42" s="285"/>
      <c r="TOW42" s="285"/>
      <c r="TOX42" s="285"/>
      <c r="TOY42" s="285"/>
      <c r="TOZ42" s="285"/>
      <c r="TPA42" s="285"/>
      <c r="TPB42" s="285"/>
      <c r="TPC42" s="285"/>
      <c r="TPD42" s="285"/>
      <c r="TPE42" s="285"/>
      <c r="TPF42" s="285"/>
      <c r="TPG42" s="285"/>
      <c r="TPH42" s="285"/>
      <c r="TPI42" s="285"/>
      <c r="TPJ42" s="285"/>
      <c r="TPK42" s="285"/>
      <c r="TPL42" s="285"/>
      <c r="TPM42" s="285"/>
      <c r="TPN42" s="285"/>
      <c r="TPO42" s="285"/>
      <c r="TPP42" s="285"/>
      <c r="TPQ42" s="285"/>
      <c r="TPR42" s="285"/>
      <c r="TPS42" s="285"/>
      <c r="TPT42" s="285"/>
      <c r="TPU42" s="285"/>
      <c r="TPV42" s="285"/>
      <c r="TPW42" s="285"/>
      <c r="TPX42" s="285"/>
      <c r="TPY42" s="285"/>
      <c r="TPZ42" s="285"/>
      <c r="TQA42" s="285"/>
      <c r="TQB42" s="285"/>
      <c r="TQC42" s="285"/>
      <c r="TQD42" s="285"/>
      <c r="TQE42" s="285"/>
      <c r="TQF42" s="285"/>
      <c r="TQG42" s="285"/>
      <c r="TQH42" s="285"/>
      <c r="TQI42" s="285"/>
      <c r="TQJ42" s="285"/>
      <c r="TQK42" s="285"/>
      <c r="TQL42" s="285"/>
      <c r="TQM42" s="285"/>
      <c r="TQN42" s="285"/>
      <c r="TQO42" s="285"/>
      <c r="TQP42" s="285"/>
      <c r="TQQ42" s="285"/>
      <c r="TQR42" s="285"/>
      <c r="TQS42" s="285"/>
      <c r="TQT42" s="285"/>
      <c r="TQU42" s="285"/>
      <c r="TQV42" s="285"/>
      <c r="TQW42" s="285"/>
      <c r="TQX42" s="285"/>
      <c r="TQY42" s="285"/>
      <c r="TQZ42" s="285"/>
      <c r="TRA42" s="285"/>
      <c r="TRB42" s="285"/>
      <c r="TRC42" s="285"/>
      <c r="TRD42" s="285"/>
      <c r="TRE42" s="285"/>
      <c r="TRF42" s="285"/>
      <c r="TRG42" s="285"/>
      <c r="TRH42" s="285"/>
      <c r="TRI42" s="285"/>
      <c r="TRJ42" s="285"/>
      <c r="TRK42" s="285"/>
      <c r="TRL42" s="285"/>
      <c r="TRM42" s="285"/>
      <c r="TRN42" s="285"/>
      <c r="TRO42" s="285"/>
      <c r="TRP42" s="285"/>
      <c r="TRQ42" s="285"/>
      <c r="TRR42" s="285"/>
      <c r="TRS42" s="285"/>
      <c r="TRT42" s="285"/>
      <c r="TRU42" s="285"/>
      <c r="TRV42" s="285"/>
      <c r="TRW42" s="285"/>
      <c r="TRX42" s="285"/>
      <c r="TRY42" s="285"/>
      <c r="TRZ42" s="285"/>
      <c r="TSA42" s="285"/>
      <c r="TSB42" s="285"/>
      <c r="TSC42" s="285"/>
      <c r="TSD42" s="285"/>
      <c r="TSE42" s="285"/>
      <c r="TSF42" s="285"/>
      <c r="TSG42" s="285"/>
      <c r="TSH42" s="285"/>
      <c r="TSI42" s="285"/>
      <c r="TSJ42" s="285"/>
      <c r="TSK42" s="285"/>
      <c r="TSL42" s="285"/>
      <c r="TSM42" s="285"/>
      <c r="TSN42" s="285"/>
      <c r="TSO42" s="285"/>
      <c r="TSP42" s="285"/>
      <c r="TSQ42" s="285"/>
      <c r="TSR42" s="285"/>
      <c r="TSS42" s="285"/>
      <c r="TST42" s="285"/>
      <c r="TSU42" s="285"/>
      <c r="TSV42" s="285"/>
      <c r="TSW42" s="285"/>
      <c r="TSX42" s="285"/>
      <c r="TSY42" s="285"/>
      <c r="TSZ42" s="285"/>
      <c r="TTA42" s="285"/>
      <c r="TTB42" s="285"/>
      <c r="TTC42" s="285"/>
      <c r="TTD42" s="285"/>
      <c r="TTE42" s="285"/>
      <c r="TTF42" s="285"/>
      <c r="TTG42" s="285"/>
      <c r="TTH42" s="285"/>
      <c r="TTI42" s="285"/>
      <c r="TTJ42" s="285"/>
      <c r="TTK42" s="285"/>
      <c r="TTL42" s="285"/>
      <c r="TTM42" s="285"/>
      <c r="TTN42" s="285"/>
      <c r="TTO42" s="285"/>
      <c r="TTP42" s="285"/>
      <c r="TTQ42" s="285"/>
      <c r="TTR42" s="285"/>
      <c r="TTS42" s="285"/>
      <c r="TTT42" s="285"/>
      <c r="TTU42" s="285"/>
      <c r="TTV42" s="285"/>
      <c r="TTW42" s="285"/>
      <c r="TTX42" s="285"/>
      <c r="TTY42" s="285"/>
      <c r="TTZ42" s="285"/>
      <c r="TUA42" s="285"/>
      <c r="TUB42" s="285"/>
      <c r="TUC42" s="285"/>
      <c r="TUD42" s="285"/>
      <c r="TUE42" s="285"/>
      <c r="TUF42" s="285"/>
      <c r="TUG42" s="285"/>
      <c r="TUH42" s="285"/>
      <c r="TUI42" s="285"/>
      <c r="TUJ42" s="285"/>
      <c r="TUK42" s="285"/>
      <c r="TUL42" s="285"/>
      <c r="TUM42" s="285"/>
      <c r="TUN42" s="285"/>
      <c r="TUO42" s="285"/>
      <c r="TUP42" s="285"/>
      <c r="TUQ42" s="285"/>
      <c r="TUR42" s="285"/>
      <c r="TUS42" s="285"/>
      <c r="TUT42" s="285"/>
      <c r="TUU42" s="285"/>
      <c r="TUV42" s="285"/>
      <c r="TUW42" s="285"/>
      <c r="TUX42" s="285"/>
      <c r="TUY42" s="285"/>
      <c r="TUZ42" s="285"/>
      <c r="TVA42" s="285"/>
      <c r="TVB42" s="285"/>
      <c r="TVC42" s="285"/>
      <c r="TVD42" s="285"/>
      <c r="TVE42" s="285"/>
      <c r="TVF42" s="285"/>
      <c r="TVG42" s="285"/>
      <c r="TVH42" s="285"/>
      <c r="TVI42" s="285"/>
      <c r="TVJ42" s="285"/>
      <c r="TVK42" s="285"/>
      <c r="TVL42" s="285"/>
      <c r="TVM42" s="285"/>
      <c r="TVN42" s="285"/>
      <c r="TVO42" s="285"/>
      <c r="TVP42" s="285"/>
      <c r="TVQ42" s="285"/>
      <c r="TVR42" s="285"/>
      <c r="TVS42" s="285"/>
      <c r="TVT42" s="285"/>
      <c r="TVU42" s="285"/>
      <c r="TVV42" s="285"/>
      <c r="TVW42" s="285"/>
      <c r="TVX42" s="285"/>
      <c r="TVY42" s="285"/>
      <c r="TVZ42" s="285"/>
      <c r="TWA42" s="285"/>
      <c r="TWB42" s="285"/>
      <c r="TWC42" s="285"/>
      <c r="TWD42" s="285"/>
      <c r="TWE42" s="285"/>
      <c r="TWF42" s="285"/>
      <c r="TWG42" s="285"/>
      <c r="TWH42" s="285"/>
      <c r="TWI42" s="285"/>
      <c r="TWJ42" s="285"/>
      <c r="TWK42" s="285"/>
      <c r="TWL42" s="285"/>
      <c r="TWM42" s="285"/>
      <c r="TWN42" s="285"/>
      <c r="TWO42" s="285"/>
      <c r="TWP42" s="285"/>
      <c r="TWQ42" s="285"/>
      <c r="TWR42" s="285"/>
      <c r="TWS42" s="285"/>
      <c r="TWT42" s="285"/>
      <c r="TWU42" s="285"/>
      <c r="TWV42" s="285"/>
      <c r="TWW42" s="285"/>
      <c r="TWX42" s="285"/>
      <c r="TWY42" s="285"/>
      <c r="TWZ42" s="285"/>
      <c r="TXA42" s="285"/>
      <c r="TXB42" s="285"/>
      <c r="TXC42" s="285"/>
      <c r="TXD42" s="285"/>
      <c r="TXE42" s="285"/>
      <c r="TXF42" s="285"/>
      <c r="TXG42" s="285"/>
      <c r="TXH42" s="285"/>
      <c r="TXI42" s="285"/>
      <c r="TXJ42" s="285"/>
      <c r="TXK42" s="285"/>
      <c r="TXL42" s="285"/>
      <c r="TXM42" s="285"/>
      <c r="TXN42" s="285"/>
      <c r="TXO42" s="285"/>
      <c r="TXP42" s="285"/>
      <c r="TXQ42" s="285"/>
      <c r="TXR42" s="285"/>
      <c r="TXS42" s="285"/>
      <c r="TXT42" s="285"/>
      <c r="TXU42" s="285"/>
      <c r="TXV42" s="285"/>
      <c r="TXW42" s="285"/>
      <c r="TXX42" s="285"/>
      <c r="TXY42" s="285"/>
      <c r="TXZ42" s="285"/>
      <c r="TYA42" s="285"/>
      <c r="TYB42" s="285"/>
      <c r="TYC42" s="285"/>
      <c r="TYD42" s="285"/>
      <c r="TYE42" s="285"/>
      <c r="TYF42" s="285"/>
      <c r="TYG42" s="285"/>
      <c r="TYH42" s="285"/>
      <c r="TYI42" s="285"/>
      <c r="TYJ42" s="285"/>
      <c r="TYK42" s="285"/>
      <c r="TYL42" s="285"/>
      <c r="TYM42" s="285"/>
      <c r="TYN42" s="285"/>
      <c r="TYO42" s="285"/>
      <c r="TYP42" s="285"/>
      <c r="TYQ42" s="285"/>
      <c r="TYR42" s="285"/>
      <c r="TYS42" s="285"/>
      <c r="TYT42" s="285"/>
      <c r="TYU42" s="285"/>
      <c r="TYV42" s="285"/>
      <c r="TYW42" s="285"/>
      <c r="TYX42" s="285"/>
      <c r="TYY42" s="285"/>
      <c r="TYZ42" s="285"/>
      <c r="TZA42" s="285"/>
      <c r="TZB42" s="285"/>
      <c r="TZC42" s="285"/>
      <c r="TZD42" s="285"/>
      <c r="TZE42" s="285"/>
      <c r="TZF42" s="285"/>
      <c r="TZG42" s="285"/>
      <c r="TZH42" s="285"/>
      <c r="TZI42" s="285"/>
      <c r="TZJ42" s="285"/>
      <c r="TZK42" s="285"/>
      <c r="TZL42" s="285"/>
      <c r="TZM42" s="285"/>
      <c r="TZN42" s="285"/>
      <c r="TZO42" s="285"/>
      <c r="TZP42" s="285"/>
      <c r="TZQ42" s="285"/>
      <c r="TZR42" s="285"/>
      <c r="TZS42" s="285"/>
      <c r="TZT42" s="285"/>
      <c r="TZU42" s="285"/>
      <c r="TZV42" s="285"/>
      <c r="TZW42" s="285"/>
      <c r="TZX42" s="285"/>
      <c r="TZY42" s="285"/>
      <c r="TZZ42" s="285"/>
      <c r="UAA42" s="285"/>
      <c r="UAB42" s="285"/>
      <c r="UAC42" s="285"/>
      <c r="UAD42" s="285"/>
      <c r="UAE42" s="285"/>
      <c r="UAF42" s="285"/>
      <c r="UAG42" s="285"/>
      <c r="UAH42" s="285"/>
      <c r="UAI42" s="285"/>
      <c r="UAJ42" s="285"/>
      <c r="UAK42" s="285"/>
      <c r="UAL42" s="285"/>
      <c r="UAM42" s="285"/>
      <c r="UAN42" s="285"/>
      <c r="UAO42" s="285"/>
      <c r="UAP42" s="285"/>
      <c r="UAQ42" s="285"/>
      <c r="UAR42" s="285"/>
      <c r="UAS42" s="285"/>
      <c r="UAT42" s="285"/>
      <c r="UAU42" s="285"/>
      <c r="UAV42" s="285"/>
      <c r="UAW42" s="285"/>
      <c r="UAX42" s="285"/>
      <c r="UAY42" s="285"/>
      <c r="UAZ42" s="285"/>
      <c r="UBA42" s="285"/>
      <c r="UBB42" s="285"/>
      <c r="UBC42" s="285"/>
      <c r="UBD42" s="285"/>
      <c r="UBE42" s="285"/>
      <c r="UBF42" s="285"/>
      <c r="UBG42" s="285"/>
      <c r="UBH42" s="285"/>
      <c r="UBI42" s="285"/>
      <c r="UBJ42" s="285"/>
      <c r="UBK42" s="285"/>
      <c r="UBL42" s="285"/>
      <c r="UBM42" s="285"/>
      <c r="UBN42" s="285"/>
      <c r="UBO42" s="285"/>
      <c r="UBP42" s="285"/>
      <c r="UBQ42" s="285"/>
      <c r="UBR42" s="285"/>
      <c r="UBS42" s="285"/>
      <c r="UBT42" s="285"/>
      <c r="UBU42" s="285"/>
      <c r="UBV42" s="285"/>
      <c r="UBW42" s="285"/>
      <c r="UBX42" s="285"/>
      <c r="UBY42" s="285"/>
      <c r="UBZ42" s="285"/>
      <c r="UCA42" s="285"/>
      <c r="UCB42" s="285"/>
      <c r="UCC42" s="285"/>
      <c r="UCD42" s="285"/>
      <c r="UCE42" s="285"/>
      <c r="UCF42" s="285"/>
      <c r="UCG42" s="285"/>
      <c r="UCH42" s="285"/>
      <c r="UCI42" s="285"/>
      <c r="UCJ42" s="285"/>
      <c r="UCK42" s="285"/>
      <c r="UCL42" s="285"/>
      <c r="UCM42" s="285"/>
      <c r="UCN42" s="285"/>
      <c r="UCO42" s="285"/>
      <c r="UCP42" s="285"/>
      <c r="UCQ42" s="285"/>
      <c r="UCR42" s="285"/>
      <c r="UCS42" s="285"/>
      <c r="UCT42" s="285"/>
      <c r="UCU42" s="285"/>
      <c r="UCV42" s="285"/>
      <c r="UCW42" s="285"/>
      <c r="UCX42" s="285"/>
      <c r="UCY42" s="285"/>
      <c r="UCZ42" s="285"/>
      <c r="UDA42" s="285"/>
      <c r="UDB42" s="285"/>
      <c r="UDC42" s="285"/>
      <c r="UDD42" s="285"/>
      <c r="UDE42" s="285"/>
      <c r="UDF42" s="285"/>
      <c r="UDG42" s="285"/>
      <c r="UDH42" s="285"/>
      <c r="UDI42" s="285"/>
      <c r="UDJ42" s="285"/>
      <c r="UDK42" s="285"/>
      <c r="UDL42" s="285"/>
      <c r="UDM42" s="285"/>
      <c r="UDN42" s="285"/>
      <c r="UDO42" s="285"/>
      <c r="UDP42" s="285"/>
      <c r="UDQ42" s="285"/>
      <c r="UDR42" s="285"/>
      <c r="UDS42" s="285"/>
      <c r="UDT42" s="285"/>
      <c r="UDU42" s="285"/>
      <c r="UDV42" s="285"/>
      <c r="UDW42" s="285"/>
      <c r="UDX42" s="285"/>
      <c r="UDY42" s="285"/>
      <c r="UDZ42" s="285"/>
      <c r="UEA42" s="285"/>
      <c r="UEB42" s="285"/>
      <c r="UEC42" s="285"/>
      <c r="UED42" s="285"/>
      <c r="UEE42" s="285"/>
      <c r="UEF42" s="285"/>
      <c r="UEG42" s="285"/>
      <c r="UEH42" s="285"/>
      <c r="UEI42" s="285"/>
      <c r="UEJ42" s="285"/>
      <c r="UEK42" s="285"/>
      <c r="UEL42" s="285"/>
      <c r="UEM42" s="285"/>
      <c r="UEN42" s="285"/>
      <c r="UEO42" s="285"/>
      <c r="UEP42" s="285"/>
      <c r="UEQ42" s="285"/>
      <c r="UER42" s="285"/>
      <c r="UES42" s="285"/>
      <c r="UET42" s="285"/>
      <c r="UEU42" s="285"/>
      <c r="UEV42" s="285"/>
      <c r="UEW42" s="285"/>
      <c r="UEX42" s="285"/>
      <c r="UEY42" s="285"/>
      <c r="UEZ42" s="285"/>
      <c r="UFA42" s="285"/>
      <c r="UFB42" s="285"/>
      <c r="UFC42" s="285"/>
      <c r="UFD42" s="285"/>
      <c r="UFE42" s="285"/>
      <c r="UFF42" s="285"/>
      <c r="UFG42" s="285"/>
      <c r="UFH42" s="285"/>
      <c r="UFI42" s="285"/>
      <c r="UFJ42" s="285"/>
      <c r="UFK42" s="285"/>
      <c r="UFL42" s="285"/>
      <c r="UFM42" s="285"/>
      <c r="UFN42" s="285"/>
      <c r="UFO42" s="285"/>
      <c r="UFP42" s="285"/>
      <c r="UFQ42" s="285"/>
      <c r="UFR42" s="285"/>
      <c r="UFS42" s="285"/>
      <c r="UFT42" s="285"/>
      <c r="UFU42" s="285"/>
      <c r="UFV42" s="285"/>
      <c r="UFW42" s="285"/>
      <c r="UFX42" s="285"/>
      <c r="UFY42" s="285"/>
      <c r="UFZ42" s="285"/>
      <c r="UGA42" s="285"/>
      <c r="UGB42" s="285"/>
      <c r="UGC42" s="285"/>
      <c r="UGD42" s="285"/>
      <c r="UGE42" s="285"/>
      <c r="UGF42" s="285"/>
      <c r="UGG42" s="285"/>
      <c r="UGH42" s="285"/>
      <c r="UGI42" s="285"/>
      <c r="UGJ42" s="285"/>
      <c r="UGK42" s="285"/>
      <c r="UGL42" s="285"/>
      <c r="UGM42" s="285"/>
      <c r="UGN42" s="285"/>
      <c r="UGO42" s="285"/>
      <c r="UGP42" s="285"/>
      <c r="UGQ42" s="285"/>
      <c r="UGR42" s="285"/>
      <c r="UGS42" s="285"/>
      <c r="UGT42" s="285"/>
      <c r="UGU42" s="285"/>
      <c r="UGV42" s="285"/>
      <c r="UGW42" s="285"/>
      <c r="UGX42" s="285"/>
      <c r="UGY42" s="285"/>
      <c r="UGZ42" s="285"/>
      <c r="UHA42" s="285"/>
      <c r="UHB42" s="285"/>
      <c r="UHC42" s="285"/>
      <c r="UHD42" s="285"/>
      <c r="UHE42" s="285"/>
      <c r="UHF42" s="285"/>
      <c r="UHG42" s="285"/>
      <c r="UHH42" s="285"/>
      <c r="UHI42" s="285"/>
      <c r="UHJ42" s="285"/>
      <c r="UHK42" s="285"/>
      <c r="UHL42" s="285"/>
      <c r="UHM42" s="285"/>
      <c r="UHN42" s="285"/>
      <c r="UHO42" s="285"/>
      <c r="UHP42" s="285"/>
      <c r="UHQ42" s="285"/>
      <c r="UHR42" s="285"/>
      <c r="UHS42" s="285"/>
      <c r="UHT42" s="285"/>
      <c r="UHU42" s="285"/>
      <c r="UHV42" s="285"/>
      <c r="UHW42" s="285"/>
      <c r="UHX42" s="285"/>
      <c r="UHY42" s="285"/>
      <c r="UHZ42" s="285"/>
      <c r="UIA42" s="285"/>
      <c r="UIB42" s="285"/>
      <c r="UIC42" s="285"/>
      <c r="UID42" s="285"/>
      <c r="UIE42" s="285"/>
      <c r="UIF42" s="285"/>
      <c r="UIG42" s="285"/>
      <c r="UIH42" s="285"/>
      <c r="UII42" s="285"/>
      <c r="UIJ42" s="285"/>
      <c r="UIK42" s="285"/>
      <c r="UIL42" s="285"/>
      <c r="UIM42" s="285"/>
      <c r="UIN42" s="285"/>
      <c r="UIO42" s="285"/>
      <c r="UIP42" s="285"/>
      <c r="UIQ42" s="285"/>
      <c r="UIR42" s="285"/>
      <c r="UIS42" s="285"/>
      <c r="UIT42" s="285"/>
      <c r="UIU42" s="285"/>
      <c r="UIV42" s="285"/>
      <c r="UIW42" s="285"/>
      <c r="UIX42" s="285"/>
      <c r="UIY42" s="285"/>
      <c r="UIZ42" s="285"/>
      <c r="UJA42" s="285"/>
      <c r="UJB42" s="285"/>
      <c r="UJC42" s="285"/>
      <c r="UJD42" s="285"/>
      <c r="UJE42" s="285"/>
      <c r="UJF42" s="285"/>
      <c r="UJG42" s="285"/>
      <c r="UJH42" s="285"/>
      <c r="UJI42" s="285"/>
      <c r="UJJ42" s="285"/>
      <c r="UJK42" s="285"/>
      <c r="UJL42" s="285"/>
      <c r="UJM42" s="285"/>
      <c r="UJN42" s="285"/>
      <c r="UJO42" s="285"/>
      <c r="UJP42" s="285"/>
      <c r="UJQ42" s="285"/>
      <c r="UJR42" s="285"/>
      <c r="UJS42" s="285"/>
      <c r="UJT42" s="285"/>
      <c r="UJU42" s="285"/>
      <c r="UJV42" s="285"/>
      <c r="UJW42" s="285"/>
      <c r="UJX42" s="285"/>
      <c r="UJY42" s="285"/>
      <c r="UJZ42" s="285"/>
      <c r="UKA42" s="285"/>
      <c r="UKB42" s="285"/>
      <c r="UKC42" s="285"/>
      <c r="UKD42" s="285"/>
      <c r="UKE42" s="285"/>
      <c r="UKF42" s="285"/>
      <c r="UKG42" s="285"/>
      <c r="UKH42" s="285"/>
      <c r="UKI42" s="285"/>
      <c r="UKJ42" s="285"/>
      <c r="UKK42" s="285"/>
      <c r="UKL42" s="285"/>
      <c r="UKM42" s="285"/>
      <c r="UKN42" s="285"/>
      <c r="UKO42" s="285"/>
      <c r="UKP42" s="285"/>
      <c r="UKQ42" s="285"/>
      <c r="UKR42" s="285"/>
      <c r="UKS42" s="285"/>
      <c r="UKT42" s="285"/>
      <c r="UKU42" s="285"/>
      <c r="UKV42" s="285"/>
      <c r="UKW42" s="285"/>
      <c r="UKX42" s="285"/>
      <c r="UKY42" s="285"/>
      <c r="UKZ42" s="285"/>
      <c r="ULA42" s="285"/>
      <c r="ULB42" s="285"/>
      <c r="ULC42" s="285"/>
      <c r="ULD42" s="285"/>
      <c r="ULE42" s="285"/>
      <c r="ULF42" s="285"/>
      <c r="ULG42" s="285"/>
      <c r="ULH42" s="285"/>
      <c r="ULI42" s="285"/>
      <c r="ULJ42" s="285"/>
      <c r="ULK42" s="285"/>
      <c r="ULL42" s="285"/>
      <c r="ULM42" s="285"/>
      <c r="ULN42" s="285"/>
      <c r="ULO42" s="285"/>
      <c r="ULP42" s="285"/>
      <c r="ULQ42" s="285"/>
      <c r="ULR42" s="285"/>
      <c r="ULS42" s="285"/>
      <c r="ULT42" s="285"/>
      <c r="ULU42" s="285"/>
      <c r="ULV42" s="285"/>
      <c r="ULW42" s="285"/>
      <c r="ULX42" s="285"/>
      <c r="ULY42" s="285"/>
      <c r="ULZ42" s="285"/>
      <c r="UMA42" s="285"/>
      <c r="UMB42" s="285"/>
      <c r="UMC42" s="285"/>
      <c r="UMD42" s="285"/>
      <c r="UME42" s="285"/>
      <c r="UMF42" s="285"/>
      <c r="UMG42" s="285"/>
      <c r="UMH42" s="285"/>
      <c r="UMI42" s="285"/>
      <c r="UMJ42" s="285"/>
      <c r="UMK42" s="285"/>
      <c r="UML42" s="285"/>
      <c r="UMM42" s="285"/>
      <c r="UMN42" s="285"/>
      <c r="UMO42" s="285"/>
      <c r="UMP42" s="285"/>
      <c r="UMQ42" s="285"/>
      <c r="UMR42" s="285"/>
      <c r="UMS42" s="285"/>
      <c r="UMT42" s="285"/>
      <c r="UMU42" s="285"/>
      <c r="UMV42" s="285"/>
      <c r="UMW42" s="285"/>
      <c r="UMX42" s="285"/>
      <c r="UMY42" s="285"/>
      <c r="UMZ42" s="285"/>
      <c r="UNA42" s="285"/>
      <c r="UNB42" s="285"/>
      <c r="UNC42" s="285"/>
      <c r="UND42" s="285"/>
      <c r="UNE42" s="285"/>
      <c r="UNF42" s="285"/>
      <c r="UNG42" s="285"/>
      <c r="UNH42" s="285"/>
      <c r="UNI42" s="285"/>
      <c r="UNJ42" s="285"/>
      <c r="UNK42" s="285"/>
      <c r="UNL42" s="285"/>
      <c r="UNM42" s="285"/>
      <c r="UNN42" s="285"/>
      <c r="UNO42" s="285"/>
      <c r="UNP42" s="285"/>
      <c r="UNQ42" s="285"/>
      <c r="UNR42" s="285"/>
      <c r="UNS42" s="285"/>
      <c r="UNT42" s="285"/>
      <c r="UNU42" s="285"/>
      <c r="UNV42" s="285"/>
      <c r="UNW42" s="285"/>
      <c r="UNX42" s="285"/>
      <c r="UNY42" s="285"/>
      <c r="UNZ42" s="285"/>
      <c r="UOA42" s="285"/>
      <c r="UOB42" s="285"/>
      <c r="UOC42" s="285"/>
      <c r="UOD42" s="285"/>
      <c r="UOE42" s="285"/>
      <c r="UOF42" s="285"/>
      <c r="UOG42" s="285"/>
      <c r="UOH42" s="285"/>
      <c r="UOI42" s="285"/>
      <c r="UOJ42" s="285"/>
      <c r="UOK42" s="285"/>
      <c r="UOL42" s="285"/>
      <c r="UOM42" s="285"/>
      <c r="UON42" s="285"/>
      <c r="UOO42" s="285"/>
      <c r="UOP42" s="285"/>
      <c r="UOQ42" s="285"/>
      <c r="UOR42" s="285"/>
      <c r="UOS42" s="285"/>
      <c r="UOT42" s="285"/>
      <c r="UOU42" s="285"/>
      <c r="UOV42" s="285"/>
      <c r="UOW42" s="285"/>
      <c r="UOX42" s="285"/>
      <c r="UOY42" s="285"/>
      <c r="UOZ42" s="285"/>
      <c r="UPA42" s="285"/>
      <c r="UPB42" s="285"/>
      <c r="UPC42" s="285"/>
      <c r="UPD42" s="285"/>
      <c r="UPE42" s="285"/>
      <c r="UPF42" s="285"/>
      <c r="UPG42" s="285"/>
      <c r="UPH42" s="285"/>
      <c r="UPI42" s="285"/>
      <c r="UPJ42" s="285"/>
      <c r="UPK42" s="285"/>
      <c r="UPL42" s="285"/>
      <c r="UPM42" s="285"/>
      <c r="UPN42" s="285"/>
      <c r="UPO42" s="285"/>
      <c r="UPP42" s="285"/>
      <c r="UPQ42" s="285"/>
      <c r="UPR42" s="285"/>
      <c r="UPS42" s="285"/>
      <c r="UPT42" s="285"/>
      <c r="UPU42" s="285"/>
      <c r="UPV42" s="285"/>
      <c r="UPW42" s="285"/>
      <c r="UPX42" s="285"/>
      <c r="UPY42" s="285"/>
      <c r="UPZ42" s="285"/>
      <c r="UQA42" s="285"/>
      <c r="UQB42" s="285"/>
      <c r="UQC42" s="285"/>
      <c r="UQD42" s="285"/>
      <c r="UQE42" s="285"/>
      <c r="UQF42" s="285"/>
      <c r="UQG42" s="285"/>
      <c r="UQH42" s="285"/>
      <c r="UQI42" s="285"/>
      <c r="UQJ42" s="285"/>
      <c r="UQK42" s="285"/>
      <c r="UQL42" s="285"/>
      <c r="UQM42" s="285"/>
      <c r="UQN42" s="285"/>
      <c r="UQO42" s="285"/>
      <c r="UQP42" s="285"/>
      <c r="UQQ42" s="285"/>
      <c r="UQR42" s="285"/>
      <c r="UQS42" s="285"/>
      <c r="UQT42" s="285"/>
      <c r="UQU42" s="285"/>
      <c r="UQV42" s="285"/>
      <c r="UQW42" s="285"/>
      <c r="UQX42" s="285"/>
      <c r="UQY42" s="285"/>
      <c r="UQZ42" s="285"/>
      <c r="URA42" s="285"/>
      <c r="URB42" s="285"/>
      <c r="URC42" s="285"/>
      <c r="URD42" s="285"/>
      <c r="URE42" s="285"/>
      <c r="URF42" s="285"/>
      <c r="URG42" s="285"/>
      <c r="URH42" s="285"/>
      <c r="URI42" s="285"/>
      <c r="URJ42" s="285"/>
      <c r="URK42" s="285"/>
      <c r="URL42" s="285"/>
      <c r="URM42" s="285"/>
      <c r="URN42" s="285"/>
      <c r="URO42" s="285"/>
      <c r="URP42" s="285"/>
      <c r="URQ42" s="285"/>
      <c r="URR42" s="285"/>
      <c r="URS42" s="285"/>
      <c r="URT42" s="285"/>
      <c r="URU42" s="285"/>
      <c r="URV42" s="285"/>
      <c r="URW42" s="285"/>
      <c r="URX42" s="285"/>
      <c r="URY42" s="285"/>
      <c r="URZ42" s="285"/>
      <c r="USA42" s="285"/>
      <c r="USB42" s="285"/>
      <c r="USC42" s="285"/>
      <c r="USD42" s="285"/>
      <c r="USE42" s="285"/>
      <c r="USF42" s="285"/>
      <c r="USG42" s="285"/>
      <c r="USH42" s="285"/>
      <c r="USI42" s="285"/>
      <c r="USJ42" s="285"/>
      <c r="USK42" s="285"/>
      <c r="USL42" s="285"/>
      <c r="USM42" s="285"/>
      <c r="USN42" s="285"/>
      <c r="USO42" s="285"/>
      <c r="USP42" s="285"/>
      <c r="USQ42" s="285"/>
      <c r="USR42" s="285"/>
      <c r="USS42" s="285"/>
      <c r="UST42" s="285"/>
      <c r="USU42" s="285"/>
      <c r="USV42" s="285"/>
      <c r="USW42" s="285"/>
      <c r="USX42" s="285"/>
      <c r="USY42" s="285"/>
      <c r="USZ42" s="285"/>
      <c r="UTA42" s="285"/>
      <c r="UTB42" s="285"/>
      <c r="UTC42" s="285"/>
      <c r="UTD42" s="285"/>
      <c r="UTE42" s="285"/>
      <c r="UTF42" s="285"/>
      <c r="UTG42" s="285"/>
      <c r="UTH42" s="285"/>
      <c r="UTI42" s="285"/>
      <c r="UTJ42" s="285"/>
      <c r="UTK42" s="285"/>
      <c r="UTL42" s="285"/>
      <c r="UTM42" s="285"/>
      <c r="UTN42" s="285"/>
      <c r="UTO42" s="285"/>
      <c r="UTP42" s="285"/>
      <c r="UTQ42" s="285"/>
      <c r="UTR42" s="285"/>
      <c r="UTS42" s="285"/>
      <c r="UTT42" s="285"/>
      <c r="UTU42" s="285"/>
      <c r="UTV42" s="285"/>
      <c r="UTW42" s="285"/>
      <c r="UTX42" s="285"/>
      <c r="UTY42" s="285"/>
      <c r="UTZ42" s="285"/>
      <c r="UUA42" s="285"/>
      <c r="UUB42" s="285"/>
      <c r="UUC42" s="285"/>
      <c r="UUD42" s="285"/>
      <c r="UUE42" s="285"/>
      <c r="UUF42" s="285"/>
      <c r="UUG42" s="285"/>
      <c r="UUH42" s="285"/>
      <c r="UUI42" s="285"/>
      <c r="UUJ42" s="285"/>
      <c r="UUK42" s="285"/>
      <c r="UUL42" s="285"/>
      <c r="UUM42" s="285"/>
      <c r="UUN42" s="285"/>
      <c r="UUO42" s="285"/>
      <c r="UUP42" s="285"/>
      <c r="UUQ42" s="285"/>
      <c r="UUR42" s="285"/>
      <c r="UUS42" s="285"/>
      <c r="UUT42" s="285"/>
      <c r="UUU42" s="285"/>
      <c r="UUV42" s="285"/>
      <c r="UUW42" s="285"/>
      <c r="UUX42" s="285"/>
      <c r="UUY42" s="285"/>
      <c r="UUZ42" s="285"/>
      <c r="UVA42" s="285"/>
      <c r="UVB42" s="285"/>
      <c r="UVC42" s="285"/>
      <c r="UVD42" s="285"/>
      <c r="UVE42" s="285"/>
      <c r="UVF42" s="285"/>
      <c r="UVG42" s="285"/>
      <c r="UVH42" s="285"/>
      <c r="UVI42" s="285"/>
      <c r="UVJ42" s="285"/>
      <c r="UVK42" s="285"/>
      <c r="UVL42" s="285"/>
      <c r="UVM42" s="285"/>
      <c r="UVN42" s="285"/>
      <c r="UVO42" s="285"/>
      <c r="UVP42" s="285"/>
      <c r="UVQ42" s="285"/>
      <c r="UVR42" s="285"/>
      <c r="UVS42" s="285"/>
      <c r="UVT42" s="285"/>
      <c r="UVU42" s="285"/>
      <c r="UVV42" s="285"/>
      <c r="UVW42" s="285"/>
      <c r="UVX42" s="285"/>
      <c r="UVY42" s="285"/>
      <c r="UVZ42" s="285"/>
      <c r="UWA42" s="285"/>
      <c r="UWB42" s="285"/>
      <c r="UWC42" s="285"/>
      <c r="UWD42" s="285"/>
      <c r="UWE42" s="285"/>
      <c r="UWF42" s="285"/>
      <c r="UWG42" s="285"/>
      <c r="UWH42" s="285"/>
      <c r="UWI42" s="285"/>
      <c r="UWJ42" s="285"/>
      <c r="UWK42" s="285"/>
      <c r="UWL42" s="285"/>
      <c r="UWM42" s="285"/>
      <c r="UWN42" s="285"/>
      <c r="UWO42" s="285"/>
      <c r="UWP42" s="285"/>
      <c r="UWQ42" s="285"/>
      <c r="UWR42" s="285"/>
      <c r="UWS42" s="285"/>
      <c r="UWT42" s="285"/>
      <c r="UWU42" s="285"/>
      <c r="UWV42" s="285"/>
      <c r="UWW42" s="285"/>
      <c r="UWX42" s="285"/>
      <c r="UWY42" s="285"/>
      <c r="UWZ42" s="285"/>
      <c r="UXA42" s="285"/>
      <c r="UXB42" s="285"/>
      <c r="UXC42" s="285"/>
      <c r="UXD42" s="285"/>
      <c r="UXE42" s="285"/>
      <c r="UXF42" s="285"/>
      <c r="UXG42" s="285"/>
      <c r="UXH42" s="285"/>
      <c r="UXI42" s="285"/>
      <c r="UXJ42" s="285"/>
      <c r="UXK42" s="285"/>
      <c r="UXL42" s="285"/>
      <c r="UXM42" s="285"/>
      <c r="UXN42" s="285"/>
      <c r="UXO42" s="285"/>
      <c r="UXP42" s="285"/>
      <c r="UXQ42" s="285"/>
      <c r="UXR42" s="285"/>
      <c r="UXS42" s="285"/>
      <c r="UXT42" s="285"/>
      <c r="UXU42" s="285"/>
      <c r="UXV42" s="285"/>
      <c r="UXW42" s="285"/>
      <c r="UXX42" s="285"/>
      <c r="UXY42" s="285"/>
      <c r="UXZ42" s="285"/>
      <c r="UYA42" s="285"/>
      <c r="UYB42" s="285"/>
      <c r="UYC42" s="285"/>
      <c r="UYD42" s="285"/>
      <c r="UYE42" s="285"/>
      <c r="UYF42" s="285"/>
      <c r="UYG42" s="285"/>
      <c r="UYH42" s="285"/>
      <c r="UYI42" s="285"/>
      <c r="UYJ42" s="285"/>
      <c r="UYK42" s="285"/>
      <c r="UYL42" s="285"/>
      <c r="UYM42" s="285"/>
      <c r="UYN42" s="285"/>
      <c r="UYO42" s="285"/>
      <c r="UYP42" s="285"/>
      <c r="UYQ42" s="285"/>
      <c r="UYR42" s="285"/>
      <c r="UYS42" s="285"/>
      <c r="UYT42" s="285"/>
      <c r="UYU42" s="285"/>
      <c r="UYV42" s="285"/>
      <c r="UYW42" s="285"/>
      <c r="UYX42" s="285"/>
      <c r="UYY42" s="285"/>
      <c r="UYZ42" s="285"/>
      <c r="UZA42" s="285"/>
      <c r="UZB42" s="285"/>
      <c r="UZC42" s="285"/>
      <c r="UZD42" s="285"/>
      <c r="UZE42" s="285"/>
      <c r="UZF42" s="285"/>
      <c r="UZG42" s="285"/>
      <c r="UZH42" s="285"/>
      <c r="UZI42" s="285"/>
      <c r="UZJ42" s="285"/>
      <c r="UZK42" s="285"/>
      <c r="UZL42" s="285"/>
      <c r="UZM42" s="285"/>
      <c r="UZN42" s="285"/>
      <c r="UZO42" s="285"/>
      <c r="UZP42" s="285"/>
      <c r="UZQ42" s="285"/>
      <c r="UZR42" s="285"/>
      <c r="UZS42" s="285"/>
      <c r="UZT42" s="285"/>
      <c r="UZU42" s="285"/>
      <c r="UZV42" s="285"/>
      <c r="UZW42" s="285"/>
      <c r="UZX42" s="285"/>
      <c r="UZY42" s="285"/>
      <c r="UZZ42" s="285"/>
      <c r="VAA42" s="285"/>
      <c r="VAB42" s="285"/>
      <c r="VAC42" s="285"/>
      <c r="VAD42" s="285"/>
      <c r="VAE42" s="285"/>
      <c r="VAF42" s="285"/>
      <c r="VAG42" s="285"/>
      <c r="VAH42" s="285"/>
      <c r="VAI42" s="285"/>
      <c r="VAJ42" s="285"/>
      <c r="VAK42" s="285"/>
      <c r="VAL42" s="285"/>
      <c r="VAM42" s="285"/>
      <c r="VAN42" s="285"/>
      <c r="VAO42" s="285"/>
      <c r="VAP42" s="285"/>
      <c r="VAQ42" s="285"/>
      <c r="VAR42" s="285"/>
      <c r="VAS42" s="285"/>
      <c r="VAT42" s="285"/>
      <c r="VAU42" s="285"/>
      <c r="VAV42" s="285"/>
      <c r="VAW42" s="285"/>
      <c r="VAX42" s="285"/>
      <c r="VAY42" s="285"/>
      <c r="VAZ42" s="285"/>
      <c r="VBA42" s="285"/>
      <c r="VBB42" s="285"/>
      <c r="VBC42" s="285"/>
      <c r="VBD42" s="285"/>
      <c r="VBE42" s="285"/>
      <c r="VBF42" s="285"/>
      <c r="VBG42" s="285"/>
      <c r="VBH42" s="285"/>
      <c r="VBI42" s="285"/>
      <c r="VBJ42" s="285"/>
      <c r="VBK42" s="285"/>
      <c r="VBL42" s="285"/>
      <c r="VBM42" s="285"/>
      <c r="VBN42" s="285"/>
      <c r="VBO42" s="285"/>
      <c r="VBP42" s="285"/>
      <c r="VBQ42" s="285"/>
      <c r="VBR42" s="285"/>
      <c r="VBS42" s="285"/>
      <c r="VBT42" s="285"/>
      <c r="VBU42" s="285"/>
      <c r="VBV42" s="285"/>
      <c r="VBW42" s="285"/>
      <c r="VBX42" s="285"/>
      <c r="VBY42" s="285"/>
      <c r="VBZ42" s="285"/>
      <c r="VCA42" s="285"/>
      <c r="VCB42" s="285"/>
      <c r="VCC42" s="285"/>
      <c r="VCD42" s="285"/>
      <c r="VCE42" s="285"/>
      <c r="VCF42" s="285"/>
      <c r="VCG42" s="285"/>
      <c r="VCH42" s="285"/>
      <c r="VCI42" s="285"/>
      <c r="VCJ42" s="285"/>
      <c r="VCK42" s="285"/>
      <c r="VCL42" s="285"/>
      <c r="VCM42" s="285"/>
      <c r="VCN42" s="285"/>
      <c r="VCO42" s="285"/>
      <c r="VCP42" s="285"/>
      <c r="VCQ42" s="285"/>
      <c r="VCR42" s="285"/>
      <c r="VCS42" s="285"/>
      <c r="VCT42" s="285"/>
      <c r="VCU42" s="285"/>
      <c r="VCV42" s="285"/>
      <c r="VCW42" s="285"/>
      <c r="VCX42" s="285"/>
      <c r="VCY42" s="285"/>
      <c r="VCZ42" s="285"/>
      <c r="VDA42" s="285"/>
      <c r="VDB42" s="285"/>
      <c r="VDC42" s="285"/>
      <c r="VDD42" s="285"/>
      <c r="VDE42" s="285"/>
      <c r="VDF42" s="285"/>
      <c r="VDG42" s="285"/>
      <c r="VDH42" s="285"/>
      <c r="VDI42" s="285"/>
      <c r="VDJ42" s="285"/>
      <c r="VDK42" s="285"/>
      <c r="VDL42" s="285"/>
      <c r="VDM42" s="285"/>
      <c r="VDN42" s="285"/>
      <c r="VDO42" s="285"/>
      <c r="VDP42" s="285"/>
      <c r="VDQ42" s="285"/>
      <c r="VDR42" s="285"/>
      <c r="VDS42" s="285"/>
      <c r="VDT42" s="285"/>
      <c r="VDU42" s="285"/>
      <c r="VDV42" s="285"/>
      <c r="VDW42" s="285"/>
      <c r="VDX42" s="285"/>
      <c r="VDY42" s="285"/>
      <c r="VDZ42" s="285"/>
      <c r="VEA42" s="285"/>
      <c r="VEB42" s="285"/>
      <c r="VEC42" s="285"/>
      <c r="VED42" s="285"/>
      <c r="VEE42" s="285"/>
      <c r="VEF42" s="285"/>
      <c r="VEG42" s="285"/>
      <c r="VEH42" s="285"/>
      <c r="VEI42" s="285"/>
      <c r="VEJ42" s="285"/>
      <c r="VEK42" s="285"/>
      <c r="VEL42" s="285"/>
      <c r="VEM42" s="285"/>
      <c r="VEN42" s="285"/>
      <c r="VEO42" s="285"/>
      <c r="VEP42" s="285"/>
      <c r="VEQ42" s="285"/>
      <c r="VER42" s="285"/>
      <c r="VES42" s="285"/>
      <c r="VET42" s="285"/>
      <c r="VEU42" s="285"/>
      <c r="VEV42" s="285"/>
      <c r="VEW42" s="285"/>
      <c r="VEX42" s="285"/>
      <c r="VEY42" s="285"/>
      <c r="VEZ42" s="285"/>
      <c r="VFA42" s="285"/>
      <c r="VFB42" s="285"/>
      <c r="VFC42" s="285"/>
      <c r="VFD42" s="285"/>
      <c r="VFE42" s="285"/>
      <c r="VFF42" s="285"/>
      <c r="VFG42" s="285"/>
      <c r="VFH42" s="285"/>
      <c r="VFI42" s="285"/>
      <c r="VFJ42" s="285"/>
      <c r="VFK42" s="285"/>
      <c r="VFL42" s="285"/>
      <c r="VFM42" s="285"/>
      <c r="VFN42" s="285"/>
      <c r="VFO42" s="285"/>
      <c r="VFP42" s="285"/>
      <c r="VFQ42" s="285"/>
      <c r="VFR42" s="285"/>
      <c r="VFS42" s="285"/>
      <c r="VFT42" s="285"/>
      <c r="VFU42" s="285"/>
      <c r="VFV42" s="285"/>
      <c r="VFW42" s="285"/>
      <c r="VFX42" s="285"/>
      <c r="VFY42" s="285"/>
      <c r="VFZ42" s="285"/>
      <c r="VGA42" s="285"/>
      <c r="VGB42" s="285"/>
      <c r="VGC42" s="285"/>
      <c r="VGD42" s="285"/>
      <c r="VGE42" s="285"/>
      <c r="VGF42" s="285"/>
      <c r="VGG42" s="285"/>
      <c r="VGH42" s="285"/>
      <c r="VGI42" s="285"/>
      <c r="VGJ42" s="285"/>
      <c r="VGK42" s="285"/>
      <c r="VGL42" s="285"/>
      <c r="VGM42" s="285"/>
      <c r="VGN42" s="285"/>
      <c r="VGO42" s="285"/>
      <c r="VGP42" s="285"/>
      <c r="VGQ42" s="285"/>
      <c r="VGR42" s="285"/>
      <c r="VGS42" s="285"/>
      <c r="VGT42" s="285"/>
      <c r="VGU42" s="285"/>
      <c r="VGV42" s="285"/>
      <c r="VGW42" s="285"/>
      <c r="VGX42" s="285"/>
      <c r="VGY42" s="285"/>
      <c r="VGZ42" s="285"/>
      <c r="VHA42" s="285"/>
      <c r="VHB42" s="285"/>
      <c r="VHC42" s="285"/>
      <c r="VHD42" s="285"/>
      <c r="VHE42" s="285"/>
      <c r="VHF42" s="285"/>
      <c r="VHG42" s="285"/>
      <c r="VHH42" s="285"/>
      <c r="VHI42" s="285"/>
      <c r="VHJ42" s="285"/>
      <c r="VHK42" s="285"/>
      <c r="VHL42" s="285"/>
      <c r="VHM42" s="285"/>
      <c r="VHN42" s="285"/>
      <c r="VHO42" s="285"/>
      <c r="VHP42" s="285"/>
      <c r="VHQ42" s="285"/>
      <c r="VHR42" s="285"/>
      <c r="VHS42" s="285"/>
      <c r="VHT42" s="285"/>
      <c r="VHU42" s="285"/>
      <c r="VHV42" s="285"/>
      <c r="VHW42" s="285"/>
      <c r="VHX42" s="285"/>
      <c r="VHY42" s="285"/>
      <c r="VHZ42" s="285"/>
      <c r="VIA42" s="285"/>
      <c r="VIB42" s="285"/>
      <c r="VIC42" s="285"/>
      <c r="VID42" s="285"/>
      <c r="VIE42" s="285"/>
      <c r="VIF42" s="285"/>
      <c r="VIG42" s="285"/>
      <c r="VIH42" s="285"/>
      <c r="VII42" s="285"/>
      <c r="VIJ42" s="285"/>
      <c r="VIK42" s="285"/>
      <c r="VIL42" s="285"/>
      <c r="VIM42" s="285"/>
      <c r="VIN42" s="285"/>
      <c r="VIO42" s="285"/>
      <c r="VIP42" s="285"/>
      <c r="VIQ42" s="285"/>
      <c r="VIR42" s="285"/>
      <c r="VIS42" s="285"/>
      <c r="VIT42" s="285"/>
      <c r="VIU42" s="285"/>
      <c r="VIV42" s="285"/>
      <c r="VIW42" s="285"/>
      <c r="VIX42" s="285"/>
      <c r="VIY42" s="285"/>
      <c r="VIZ42" s="285"/>
      <c r="VJA42" s="285"/>
      <c r="VJB42" s="285"/>
      <c r="VJC42" s="285"/>
      <c r="VJD42" s="285"/>
      <c r="VJE42" s="285"/>
      <c r="VJF42" s="285"/>
      <c r="VJG42" s="285"/>
      <c r="VJH42" s="285"/>
      <c r="VJI42" s="285"/>
      <c r="VJJ42" s="285"/>
      <c r="VJK42" s="285"/>
      <c r="VJL42" s="285"/>
      <c r="VJM42" s="285"/>
      <c r="VJN42" s="285"/>
      <c r="VJO42" s="285"/>
      <c r="VJP42" s="285"/>
      <c r="VJQ42" s="285"/>
      <c r="VJR42" s="285"/>
      <c r="VJS42" s="285"/>
      <c r="VJT42" s="285"/>
      <c r="VJU42" s="285"/>
      <c r="VJV42" s="285"/>
      <c r="VJW42" s="285"/>
      <c r="VJX42" s="285"/>
      <c r="VJY42" s="285"/>
      <c r="VJZ42" s="285"/>
      <c r="VKA42" s="285"/>
      <c r="VKB42" s="285"/>
      <c r="VKC42" s="285"/>
      <c r="VKD42" s="285"/>
      <c r="VKE42" s="285"/>
      <c r="VKF42" s="285"/>
      <c r="VKG42" s="285"/>
      <c r="VKH42" s="285"/>
      <c r="VKI42" s="285"/>
      <c r="VKJ42" s="285"/>
      <c r="VKK42" s="285"/>
      <c r="VKL42" s="285"/>
      <c r="VKM42" s="285"/>
      <c r="VKN42" s="285"/>
      <c r="VKO42" s="285"/>
      <c r="VKP42" s="285"/>
      <c r="VKQ42" s="285"/>
      <c r="VKR42" s="285"/>
      <c r="VKS42" s="285"/>
      <c r="VKT42" s="285"/>
      <c r="VKU42" s="285"/>
      <c r="VKV42" s="285"/>
      <c r="VKW42" s="285"/>
      <c r="VKX42" s="285"/>
      <c r="VKY42" s="285"/>
      <c r="VKZ42" s="285"/>
      <c r="VLA42" s="285"/>
      <c r="VLB42" s="285"/>
      <c r="VLC42" s="285"/>
      <c r="VLD42" s="285"/>
      <c r="VLE42" s="285"/>
      <c r="VLF42" s="285"/>
      <c r="VLG42" s="285"/>
      <c r="VLH42" s="285"/>
      <c r="VLI42" s="285"/>
      <c r="VLJ42" s="285"/>
      <c r="VLK42" s="285"/>
      <c r="VLL42" s="285"/>
      <c r="VLM42" s="285"/>
      <c r="VLN42" s="285"/>
      <c r="VLO42" s="285"/>
      <c r="VLP42" s="285"/>
      <c r="VLQ42" s="285"/>
      <c r="VLR42" s="285"/>
      <c r="VLS42" s="285"/>
      <c r="VLT42" s="285"/>
      <c r="VLU42" s="285"/>
      <c r="VLV42" s="285"/>
      <c r="VLW42" s="285"/>
      <c r="VLX42" s="285"/>
      <c r="VLY42" s="285"/>
      <c r="VLZ42" s="285"/>
      <c r="VMA42" s="285"/>
      <c r="VMB42" s="285"/>
      <c r="VMC42" s="285"/>
      <c r="VMD42" s="285"/>
      <c r="VME42" s="285"/>
      <c r="VMF42" s="285"/>
      <c r="VMG42" s="285"/>
      <c r="VMH42" s="285"/>
      <c r="VMI42" s="285"/>
      <c r="VMJ42" s="285"/>
      <c r="VMK42" s="285"/>
      <c r="VML42" s="285"/>
      <c r="VMM42" s="285"/>
      <c r="VMN42" s="285"/>
      <c r="VMO42" s="285"/>
      <c r="VMP42" s="285"/>
      <c r="VMQ42" s="285"/>
      <c r="VMR42" s="285"/>
      <c r="VMS42" s="285"/>
      <c r="VMT42" s="285"/>
      <c r="VMU42" s="285"/>
      <c r="VMV42" s="285"/>
      <c r="VMW42" s="285"/>
      <c r="VMX42" s="285"/>
      <c r="VMY42" s="285"/>
      <c r="VMZ42" s="285"/>
      <c r="VNA42" s="285"/>
      <c r="VNB42" s="285"/>
      <c r="VNC42" s="285"/>
      <c r="VND42" s="285"/>
      <c r="VNE42" s="285"/>
      <c r="VNF42" s="285"/>
      <c r="VNG42" s="285"/>
      <c r="VNH42" s="285"/>
      <c r="VNI42" s="285"/>
      <c r="VNJ42" s="285"/>
      <c r="VNK42" s="285"/>
      <c r="VNL42" s="285"/>
      <c r="VNM42" s="285"/>
      <c r="VNN42" s="285"/>
      <c r="VNO42" s="285"/>
      <c r="VNP42" s="285"/>
      <c r="VNQ42" s="285"/>
      <c r="VNR42" s="285"/>
      <c r="VNS42" s="285"/>
      <c r="VNT42" s="285"/>
      <c r="VNU42" s="285"/>
      <c r="VNV42" s="285"/>
      <c r="VNW42" s="285"/>
      <c r="VNX42" s="285"/>
      <c r="VNY42" s="285"/>
      <c r="VNZ42" s="285"/>
      <c r="VOA42" s="285"/>
      <c r="VOB42" s="285"/>
      <c r="VOC42" s="285"/>
      <c r="VOD42" s="285"/>
      <c r="VOE42" s="285"/>
      <c r="VOF42" s="285"/>
      <c r="VOG42" s="285"/>
      <c r="VOH42" s="285"/>
      <c r="VOI42" s="285"/>
      <c r="VOJ42" s="285"/>
      <c r="VOK42" s="285"/>
      <c r="VOL42" s="285"/>
      <c r="VOM42" s="285"/>
      <c r="VON42" s="285"/>
      <c r="VOO42" s="285"/>
      <c r="VOP42" s="285"/>
      <c r="VOQ42" s="285"/>
      <c r="VOR42" s="285"/>
      <c r="VOS42" s="285"/>
      <c r="VOT42" s="285"/>
      <c r="VOU42" s="285"/>
      <c r="VOV42" s="285"/>
      <c r="VOW42" s="285"/>
      <c r="VOX42" s="285"/>
      <c r="VOY42" s="285"/>
      <c r="VOZ42" s="285"/>
      <c r="VPA42" s="285"/>
      <c r="VPB42" s="285"/>
      <c r="VPC42" s="285"/>
      <c r="VPD42" s="285"/>
      <c r="VPE42" s="285"/>
      <c r="VPF42" s="285"/>
      <c r="VPG42" s="285"/>
      <c r="VPH42" s="285"/>
      <c r="VPI42" s="285"/>
      <c r="VPJ42" s="285"/>
      <c r="VPK42" s="285"/>
      <c r="VPL42" s="285"/>
      <c r="VPM42" s="285"/>
      <c r="VPN42" s="285"/>
      <c r="VPO42" s="285"/>
      <c r="VPP42" s="285"/>
      <c r="VPQ42" s="285"/>
      <c r="VPR42" s="285"/>
      <c r="VPS42" s="285"/>
      <c r="VPT42" s="285"/>
      <c r="VPU42" s="285"/>
      <c r="VPV42" s="285"/>
      <c r="VPW42" s="285"/>
      <c r="VPX42" s="285"/>
      <c r="VPY42" s="285"/>
      <c r="VPZ42" s="285"/>
      <c r="VQA42" s="285"/>
      <c r="VQB42" s="285"/>
      <c r="VQC42" s="285"/>
      <c r="VQD42" s="285"/>
      <c r="VQE42" s="285"/>
      <c r="VQF42" s="285"/>
      <c r="VQG42" s="285"/>
      <c r="VQH42" s="285"/>
      <c r="VQI42" s="285"/>
      <c r="VQJ42" s="285"/>
      <c r="VQK42" s="285"/>
      <c r="VQL42" s="285"/>
      <c r="VQM42" s="285"/>
      <c r="VQN42" s="285"/>
      <c r="VQO42" s="285"/>
      <c r="VQP42" s="285"/>
      <c r="VQQ42" s="285"/>
      <c r="VQR42" s="285"/>
      <c r="VQS42" s="285"/>
      <c r="VQT42" s="285"/>
      <c r="VQU42" s="285"/>
      <c r="VQV42" s="285"/>
      <c r="VQW42" s="285"/>
      <c r="VQX42" s="285"/>
      <c r="VQY42" s="285"/>
      <c r="VQZ42" s="285"/>
      <c r="VRA42" s="285"/>
      <c r="VRB42" s="285"/>
      <c r="VRC42" s="285"/>
      <c r="VRD42" s="285"/>
      <c r="VRE42" s="285"/>
      <c r="VRF42" s="285"/>
      <c r="VRG42" s="285"/>
      <c r="VRH42" s="285"/>
      <c r="VRI42" s="285"/>
      <c r="VRJ42" s="285"/>
      <c r="VRK42" s="285"/>
      <c r="VRL42" s="285"/>
      <c r="VRM42" s="285"/>
      <c r="VRN42" s="285"/>
      <c r="VRO42" s="285"/>
      <c r="VRP42" s="285"/>
      <c r="VRQ42" s="285"/>
      <c r="VRR42" s="285"/>
      <c r="VRS42" s="285"/>
      <c r="VRT42" s="285"/>
      <c r="VRU42" s="285"/>
      <c r="VRV42" s="285"/>
      <c r="VRW42" s="285"/>
      <c r="VRX42" s="285"/>
      <c r="VRY42" s="285"/>
      <c r="VRZ42" s="285"/>
      <c r="VSA42" s="285"/>
      <c r="VSB42" s="285"/>
      <c r="VSC42" s="285"/>
      <c r="VSD42" s="285"/>
      <c r="VSE42" s="285"/>
      <c r="VSF42" s="285"/>
      <c r="VSG42" s="285"/>
      <c r="VSH42" s="285"/>
      <c r="VSI42" s="285"/>
      <c r="VSJ42" s="285"/>
      <c r="VSK42" s="285"/>
      <c r="VSL42" s="285"/>
      <c r="VSM42" s="285"/>
      <c r="VSN42" s="285"/>
      <c r="VSO42" s="285"/>
      <c r="VSP42" s="285"/>
      <c r="VSQ42" s="285"/>
      <c r="VSR42" s="285"/>
      <c r="VSS42" s="285"/>
      <c r="VST42" s="285"/>
      <c r="VSU42" s="285"/>
      <c r="VSV42" s="285"/>
      <c r="VSW42" s="285"/>
      <c r="VSX42" s="285"/>
      <c r="VSY42" s="285"/>
      <c r="VSZ42" s="285"/>
      <c r="VTA42" s="285"/>
      <c r="VTB42" s="285"/>
      <c r="VTC42" s="285"/>
      <c r="VTD42" s="285"/>
      <c r="VTE42" s="285"/>
      <c r="VTF42" s="285"/>
      <c r="VTG42" s="285"/>
      <c r="VTH42" s="285"/>
      <c r="VTI42" s="285"/>
      <c r="VTJ42" s="285"/>
      <c r="VTK42" s="285"/>
      <c r="VTL42" s="285"/>
      <c r="VTM42" s="285"/>
      <c r="VTN42" s="285"/>
      <c r="VTO42" s="285"/>
      <c r="VTP42" s="285"/>
      <c r="VTQ42" s="285"/>
      <c r="VTR42" s="285"/>
      <c r="VTS42" s="285"/>
      <c r="VTT42" s="285"/>
      <c r="VTU42" s="285"/>
      <c r="VTV42" s="285"/>
      <c r="VTW42" s="285"/>
      <c r="VTX42" s="285"/>
      <c r="VTY42" s="285"/>
      <c r="VTZ42" s="285"/>
      <c r="VUA42" s="285"/>
      <c r="VUB42" s="285"/>
      <c r="VUC42" s="285"/>
      <c r="VUD42" s="285"/>
      <c r="VUE42" s="285"/>
      <c r="VUF42" s="285"/>
      <c r="VUG42" s="285"/>
      <c r="VUH42" s="285"/>
      <c r="VUI42" s="285"/>
      <c r="VUJ42" s="285"/>
      <c r="VUK42" s="285"/>
      <c r="VUL42" s="285"/>
      <c r="VUM42" s="285"/>
      <c r="VUN42" s="285"/>
      <c r="VUO42" s="285"/>
      <c r="VUP42" s="285"/>
      <c r="VUQ42" s="285"/>
      <c r="VUR42" s="285"/>
      <c r="VUS42" s="285"/>
      <c r="VUT42" s="285"/>
      <c r="VUU42" s="285"/>
      <c r="VUV42" s="285"/>
      <c r="VUW42" s="285"/>
      <c r="VUX42" s="285"/>
      <c r="VUY42" s="285"/>
      <c r="VUZ42" s="285"/>
      <c r="VVA42" s="285"/>
      <c r="VVB42" s="285"/>
      <c r="VVC42" s="285"/>
      <c r="VVD42" s="285"/>
      <c r="VVE42" s="285"/>
      <c r="VVF42" s="285"/>
      <c r="VVG42" s="285"/>
      <c r="VVH42" s="285"/>
      <c r="VVI42" s="285"/>
      <c r="VVJ42" s="285"/>
      <c r="VVK42" s="285"/>
      <c r="VVL42" s="285"/>
      <c r="VVM42" s="285"/>
      <c r="VVN42" s="285"/>
      <c r="VVO42" s="285"/>
      <c r="VVP42" s="285"/>
      <c r="VVQ42" s="285"/>
      <c r="VVR42" s="285"/>
      <c r="VVS42" s="285"/>
      <c r="VVT42" s="285"/>
      <c r="VVU42" s="285"/>
      <c r="VVV42" s="285"/>
      <c r="VVW42" s="285"/>
      <c r="VVX42" s="285"/>
      <c r="VVY42" s="285"/>
      <c r="VVZ42" s="285"/>
      <c r="VWA42" s="285"/>
      <c r="VWB42" s="285"/>
      <c r="VWC42" s="285"/>
      <c r="VWD42" s="285"/>
      <c r="VWE42" s="285"/>
      <c r="VWF42" s="285"/>
      <c r="VWG42" s="285"/>
      <c r="VWH42" s="285"/>
      <c r="VWI42" s="285"/>
      <c r="VWJ42" s="285"/>
      <c r="VWK42" s="285"/>
      <c r="VWL42" s="285"/>
      <c r="VWM42" s="285"/>
      <c r="VWN42" s="285"/>
      <c r="VWO42" s="285"/>
      <c r="VWP42" s="285"/>
      <c r="VWQ42" s="285"/>
      <c r="VWR42" s="285"/>
      <c r="VWS42" s="285"/>
      <c r="VWT42" s="285"/>
      <c r="VWU42" s="285"/>
      <c r="VWV42" s="285"/>
      <c r="VWW42" s="285"/>
      <c r="VWX42" s="285"/>
      <c r="VWY42" s="285"/>
      <c r="VWZ42" s="285"/>
      <c r="VXA42" s="285"/>
      <c r="VXB42" s="285"/>
      <c r="VXC42" s="285"/>
      <c r="VXD42" s="285"/>
      <c r="VXE42" s="285"/>
      <c r="VXF42" s="285"/>
      <c r="VXG42" s="285"/>
      <c r="VXH42" s="285"/>
      <c r="VXI42" s="285"/>
      <c r="VXJ42" s="285"/>
      <c r="VXK42" s="285"/>
      <c r="VXL42" s="285"/>
      <c r="VXM42" s="285"/>
      <c r="VXN42" s="285"/>
      <c r="VXO42" s="285"/>
      <c r="VXP42" s="285"/>
      <c r="VXQ42" s="285"/>
      <c r="VXR42" s="285"/>
      <c r="VXS42" s="285"/>
      <c r="VXT42" s="285"/>
      <c r="VXU42" s="285"/>
      <c r="VXV42" s="285"/>
      <c r="VXW42" s="285"/>
      <c r="VXX42" s="285"/>
      <c r="VXY42" s="285"/>
      <c r="VXZ42" s="285"/>
      <c r="VYA42" s="285"/>
      <c r="VYB42" s="285"/>
      <c r="VYC42" s="285"/>
      <c r="VYD42" s="285"/>
      <c r="VYE42" s="285"/>
      <c r="VYF42" s="285"/>
      <c r="VYG42" s="285"/>
      <c r="VYH42" s="285"/>
      <c r="VYI42" s="285"/>
      <c r="VYJ42" s="285"/>
      <c r="VYK42" s="285"/>
      <c r="VYL42" s="285"/>
      <c r="VYM42" s="285"/>
      <c r="VYN42" s="285"/>
      <c r="VYO42" s="285"/>
      <c r="VYP42" s="285"/>
      <c r="VYQ42" s="285"/>
      <c r="VYR42" s="285"/>
      <c r="VYS42" s="285"/>
      <c r="VYT42" s="285"/>
      <c r="VYU42" s="285"/>
      <c r="VYV42" s="285"/>
      <c r="VYW42" s="285"/>
      <c r="VYX42" s="285"/>
      <c r="VYY42" s="285"/>
      <c r="VYZ42" s="285"/>
      <c r="VZA42" s="285"/>
      <c r="VZB42" s="285"/>
      <c r="VZC42" s="285"/>
      <c r="VZD42" s="285"/>
      <c r="VZE42" s="285"/>
      <c r="VZF42" s="285"/>
      <c r="VZG42" s="285"/>
      <c r="VZH42" s="285"/>
      <c r="VZI42" s="285"/>
      <c r="VZJ42" s="285"/>
      <c r="VZK42" s="285"/>
      <c r="VZL42" s="285"/>
      <c r="VZM42" s="285"/>
      <c r="VZN42" s="285"/>
      <c r="VZO42" s="285"/>
      <c r="VZP42" s="285"/>
      <c r="VZQ42" s="285"/>
      <c r="VZR42" s="285"/>
      <c r="VZS42" s="285"/>
      <c r="VZT42" s="285"/>
      <c r="VZU42" s="285"/>
      <c r="VZV42" s="285"/>
      <c r="VZW42" s="285"/>
      <c r="VZX42" s="285"/>
      <c r="VZY42" s="285"/>
      <c r="VZZ42" s="285"/>
      <c r="WAA42" s="285"/>
      <c r="WAB42" s="285"/>
      <c r="WAC42" s="285"/>
      <c r="WAD42" s="285"/>
      <c r="WAE42" s="285"/>
      <c r="WAF42" s="285"/>
      <c r="WAG42" s="285"/>
      <c r="WAH42" s="285"/>
      <c r="WAI42" s="285"/>
      <c r="WAJ42" s="285"/>
      <c r="WAK42" s="285"/>
      <c r="WAL42" s="285"/>
      <c r="WAM42" s="285"/>
      <c r="WAN42" s="285"/>
      <c r="WAO42" s="285"/>
      <c r="WAP42" s="285"/>
      <c r="WAQ42" s="285"/>
      <c r="WAR42" s="285"/>
      <c r="WAS42" s="285"/>
      <c r="WAT42" s="285"/>
      <c r="WAU42" s="285"/>
      <c r="WAV42" s="285"/>
      <c r="WAW42" s="285"/>
      <c r="WAX42" s="285"/>
      <c r="WAY42" s="285"/>
      <c r="WAZ42" s="285"/>
      <c r="WBA42" s="285"/>
      <c r="WBB42" s="285"/>
      <c r="WBC42" s="285"/>
      <c r="WBD42" s="285"/>
      <c r="WBE42" s="285"/>
      <c r="WBF42" s="285"/>
      <c r="WBG42" s="285"/>
      <c r="WBH42" s="285"/>
      <c r="WBI42" s="285"/>
      <c r="WBJ42" s="285"/>
      <c r="WBK42" s="285"/>
      <c r="WBL42" s="285"/>
      <c r="WBM42" s="285"/>
      <c r="WBN42" s="285"/>
      <c r="WBO42" s="285"/>
      <c r="WBP42" s="285"/>
      <c r="WBQ42" s="285"/>
      <c r="WBR42" s="285"/>
      <c r="WBS42" s="285"/>
      <c r="WBT42" s="285"/>
      <c r="WBU42" s="285"/>
      <c r="WBV42" s="285"/>
      <c r="WBW42" s="285"/>
      <c r="WBX42" s="285"/>
      <c r="WBY42" s="285"/>
      <c r="WBZ42" s="285"/>
      <c r="WCA42" s="285"/>
      <c r="WCB42" s="285"/>
      <c r="WCC42" s="285"/>
      <c r="WCD42" s="285"/>
      <c r="WCE42" s="285"/>
      <c r="WCF42" s="285"/>
      <c r="WCG42" s="285"/>
      <c r="WCH42" s="285"/>
      <c r="WCI42" s="285"/>
      <c r="WCJ42" s="285"/>
      <c r="WCK42" s="285"/>
      <c r="WCL42" s="285"/>
      <c r="WCM42" s="285"/>
      <c r="WCN42" s="285"/>
      <c r="WCO42" s="285"/>
      <c r="WCP42" s="285"/>
      <c r="WCQ42" s="285"/>
      <c r="WCR42" s="285"/>
      <c r="WCS42" s="285"/>
      <c r="WCT42" s="285"/>
      <c r="WCU42" s="285"/>
      <c r="WCV42" s="285"/>
      <c r="WCW42" s="285"/>
      <c r="WCX42" s="285"/>
      <c r="WCY42" s="285"/>
      <c r="WCZ42" s="285"/>
      <c r="WDA42" s="285"/>
      <c r="WDB42" s="285"/>
      <c r="WDC42" s="285"/>
      <c r="WDD42" s="285"/>
      <c r="WDE42" s="285"/>
      <c r="WDF42" s="285"/>
      <c r="WDG42" s="285"/>
      <c r="WDH42" s="285"/>
      <c r="WDI42" s="285"/>
      <c r="WDJ42" s="285"/>
      <c r="WDK42" s="285"/>
      <c r="WDL42" s="285"/>
      <c r="WDM42" s="285"/>
      <c r="WDN42" s="285"/>
      <c r="WDO42" s="285"/>
      <c r="WDP42" s="285"/>
      <c r="WDQ42" s="285"/>
      <c r="WDR42" s="285"/>
      <c r="WDS42" s="285"/>
      <c r="WDT42" s="285"/>
      <c r="WDU42" s="285"/>
      <c r="WDV42" s="285"/>
      <c r="WDW42" s="285"/>
      <c r="WDX42" s="285"/>
      <c r="WDY42" s="285"/>
      <c r="WDZ42" s="285"/>
      <c r="WEA42" s="285"/>
      <c r="WEB42" s="285"/>
      <c r="WEC42" s="285"/>
      <c r="WED42" s="285"/>
      <c r="WEE42" s="285"/>
      <c r="WEF42" s="285"/>
      <c r="WEG42" s="285"/>
      <c r="WEH42" s="285"/>
      <c r="WEI42" s="285"/>
      <c r="WEJ42" s="285"/>
      <c r="WEK42" s="285"/>
      <c r="WEL42" s="285"/>
      <c r="WEM42" s="285"/>
      <c r="WEN42" s="285"/>
      <c r="WEO42" s="285"/>
      <c r="WEP42" s="285"/>
      <c r="WEQ42" s="285"/>
      <c r="WER42" s="285"/>
      <c r="WES42" s="285"/>
      <c r="WET42" s="285"/>
      <c r="WEU42" s="285"/>
      <c r="WEV42" s="285"/>
      <c r="WEW42" s="285"/>
      <c r="WEX42" s="285"/>
      <c r="WEY42" s="285"/>
      <c r="WEZ42" s="285"/>
      <c r="WFA42" s="285"/>
      <c r="WFB42" s="285"/>
      <c r="WFC42" s="285"/>
      <c r="WFD42" s="285"/>
      <c r="WFE42" s="285"/>
      <c r="WFF42" s="285"/>
      <c r="WFG42" s="285"/>
      <c r="WFH42" s="285"/>
      <c r="WFI42" s="285"/>
      <c r="WFJ42" s="285"/>
      <c r="WFK42" s="285"/>
      <c r="WFL42" s="285"/>
      <c r="WFM42" s="285"/>
      <c r="WFN42" s="285"/>
      <c r="WFO42" s="285"/>
      <c r="WFP42" s="285"/>
      <c r="WFQ42" s="285"/>
      <c r="WFR42" s="285"/>
      <c r="WFS42" s="285"/>
      <c r="WFT42" s="285"/>
      <c r="WFU42" s="285"/>
      <c r="WFV42" s="285"/>
      <c r="WFW42" s="285"/>
      <c r="WFX42" s="285"/>
      <c r="WFY42" s="285"/>
      <c r="WFZ42" s="285"/>
      <c r="WGA42" s="285"/>
      <c r="WGB42" s="285"/>
      <c r="WGC42" s="285"/>
      <c r="WGD42" s="285"/>
      <c r="WGE42" s="285"/>
      <c r="WGF42" s="285"/>
      <c r="WGG42" s="285"/>
      <c r="WGH42" s="285"/>
      <c r="WGI42" s="285"/>
      <c r="WGJ42" s="285"/>
      <c r="WGK42" s="285"/>
      <c r="WGL42" s="285"/>
      <c r="WGM42" s="285"/>
      <c r="WGN42" s="285"/>
      <c r="WGO42" s="285"/>
      <c r="WGP42" s="285"/>
      <c r="WGQ42" s="285"/>
      <c r="WGR42" s="285"/>
      <c r="WGS42" s="285"/>
      <c r="WGT42" s="285"/>
      <c r="WGU42" s="285"/>
      <c r="WGV42" s="285"/>
      <c r="WGW42" s="285"/>
      <c r="WGX42" s="285"/>
      <c r="WGY42" s="285"/>
      <c r="WGZ42" s="285"/>
      <c r="WHA42" s="285"/>
      <c r="WHB42" s="285"/>
      <c r="WHC42" s="285"/>
      <c r="WHD42" s="285"/>
      <c r="WHE42" s="285"/>
      <c r="WHF42" s="285"/>
      <c r="WHG42" s="285"/>
      <c r="WHH42" s="285"/>
      <c r="WHI42" s="285"/>
      <c r="WHJ42" s="285"/>
      <c r="WHK42" s="285"/>
      <c r="WHL42" s="285"/>
      <c r="WHM42" s="285"/>
      <c r="WHN42" s="285"/>
      <c r="WHO42" s="285"/>
      <c r="WHP42" s="285"/>
      <c r="WHQ42" s="285"/>
      <c r="WHR42" s="285"/>
      <c r="WHS42" s="285"/>
      <c r="WHT42" s="285"/>
      <c r="WHU42" s="285"/>
      <c r="WHV42" s="285"/>
      <c r="WHW42" s="285"/>
      <c r="WHX42" s="285"/>
      <c r="WHY42" s="285"/>
      <c r="WHZ42" s="285"/>
      <c r="WIA42" s="285"/>
      <c r="WIB42" s="285"/>
      <c r="WIC42" s="285"/>
      <c r="WID42" s="285"/>
      <c r="WIE42" s="285"/>
      <c r="WIF42" s="285"/>
      <c r="WIG42" s="285"/>
      <c r="WIH42" s="285"/>
      <c r="WII42" s="285"/>
      <c r="WIJ42" s="285"/>
      <c r="WIK42" s="285"/>
      <c r="WIL42" s="285"/>
      <c r="WIM42" s="285"/>
      <c r="WIN42" s="285"/>
      <c r="WIO42" s="285"/>
      <c r="WIP42" s="285"/>
      <c r="WIQ42" s="285"/>
      <c r="WIR42" s="285"/>
      <c r="WIS42" s="285"/>
      <c r="WIT42" s="285"/>
      <c r="WIU42" s="285"/>
      <c r="WIV42" s="285"/>
      <c r="WIW42" s="285"/>
      <c r="WIX42" s="285"/>
      <c r="WIY42" s="285"/>
      <c r="WIZ42" s="285"/>
      <c r="WJA42" s="285"/>
      <c r="WJB42" s="285"/>
      <c r="WJC42" s="285"/>
      <c r="WJD42" s="285"/>
      <c r="WJE42" s="285"/>
      <c r="WJF42" s="285"/>
      <c r="WJG42" s="285"/>
      <c r="WJH42" s="285"/>
      <c r="WJI42" s="285"/>
      <c r="WJJ42" s="285"/>
      <c r="WJK42" s="285"/>
      <c r="WJL42" s="285"/>
      <c r="WJM42" s="285"/>
      <c r="WJN42" s="285"/>
      <c r="WJO42" s="285"/>
      <c r="WJP42" s="285"/>
      <c r="WJQ42" s="285"/>
      <c r="WJR42" s="285"/>
      <c r="WJS42" s="285"/>
      <c r="WJT42" s="285"/>
      <c r="WJU42" s="285"/>
      <c r="WJV42" s="285"/>
      <c r="WJW42" s="285"/>
      <c r="WJX42" s="285"/>
      <c r="WJY42" s="285"/>
      <c r="WJZ42" s="285"/>
      <c r="WKA42" s="285"/>
      <c r="WKB42" s="285"/>
      <c r="WKC42" s="285"/>
      <c r="WKD42" s="285"/>
      <c r="WKE42" s="285"/>
      <c r="WKF42" s="285"/>
      <c r="WKG42" s="285"/>
      <c r="WKH42" s="285"/>
      <c r="WKI42" s="285"/>
      <c r="WKJ42" s="285"/>
      <c r="WKK42" s="285"/>
      <c r="WKL42" s="285"/>
      <c r="WKM42" s="285"/>
      <c r="WKN42" s="285"/>
      <c r="WKO42" s="285"/>
      <c r="WKP42" s="285"/>
      <c r="WKQ42" s="285"/>
      <c r="WKR42" s="285"/>
      <c r="WKS42" s="285"/>
      <c r="WKT42" s="285"/>
      <c r="WKU42" s="285"/>
      <c r="WKV42" s="285"/>
      <c r="WKW42" s="285"/>
      <c r="WKX42" s="285"/>
      <c r="WKY42" s="285"/>
      <c r="WKZ42" s="285"/>
      <c r="WLA42" s="285"/>
      <c r="WLB42" s="285"/>
      <c r="WLC42" s="285"/>
      <c r="WLD42" s="285"/>
      <c r="WLE42" s="285"/>
      <c r="WLF42" s="285"/>
      <c r="WLG42" s="285"/>
      <c r="WLH42" s="285"/>
      <c r="WLI42" s="285"/>
      <c r="WLJ42" s="285"/>
      <c r="WLK42" s="285"/>
      <c r="WLL42" s="285"/>
      <c r="WLM42" s="285"/>
      <c r="WLN42" s="285"/>
      <c r="WLO42" s="285"/>
      <c r="WLP42" s="285"/>
      <c r="WLQ42" s="285"/>
      <c r="WLR42" s="285"/>
      <c r="WLS42" s="285"/>
      <c r="WLT42" s="285"/>
      <c r="WLU42" s="285"/>
      <c r="WLV42" s="285"/>
      <c r="WLW42" s="285"/>
      <c r="WLX42" s="285"/>
      <c r="WLY42" s="285"/>
      <c r="WLZ42" s="285"/>
      <c r="WMA42" s="285"/>
      <c r="WMB42" s="285"/>
      <c r="WMC42" s="285"/>
      <c r="WMD42" s="285"/>
      <c r="WME42" s="285"/>
      <c r="WMF42" s="285"/>
      <c r="WMG42" s="285"/>
      <c r="WMH42" s="285"/>
      <c r="WMI42" s="285"/>
      <c r="WMJ42" s="285"/>
      <c r="WMK42" s="285"/>
      <c r="WML42" s="285"/>
      <c r="WMM42" s="285"/>
      <c r="WMN42" s="285"/>
      <c r="WMO42" s="285"/>
      <c r="WMP42" s="285"/>
      <c r="WMQ42" s="285"/>
      <c r="WMR42" s="285"/>
      <c r="WMS42" s="285"/>
      <c r="WMT42" s="285"/>
      <c r="WMU42" s="285"/>
      <c r="WMV42" s="285"/>
      <c r="WMW42" s="285"/>
      <c r="WMX42" s="285"/>
      <c r="WMY42" s="285"/>
      <c r="WMZ42" s="285"/>
      <c r="WNA42" s="285"/>
      <c r="WNB42" s="285"/>
      <c r="WNC42" s="285"/>
      <c r="WND42" s="285"/>
      <c r="WNE42" s="285"/>
      <c r="WNF42" s="285"/>
      <c r="WNG42" s="285"/>
      <c r="WNH42" s="285"/>
      <c r="WNI42" s="285"/>
      <c r="WNJ42" s="285"/>
      <c r="WNK42" s="285"/>
      <c r="WNL42" s="285"/>
      <c r="WNM42" s="285"/>
      <c r="WNN42" s="285"/>
      <c r="WNO42" s="285"/>
      <c r="WNP42" s="285"/>
      <c r="WNQ42" s="285"/>
      <c r="WNR42" s="285"/>
      <c r="WNS42" s="285"/>
      <c r="WNT42" s="285"/>
      <c r="WNU42" s="285"/>
      <c r="WNV42" s="285"/>
      <c r="WNW42" s="285"/>
      <c r="WNX42" s="285"/>
      <c r="WNY42" s="285"/>
      <c r="WNZ42" s="285"/>
      <c r="WOA42" s="285"/>
      <c r="WOB42" s="285"/>
      <c r="WOC42" s="285"/>
      <c r="WOD42" s="285"/>
      <c r="WOE42" s="285"/>
      <c r="WOF42" s="285"/>
      <c r="WOG42" s="285"/>
      <c r="WOH42" s="285"/>
      <c r="WOI42" s="285"/>
      <c r="WOJ42" s="285"/>
      <c r="WOK42" s="285"/>
      <c r="WOL42" s="285"/>
      <c r="WOM42" s="285"/>
      <c r="WON42" s="285"/>
      <c r="WOO42" s="285"/>
      <c r="WOP42" s="285"/>
      <c r="WOQ42" s="285"/>
      <c r="WOR42" s="285"/>
      <c r="WOS42" s="285"/>
      <c r="WOT42" s="285"/>
      <c r="WOU42" s="285"/>
      <c r="WOV42" s="285"/>
      <c r="WOW42" s="285"/>
      <c r="WOX42" s="285"/>
      <c r="WOY42" s="285"/>
      <c r="WOZ42" s="285"/>
      <c r="WPA42" s="285"/>
      <c r="WPB42" s="285"/>
      <c r="WPC42" s="285"/>
      <c r="WPD42" s="285"/>
      <c r="WPE42" s="285"/>
      <c r="WPF42" s="285"/>
      <c r="WPG42" s="285"/>
      <c r="WPH42" s="285"/>
      <c r="WPI42" s="285"/>
      <c r="WPJ42" s="285"/>
      <c r="WPK42" s="285"/>
      <c r="WPL42" s="285"/>
      <c r="WPM42" s="285"/>
      <c r="WPN42" s="285"/>
      <c r="WPO42" s="285"/>
      <c r="WPP42" s="285"/>
      <c r="WPQ42" s="285"/>
      <c r="WPR42" s="285"/>
      <c r="WPS42" s="285"/>
      <c r="WPT42" s="285"/>
      <c r="WPU42" s="285"/>
      <c r="WPV42" s="285"/>
      <c r="WPW42" s="285"/>
      <c r="WPX42" s="285"/>
      <c r="WPY42" s="285"/>
      <c r="WPZ42" s="285"/>
      <c r="WQA42" s="285"/>
      <c r="WQB42" s="285"/>
      <c r="WQC42" s="285"/>
      <c r="WQD42" s="285"/>
      <c r="WQE42" s="285"/>
      <c r="WQF42" s="285"/>
      <c r="WQG42" s="285"/>
      <c r="WQH42" s="285"/>
      <c r="WQI42" s="285"/>
      <c r="WQJ42" s="285"/>
      <c r="WQK42" s="285"/>
      <c r="WQL42" s="285"/>
      <c r="WQM42" s="285"/>
      <c r="WQN42" s="285"/>
      <c r="WQO42" s="285"/>
      <c r="WQP42" s="285"/>
      <c r="WQQ42" s="285"/>
      <c r="WQR42" s="285"/>
      <c r="WQS42" s="285"/>
      <c r="WQT42" s="285"/>
      <c r="WQU42" s="285"/>
      <c r="WQV42" s="285"/>
      <c r="WQW42" s="285"/>
      <c r="WQX42" s="285"/>
      <c r="WQY42" s="285"/>
      <c r="WQZ42" s="285"/>
      <c r="WRA42" s="285"/>
      <c r="WRB42" s="285"/>
      <c r="WRC42" s="285"/>
      <c r="WRD42" s="285"/>
      <c r="WRE42" s="285"/>
      <c r="WRF42" s="285"/>
      <c r="WRG42" s="285"/>
      <c r="WRH42" s="285"/>
      <c r="WRI42" s="285"/>
      <c r="WRJ42" s="285"/>
      <c r="WRK42" s="285"/>
      <c r="WRL42" s="285"/>
      <c r="WRM42" s="285"/>
      <c r="WRN42" s="285"/>
      <c r="WRO42" s="285"/>
      <c r="WRP42" s="285"/>
      <c r="WRQ42" s="285"/>
      <c r="WRR42" s="285"/>
      <c r="WRS42" s="285"/>
      <c r="WRT42" s="285"/>
      <c r="WRU42" s="285"/>
      <c r="WRV42" s="285"/>
      <c r="WRW42" s="285"/>
      <c r="WRX42" s="285"/>
      <c r="WRY42" s="285"/>
      <c r="WRZ42" s="285"/>
      <c r="WSA42" s="285"/>
      <c r="WSB42" s="285"/>
      <c r="WSC42" s="285"/>
      <c r="WSD42" s="285"/>
      <c r="WSE42" s="285"/>
      <c r="WSF42" s="285"/>
      <c r="WSG42" s="285"/>
      <c r="WSH42" s="285"/>
      <c r="WSI42" s="285"/>
      <c r="WSJ42" s="285"/>
      <c r="WSK42" s="285"/>
      <c r="WSL42" s="285"/>
      <c r="WSM42" s="285"/>
      <c r="WSN42" s="285"/>
      <c r="WSO42" s="285"/>
      <c r="WSP42" s="285"/>
      <c r="WSQ42" s="285"/>
      <c r="WSR42" s="285"/>
      <c r="WSS42" s="285"/>
      <c r="WST42" s="285"/>
      <c r="WSU42" s="285"/>
      <c r="WSV42" s="285"/>
      <c r="WSW42" s="285"/>
      <c r="WSX42" s="285"/>
      <c r="WSY42" s="285"/>
      <c r="WSZ42" s="285"/>
      <c r="WTA42" s="285"/>
      <c r="WTB42" s="285"/>
      <c r="WTC42" s="285"/>
      <c r="WTD42" s="285"/>
      <c r="WTE42" s="285"/>
      <c r="WTF42" s="285"/>
      <c r="WTG42" s="285"/>
      <c r="WTH42" s="285"/>
      <c r="WTI42" s="285"/>
      <c r="WTJ42" s="285"/>
      <c r="WTK42" s="285"/>
      <c r="WTL42" s="285"/>
      <c r="WTM42" s="285"/>
      <c r="WTN42" s="285"/>
      <c r="WTO42" s="285"/>
      <c r="WTP42" s="285"/>
      <c r="WTQ42" s="285"/>
      <c r="WTR42" s="285"/>
      <c r="WTS42" s="285"/>
      <c r="WTT42" s="285"/>
      <c r="WTU42" s="285"/>
      <c r="WTV42" s="285"/>
      <c r="WTW42" s="285"/>
      <c r="WTX42" s="285"/>
      <c r="WTY42" s="285"/>
      <c r="WTZ42" s="285"/>
      <c r="WUA42" s="285"/>
      <c r="WUB42" s="285"/>
      <c r="WUC42" s="285"/>
      <c r="WUD42" s="285"/>
      <c r="WUE42" s="285"/>
      <c r="WUF42" s="285"/>
      <c r="WUG42" s="285"/>
      <c r="WUH42" s="285"/>
      <c r="WUI42" s="285"/>
      <c r="WUJ42" s="285"/>
      <c r="WUK42" s="285"/>
      <c r="WUL42" s="285"/>
      <c r="WUM42" s="285"/>
      <c r="WUN42" s="285"/>
      <c r="WUO42" s="285"/>
      <c r="WUP42" s="285"/>
      <c r="WUQ42" s="285"/>
      <c r="WUR42" s="285"/>
      <c r="WUS42" s="285"/>
      <c r="WUT42" s="285"/>
      <c r="WUU42" s="285"/>
      <c r="WUV42" s="285"/>
      <c r="WUW42" s="285"/>
      <c r="WUX42" s="285"/>
      <c r="WUY42" s="285"/>
      <c r="WUZ42" s="285"/>
      <c r="WVA42" s="285"/>
      <c r="WVB42" s="285"/>
      <c r="WVC42" s="285"/>
      <c r="WVD42" s="285"/>
      <c r="WVE42" s="285"/>
      <c r="WVF42" s="285"/>
      <c r="WVG42" s="285"/>
      <c r="WVH42" s="285"/>
      <c r="WVI42" s="285"/>
      <c r="WVJ42" s="285"/>
      <c r="WVK42" s="285"/>
      <c r="WVL42" s="285"/>
      <c r="WVM42" s="285"/>
      <c r="WVN42" s="285"/>
      <c r="WVO42" s="285"/>
      <c r="WVP42" s="285"/>
      <c r="WVQ42" s="285"/>
      <c r="WVR42" s="285"/>
      <c r="WVS42" s="285"/>
      <c r="WVT42" s="285"/>
      <c r="WVU42" s="285"/>
      <c r="WVV42" s="285"/>
      <c r="WVW42" s="285"/>
      <c r="WVX42" s="285"/>
      <c r="WVY42" s="285"/>
      <c r="WVZ42" s="285"/>
      <c r="WWA42" s="285"/>
      <c r="WWB42" s="285"/>
      <c r="WWC42" s="285"/>
      <c r="WWD42" s="285"/>
      <c r="WWE42" s="285"/>
      <c r="WWF42" s="285"/>
      <c r="WWG42" s="285"/>
      <c r="WWH42" s="285"/>
      <c r="WWI42" s="285"/>
      <c r="WWJ42" s="285"/>
      <c r="WWK42" s="285"/>
      <c r="WWL42" s="285"/>
      <c r="WWM42" s="285"/>
      <c r="WWN42" s="285"/>
      <c r="WWO42" s="285"/>
      <c r="WWP42" s="285"/>
      <c r="WWQ42" s="285"/>
      <c r="WWR42" s="285"/>
      <c r="WWS42" s="285"/>
      <c r="WWT42" s="285"/>
      <c r="WWU42" s="285"/>
      <c r="WWV42" s="285"/>
      <c r="WWW42" s="285"/>
      <c r="WWX42" s="285"/>
      <c r="WWY42" s="285"/>
      <c r="WWZ42" s="285"/>
      <c r="WXA42" s="285"/>
      <c r="WXB42" s="285"/>
      <c r="WXC42" s="285"/>
      <c r="WXD42" s="285"/>
      <c r="WXE42" s="285"/>
      <c r="WXF42" s="285"/>
      <c r="WXG42" s="285"/>
      <c r="WXH42" s="285"/>
      <c r="WXI42" s="285"/>
      <c r="WXJ42" s="285"/>
      <c r="WXK42" s="285"/>
      <c r="WXL42" s="285"/>
      <c r="WXM42" s="285"/>
      <c r="WXN42" s="285"/>
      <c r="WXO42" s="285"/>
      <c r="WXP42" s="285"/>
      <c r="WXQ42" s="285"/>
      <c r="WXR42" s="285"/>
      <c r="WXS42" s="285"/>
      <c r="WXT42" s="285"/>
      <c r="WXU42" s="285"/>
      <c r="WXV42" s="285"/>
      <c r="WXW42" s="285"/>
      <c r="WXX42" s="285"/>
      <c r="WXY42" s="285"/>
      <c r="WXZ42" s="285"/>
      <c r="WYA42" s="285"/>
      <c r="WYB42" s="285"/>
      <c r="WYC42" s="285"/>
      <c r="WYD42" s="285"/>
      <c r="WYE42" s="285"/>
      <c r="WYF42" s="285"/>
      <c r="WYG42" s="285"/>
      <c r="WYH42" s="285"/>
      <c r="WYI42" s="285"/>
      <c r="WYJ42" s="285"/>
      <c r="WYK42" s="285"/>
      <c r="WYL42" s="285"/>
      <c r="WYM42" s="285"/>
      <c r="WYN42" s="285"/>
      <c r="WYO42" s="285"/>
      <c r="WYP42" s="285"/>
      <c r="WYQ42" s="285"/>
      <c r="WYR42" s="285"/>
      <c r="WYS42" s="285"/>
      <c r="WYT42" s="285"/>
      <c r="WYU42" s="285"/>
      <c r="WYV42" s="285"/>
      <c r="WYW42" s="285"/>
      <c r="WYX42" s="285"/>
      <c r="WYY42" s="285"/>
      <c r="WYZ42" s="285"/>
      <c r="WZA42" s="285"/>
      <c r="WZB42" s="285"/>
      <c r="WZC42" s="285"/>
      <c r="WZD42" s="285"/>
      <c r="WZE42" s="285"/>
      <c r="WZF42" s="285"/>
      <c r="WZG42" s="285"/>
      <c r="WZH42" s="285"/>
      <c r="WZI42" s="285"/>
      <c r="WZJ42" s="285"/>
      <c r="WZK42" s="285"/>
      <c r="WZL42" s="285"/>
      <c r="WZM42" s="285"/>
      <c r="WZN42" s="285"/>
      <c r="WZO42" s="285"/>
      <c r="WZP42" s="285"/>
      <c r="WZQ42" s="285"/>
      <c r="WZR42" s="285"/>
      <c r="WZS42" s="285"/>
      <c r="WZT42" s="285"/>
      <c r="WZU42" s="285"/>
      <c r="WZV42" s="285"/>
      <c r="WZW42" s="285"/>
      <c r="WZX42" s="285"/>
      <c r="WZY42" s="285"/>
      <c r="WZZ42" s="285"/>
      <c r="XAA42" s="285"/>
      <c r="XAB42" s="285"/>
      <c r="XAC42" s="285"/>
      <c r="XAD42" s="285"/>
      <c r="XAE42" s="285"/>
      <c r="XAF42" s="285"/>
      <c r="XAG42" s="285"/>
      <c r="XAH42" s="285"/>
      <c r="XAI42" s="285"/>
      <c r="XAJ42" s="285"/>
      <c r="XAK42" s="285"/>
      <c r="XAL42" s="285"/>
      <c r="XAM42" s="285"/>
      <c r="XAN42" s="285"/>
      <c r="XAO42" s="285"/>
      <c r="XAP42" s="285"/>
      <c r="XAQ42" s="285"/>
      <c r="XAR42" s="285"/>
      <c r="XAS42" s="285"/>
      <c r="XAT42" s="285"/>
      <c r="XAU42" s="285"/>
      <c r="XAV42" s="285"/>
      <c r="XAW42" s="285"/>
      <c r="XAX42" s="285"/>
      <c r="XAY42" s="285"/>
      <c r="XAZ42" s="285"/>
      <c r="XBA42" s="285"/>
      <c r="XBB42" s="285"/>
      <c r="XBC42" s="285"/>
      <c r="XBD42" s="285"/>
      <c r="XBE42" s="285"/>
      <c r="XBF42" s="285"/>
      <c r="XBG42" s="285"/>
      <c r="XBH42" s="285"/>
      <c r="XBI42" s="285"/>
      <c r="XBJ42" s="285"/>
      <c r="XBK42" s="285"/>
      <c r="XBL42" s="285"/>
      <c r="XBM42" s="285"/>
      <c r="XBN42" s="285"/>
      <c r="XBO42" s="285"/>
      <c r="XBP42" s="285"/>
      <c r="XBQ42" s="285"/>
      <c r="XBR42" s="285"/>
      <c r="XBS42" s="285"/>
      <c r="XBT42" s="285"/>
      <c r="XBU42" s="285"/>
      <c r="XBV42" s="285"/>
      <c r="XBW42" s="285"/>
      <c r="XBX42" s="285"/>
      <c r="XBY42" s="285"/>
      <c r="XBZ42" s="285"/>
      <c r="XCA42" s="285"/>
      <c r="XCB42" s="285"/>
      <c r="XCC42" s="285"/>
      <c r="XCD42" s="285"/>
      <c r="XCE42" s="285"/>
      <c r="XCF42" s="285"/>
      <c r="XCG42" s="285"/>
      <c r="XCH42" s="285"/>
      <c r="XCI42" s="285"/>
      <c r="XCJ42" s="285"/>
      <c r="XCK42" s="285"/>
      <c r="XCL42" s="285"/>
      <c r="XCM42" s="285"/>
      <c r="XCN42" s="285"/>
      <c r="XCO42" s="285"/>
      <c r="XCP42" s="285"/>
      <c r="XCQ42" s="285"/>
      <c r="XCR42" s="285"/>
      <c r="XCS42" s="285"/>
      <c r="XCT42" s="285"/>
      <c r="XCU42" s="285"/>
      <c r="XCV42" s="285"/>
      <c r="XCW42" s="285"/>
      <c r="XCX42" s="285"/>
      <c r="XCY42" s="285"/>
      <c r="XCZ42" s="285"/>
      <c r="XDA42" s="285"/>
      <c r="XDB42" s="285"/>
      <c r="XDC42" s="285"/>
      <c r="XDD42" s="285"/>
      <c r="XDE42" s="285"/>
      <c r="XDF42" s="285"/>
      <c r="XDG42" s="285"/>
      <c r="XDH42" s="285"/>
      <c r="XDI42" s="285"/>
      <c r="XDJ42" s="285"/>
      <c r="XDK42" s="285"/>
      <c r="XDL42" s="285"/>
      <c r="XDM42" s="285"/>
      <c r="XDN42" s="285"/>
      <c r="XDO42" s="285"/>
      <c r="XDP42" s="285"/>
      <c r="XDQ42" s="285"/>
      <c r="XDR42" s="285"/>
      <c r="XDS42" s="285"/>
      <c r="XDT42" s="285"/>
      <c r="XDU42" s="285"/>
      <c r="XDV42" s="285"/>
      <c r="XDW42" s="285"/>
      <c r="XDX42" s="285"/>
      <c r="XDY42" s="285"/>
      <c r="XDZ42" s="285"/>
      <c r="XEA42" s="285"/>
      <c r="XEB42" s="285"/>
      <c r="XEC42" s="285"/>
      <c r="XED42" s="285"/>
      <c r="XEE42" s="285"/>
      <c r="XEF42" s="285"/>
      <c r="XEG42" s="285"/>
      <c r="XEH42" s="285"/>
      <c r="XEI42" s="285"/>
      <c r="XEJ42" s="285"/>
      <c r="XEK42" s="285"/>
      <c r="XEL42" s="285"/>
      <c r="XEM42" s="285"/>
      <c r="XEN42" s="285"/>
      <c r="XEO42" s="285"/>
      <c r="XEP42" s="285"/>
      <c r="XEQ42" s="285"/>
      <c r="XER42" s="285"/>
      <c r="XES42" s="285"/>
      <c r="XET42" s="285"/>
      <c r="XEU42" s="285"/>
      <c r="XEV42" s="285"/>
      <c r="XEW42" s="285"/>
      <c r="XEX42" s="285"/>
      <c r="XEY42" s="285"/>
      <c r="XEZ42" s="285"/>
      <c r="XFA42" s="285"/>
    </row>
    <row r="97" spans="4:13" x14ac:dyDescent="0.25">
      <c r="M97" s="338">
        <f>J97*K97*L97</f>
        <v>0</v>
      </c>
    </row>
    <row r="98" spans="4:13" ht="15.6" x14ac:dyDescent="0.3">
      <c r="D98" s="339"/>
      <c r="M98" s="338">
        <f t="shared" ref="M98:M103" si="1">J98*K98*L98</f>
        <v>0</v>
      </c>
    </row>
    <row r="99" spans="4:13" ht="15.6" x14ac:dyDescent="0.3">
      <c r="D99" s="339"/>
      <c r="M99" s="338">
        <f t="shared" si="1"/>
        <v>0</v>
      </c>
    </row>
    <row r="100" spans="4:13" ht="15.6" x14ac:dyDescent="0.3">
      <c r="D100" s="339"/>
      <c r="M100" s="338">
        <f t="shared" si="1"/>
        <v>0</v>
      </c>
    </row>
    <row r="101" spans="4:13" ht="15.6" x14ac:dyDescent="0.3">
      <c r="D101" s="339"/>
      <c r="M101" s="338">
        <f t="shared" si="1"/>
        <v>0</v>
      </c>
    </row>
    <row r="102" spans="4:13" ht="15.6" x14ac:dyDescent="0.3">
      <c r="D102" s="339"/>
      <c r="H102" s="340"/>
      <c r="M102" s="338">
        <f t="shared" si="1"/>
        <v>0</v>
      </c>
    </row>
    <row r="103" spans="4:13" ht="15.6" x14ac:dyDescent="0.3">
      <c r="D103" s="339"/>
      <c r="J103" s="335">
        <v>11.9</v>
      </c>
      <c r="M103" s="338">
        <f t="shared" si="1"/>
        <v>0</v>
      </c>
    </row>
    <row r="104" spans="4:13" ht="21" customHeight="1" x14ac:dyDescent="0.25"/>
    <row r="105" spans="4:13" x14ac:dyDescent="0.25">
      <c r="D105" s="341"/>
    </row>
    <row r="108" spans="4:13" x14ac:dyDescent="0.25">
      <c r="D108" s="342"/>
      <c r="K108" s="336">
        <v>218.3</v>
      </c>
    </row>
    <row r="109" spans="4:13" x14ac:dyDescent="0.25">
      <c r="D109" s="342"/>
      <c r="K109" s="336">
        <v>218.3</v>
      </c>
      <c r="M109" s="338">
        <f>J109*K109*L109</f>
        <v>0</v>
      </c>
    </row>
    <row r="112" spans="4:13" ht="15.6" x14ac:dyDescent="0.3">
      <c r="D112" s="339"/>
      <c r="K112" s="336">
        <v>215.3</v>
      </c>
    </row>
    <row r="113" spans="4:11" ht="15.6" x14ac:dyDescent="0.3">
      <c r="D113" s="339"/>
      <c r="K113" s="336">
        <v>215.3</v>
      </c>
    </row>
  </sheetData>
  <autoFilter ref="C5:L36" xr:uid="{00000000-0009-0000-0000-000023000000}"/>
  <mergeCells count="15">
    <mergeCell ref="C33:F33"/>
    <mergeCell ref="C36:F36"/>
    <mergeCell ref="C38:K38"/>
    <mergeCell ref="C1:L4"/>
    <mergeCell ref="A5:A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</mergeCells>
  <printOptions horizontalCentered="1"/>
  <pageMargins left="0.19685039370078741" right="0.19685039370078741" top="0.19685039370078741" bottom="0.98425196850393704" header="0.31496062992125984" footer="0.11811023622047245"/>
  <pageSetup paperSize="9" scale="63" fitToHeight="0" orientation="landscape" r:id="rId1"/>
  <headerFooter>
    <oddFooter>&amp;C&amp;G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B9E4-E925-45FD-B8C9-8EFA4E7E6DDB}">
  <sheetPr>
    <tabColor rgb="FF00B0F0"/>
    <pageSetUpPr fitToPage="1"/>
  </sheetPr>
  <dimension ref="A1:Q77"/>
  <sheetViews>
    <sheetView view="pageBreakPreview" topLeftCell="A53" zoomScale="55" zoomScaleNormal="85" zoomScaleSheetLayoutView="55" workbookViewId="0">
      <selection activeCell="J78" sqref="J78"/>
    </sheetView>
  </sheetViews>
  <sheetFormatPr defaultRowHeight="14.4" x14ac:dyDescent="0.3"/>
  <cols>
    <col min="2" max="2" width="22.6640625" customWidth="1"/>
    <col min="3" max="3" width="17.33203125" customWidth="1"/>
    <col min="4" max="4" width="20.77734375" bestFit="1" customWidth="1"/>
    <col min="5" max="5" width="14.88671875" customWidth="1"/>
    <col min="6" max="6" width="18.21875" customWidth="1"/>
    <col min="7" max="8" width="19.109375" customWidth="1"/>
    <col min="9" max="9" width="16.33203125" customWidth="1"/>
    <col min="10" max="10" width="27" customWidth="1"/>
    <col min="11" max="11" width="34.88671875" bestFit="1" customWidth="1"/>
    <col min="13" max="13" width="24.21875" customWidth="1"/>
    <col min="14" max="14" width="18" customWidth="1"/>
    <col min="15" max="15" width="23.6640625" customWidth="1"/>
    <col min="16" max="16" width="33.109375" customWidth="1"/>
  </cols>
  <sheetData>
    <row r="1" spans="1:17" ht="15.6" x14ac:dyDescent="0.3">
      <c r="A1" s="343"/>
      <c r="B1" s="807" t="s">
        <v>172</v>
      </c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344"/>
    </row>
    <row r="2" spans="1:17" ht="15.6" x14ac:dyDescent="0.3">
      <c r="A2" s="345"/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346"/>
    </row>
    <row r="3" spans="1:17" ht="15.6" x14ac:dyDescent="0.3">
      <c r="A3" s="345"/>
      <c r="B3" s="808"/>
      <c r="C3" s="808"/>
      <c r="D3" s="808"/>
      <c r="E3" s="808"/>
      <c r="F3" s="808"/>
      <c r="G3" s="808"/>
      <c r="H3" s="808"/>
      <c r="I3" s="808"/>
      <c r="J3" s="808"/>
      <c r="K3" s="808"/>
      <c r="L3" s="808"/>
      <c r="M3" s="808"/>
      <c r="N3" s="808"/>
      <c r="O3" s="808"/>
      <c r="P3" s="808"/>
      <c r="Q3" s="346"/>
    </row>
    <row r="4" spans="1:17" ht="27" customHeight="1" thickBot="1" x14ac:dyDescent="0.35">
      <c r="A4" s="345"/>
      <c r="B4" s="809"/>
      <c r="C4" s="809"/>
      <c r="D4" s="809"/>
      <c r="E4" s="809"/>
      <c r="F4" s="809"/>
      <c r="G4" s="809"/>
      <c r="H4" s="809"/>
      <c r="I4" s="809"/>
      <c r="J4" s="809"/>
      <c r="K4" s="809"/>
      <c r="L4" s="809"/>
      <c r="M4" s="809"/>
      <c r="N4" s="809"/>
      <c r="O4" s="809"/>
      <c r="P4" s="809"/>
      <c r="Q4" s="346"/>
    </row>
    <row r="5" spans="1:17" ht="30.6" customHeight="1" x14ac:dyDescent="0.3">
      <c r="A5" s="347"/>
      <c r="B5" s="348" t="s">
        <v>173</v>
      </c>
      <c r="C5" s="349" t="s">
        <v>62</v>
      </c>
      <c r="D5" s="350" t="s">
        <v>174</v>
      </c>
      <c r="E5" s="351" t="s">
        <v>175</v>
      </c>
      <c r="F5" s="351" t="s">
        <v>176</v>
      </c>
      <c r="G5" s="352" t="s">
        <v>177</v>
      </c>
      <c r="H5" s="353" t="s">
        <v>178</v>
      </c>
      <c r="I5" s="351" t="s">
        <v>65</v>
      </c>
      <c r="J5" s="353" t="s">
        <v>66</v>
      </c>
      <c r="K5" s="353" t="s">
        <v>179</v>
      </c>
      <c r="L5" s="353" t="s">
        <v>67</v>
      </c>
      <c r="M5" s="354" t="s">
        <v>68</v>
      </c>
      <c r="N5" s="355" t="s">
        <v>180</v>
      </c>
      <c r="O5" s="356" t="s">
        <v>181</v>
      </c>
      <c r="P5" s="357" t="s">
        <v>39</v>
      </c>
      <c r="Q5" s="358"/>
    </row>
    <row r="6" spans="1:17" ht="16.2" thickBot="1" x14ac:dyDescent="0.35">
      <c r="A6" s="347"/>
      <c r="B6" s="810"/>
      <c r="C6" s="811"/>
      <c r="D6" s="811"/>
      <c r="E6" s="811"/>
      <c r="F6" s="811"/>
      <c r="G6" s="811"/>
      <c r="H6" s="811"/>
      <c r="I6" s="811"/>
      <c r="J6" s="811"/>
      <c r="K6" s="811"/>
      <c r="L6" s="811"/>
      <c r="M6" s="811"/>
      <c r="N6" s="811"/>
      <c r="O6" s="811"/>
      <c r="P6" s="812"/>
      <c r="Q6" s="358"/>
    </row>
    <row r="7" spans="1:17" ht="21.6" thickBot="1" x14ac:dyDescent="0.45">
      <c r="A7" s="359"/>
      <c r="B7" s="813" t="s">
        <v>182</v>
      </c>
      <c r="C7" s="814"/>
      <c r="D7" s="814"/>
      <c r="E7" s="814"/>
      <c r="F7" s="814"/>
      <c r="G7" s="814"/>
      <c r="H7" s="814"/>
      <c r="I7" s="814"/>
      <c r="J7" s="814"/>
      <c r="K7" s="814"/>
      <c r="L7" s="814"/>
      <c r="M7" s="814"/>
      <c r="N7" s="814"/>
      <c r="O7" s="814"/>
      <c r="P7" s="815"/>
      <c r="Q7" s="360"/>
    </row>
    <row r="8" spans="1:17" ht="18.600000000000001" customHeight="1" thickBot="1" x14ac:dyDescent="0.45">
      <c r="A8" s="359"/>
      <c r="B8" s="816"/>
      <c r="C8" s="817"/>
      <c r="D8" s="817"/>
      <c r="E8" s="817"/>
      <c r="F8" s="817"/>
      <c r="G8" s="817"/>
      <c r="H8" s="817"/>
      <c r="I8" s="817"/>
      <c r="J8" s="817"/>
      <c r="K8" s="817"/>
      <c r="L8" s="817"/>
      <c r="M8" s="817"/>
      <c r="N8" s="817"/>
      <c r="O8" s="817"/>
      <c r="P8" s="818"/>
      <c r="Q8" s="360"/>
    </row>
    <row r="9" spans="1:17" ht="15.6" x14ac:dyDescent="0.3">
      <c r="A9" s="347"/>
      <c r="B9" s="361" t="s">
        <v>163</v>
      </c>
      <c r="C9" s="362">
        <v>46073</v>
      </c>
      <c r="D9" s="363">
        <v>518571</v>
      </c>
      <c r="E9" s="364">
        <v>2958</v>
      </c>
      <c r="F9" s="365" t="s">
        <v>183</v>
      </c>
      <c r="G9" s="366">
        <v>46084</v>
      </c>
      <c r="H9" s="363">
        <v>27866</v>
      </c>
      <c r="I9" s="364" t="s">
        <v>101</v>
      </c>
      <c r="J9" s="364" t="s">
        <v>184</v>
      </c>
      <c r="K9" s="364" t="s">
        <v>185</v>
      </c>
      <c r="L9" s="367" t="s">
        <v>186</v>
      </c>
      <c r="M9" s="368">
        <v>200.011</v>
      </c>
      <c r="N9" s="369">
        <v>5.69</v>
      </c>
      <c r="O9" s="369">
        <v>1138.06</v>
      </c>
      <c r="P9" s="370">
        <f t="shared" ref="P9:P35" si="0">O9</f>
        <v>1138.06</v>
      </c>
      <c r="Q9" s="358"/>
    </row>
    <row r="10" spans="1:17" ht="15.6" x14ac:dyDescent="0.3">
      <c r="A10" s="347"/>
      <c r="B10" s="361" t="s">
        <v>163</v>
      </c>
      <c r="C10" s="362">
        <v>46073</v>
      </c>
      <c r="D10" s="363">
        <v>518574</v>
      </c>
      <c r="E10" s="364">
        <v>2959</v>
      </c>
      <c r="F10" s="365" t="s">
        <v>183</v>
      </c>
      <c r="G10" s="366">
        <v>46084</v>
      </c>
      <c r="H10" s="363">
        <v>27866</v>
      </c>
      <c r="I10" s="364" t="s">
        <v>187</v>
      </c>
      <c r="J10" s="364" t="s">
        <v>184</v>
      </c>
      <c r="K10" s="364" t="s">
        <v>188</v>
      </c>
      <c r="L10" s="367" t="s">
        <v>186</v>
      </c>
      <c r="M10" s="368">
        <v>115.01300000000001</v>
      </c>
      <c r="N10" s="369">
        <v>5.59</v>
      </c>
      <c r="O10" s="369">
        <v>642.91999999999996</v>
      </c>
      <c r="P10" s="370">
        <f t="shared" si="0"/>
        <v>642.91999999999996</v>
      </c>
      <c r="Q10" s="358"/>
    </row>
    <row r="11" spans="1:17" ht="15.6" x14ac:dyDescent="0.3">
      <c r="A11" s="347"/>
      <c r="B11" s="361" t="s">
        <v>163</v>
      </c>
      <c r="C11" s="362">
        <v>46073</v>
      </c>
      <c r="D11" s="363">
        <v>27262</v>
      </c>
      <c r="E11" s="364">
        <v>2960</v>
      </c>
      <c r="F11" s="365" t="s">
        <v>183</v>
      </c>
      <c r="G11" s="366">
        <v>46073</v>
      </c>
      <c r="H11" s="363">
        <v>27262</v>
      </c>
      <c r="I11" s="364" t="s">
        <v>189</v>
      </c>
      <c r="J11" s="364" t="s">
        <v>184</v>
      </c>
      <c r="K11" s="364" t="s">
        <v>188</v>
      </c>
      <c r="L11" s="367" t="s">
        <v>186</v>
      </c>
      <c r="M11" s="368">
        <v>200</v>
      </c>
      <c r="N11" s="369">
        <v>5.59</v>
      </c>
      <c r="O11" s="369">
        <v>1118</v>
      </c>
      <c r="P11" s="370">
        <f t="shared" si="0"/>
        <v>1118</v>
      </c>
      <c r="Q11" s="358"/>
    </row>
    <row r="12" spans="1:17" ht="15.6" x14ac:dyDescent="0.3">
      <c r="A12" s="347"/>
      <c r="B12" s="361" t="s">
        <v>163</v>
      </c>
      <c r="C12" s="362">
        <v>46073</v>
      </c>
      <c r="D12" s="363">
        <v>518810</v>
      </c>
      <c r="E12" s="364">
        <v>2961</v>
      </c>
      <c r="F12" s="365" t="s">
        <v>183</v>
      </c>
      <c r="G12" s="366">
        <v>46084</v>
      </c>
      <c r="H12" s="363">
        <v>27866</v>
      </c>
      <c r="I12" s="364" t="s">
        <v>190</v>
      </c>
      <c r="J12" s="364" t="s">
        <v>184</v>
      </c>
      <c r="K12" s="364" t="s">
        <v>188</v>
      </c>
      <c r="L12" s="367" t="s">
        <v>186</v>
      </c>
      <c r="M12" s="368">
        <v>186.38300000000001</v>
      </c>
      <c r="N12" s="369">
        <v>5.59</v>
      </c>
      <c r="O12" s="369">
        <v>1041.8800000000001</v>
      </c>
      <c r="P12" s="370">
        <f t="shared" si="0"/>
        <v>1041.8800000000001</v>
      </c>
      <c r="Q12" s="358"/>
    </row>
    <row r="13" spans="1:17" ht="15.6" x14ac:dyDescent="0.3">
      <c r="A13" s="347"/>
      <c r="B13" s="361" t="s">
        <v>163</v>
      </c>
      <c r="C13" s="362">
        <v>46076</v>
      </c>
      <c r="D13" s="363">
        <v>520044</v>
      </c>
      <c r="E13" s="364">
        <v>2966</v>
      </c>
      <c r="F13" s="365" t="s">
        <v>183</v>
      </c>
      <c r="G13" s="366">
        <v>46084</v>
      </c>
      <c r="H13" s="363">
        <v>27866</v>
      </c>
      <c r="I13" s="364" t="s">
        <v>191</v>
      </c>
      <c r="J13" s="364" t="s">
        <v>184</v>
      </c>
      <c r="K13" s="364" t="s">
        <v>188</v>
      </c>
      <c r="L13" s="367" t="s">
        <v>186</v>
      </c>
      <c r="M13" s="368">
        <v>174.21100000000001</v>
      </c>
      <c r="N13" s="369">
        <v>5.59</v>
      </c>
      <c r="O13" s="369">
        <v>973.83949000000007</v>
      </c>
      <c r="P13" s="370">
        <f t="shared" si="0"/>
        <v>973.83949000000007</v>
      </c>
      <c r="Q13" s="358"/>
    </row>
    <row r="14" spans="1:17" ht="15.6" x14ac:dyDescent="0.3">
      <c r="A14" s="347"/>
      <c r="B14" s="361" t="s">
        <v>163</v>
      </c>
      <c r="C14" s="362">
        <v>46077</v>
      </c>
      <c r="D14" s="363">
        <v>520265</v>
      </c>
      <c r="E14" s="364">
        <v>2968</v>
      </c>
      <c r="F14" s="365" t="s">
        <v>183</v>
      </c>
      <c r="G14" s="366">
        <v>46084</v>
      </c>
      <c r="H14" s="363">
        <v>27866</v>
      </c>
      <c r="I14" s="364" t="s">
        <v>192</v>
      </c>
      <c r="J14" s="364" t="s">
        <v>184</v>
      </c>
      <c r="K14" s="364" t="s">
        <v>185</v>
      </c>
      <c r="L14" s="367" t="s">
        <v>186</v>
      </c>
      <c r="M14" s="368">
        <v>157.00200000000001</v>
      </c>
      <c r="N14" s="369">
        <v>5.69</v>
      </c>
      <c r="O14" s="369">
        <v>893.34138000000007</v>
      </c>
      <c r="P14" s="370">
        <f t="shared" si="0"/>
        <v>893.34138000000007</v>
      </c>
      <c r="Q14" s="358"/>
    </row>
    <row r="15" spans="1:17" ht="15.6" x14ac:dyDescent="0.3">
      <c r="A15" s="347"/>
      <c r="B15" s="361" t="s">
        <v>163</v>
      </c>
      <c r="C15" s="362">
        <v>46077</v>
      </c>
      <c r="D15" s="363">
        <v>520430</v>
      </c>
      <c r="E15" s="364">
        <v>2970</v>
      </c>
      <c r="F15" s="365" t="s">
        <v>183</v>
      </c>
      <c r="G15" s="366">
        <v>46084</v>
      </c>
      <c r="H15" s="363">
        <v>27866</v>
      </c>
      <c r="I15" s="364" t="s">
        <v>193</v>
      </c>
      <c r="J15" s="364" t="s">
        <v>184</v>
      </c>
      <c r="K15" s="364" t="s">
        <v>188</v>
      </c>
      <c r="L15" s="367" t="s">
        <v>186</v>
      </c>
      <c r="M15" s="368">
        <v>300</v>
      </c>
      <c r="N15" s="369">
        <v>5.59</v>
      </c>
      <c r="O15" s="369">
        <v>1677</v>
      </c>
      <c r="P15" s="370">
        <f t="shared" si="0"/>
        <v>1677</v>
      </c>
      <c r="Q15" s="358"/>
    </row>
    <row r="16" spans="1:17" ht="15.6" x14ac:dyDescent="0.3">
      <c r="A16" s="347"/>
      <c r="B16" s="361" t="s">
        <v>163</v>
      </c>
      <c r="C16" s="362">
        <v>46077</v>
      </c>
      <c r="D16" s="363">
        <v>520491</v>
      </c>
      <c r="E16" s="364">
        <v>2972</v>
      </c>
      <c r="F16" s="365" t="s">
        <v>183</v>
      </c>
      <c r="G16" s="366">
        <v>46084</v>
      </c>
      <c r="H16" s="363">
        <v>27866</v>
      </c>
      <c r="I16" s="364" t="s">
        <v>122</v>
      </c>
      <c r="J16" s="364" t="s">
        <v>184</v>
      </c>
      <c r="K16" s="364" t="s">
        <v>185</v>
      </c>
      <c r="L16" s="367" t="s">
        <v>186</v>
      </c>
      <c r="M16" s="368">
        <v>154.95400000000001</v>
      </c>
      <c r="N16" s="369">
        <v>5.69</v>
      </c>
      <c r="O16" s="369">
        <v>881.69</v>
      </c>
      <c r="P16" s="370">
        <f t="shared" si="0"/>
        <v>881.69</v>
      </c>
      <c r="Q16" s="358"/>
    </row>
    <row r="17" spans="1:17" ht="15.6" x14ac:dyDescent="0.3">
      <c r="A17" s="347"/>
      <c r="B17" s="361" t="s">
        <v>163</v>
      </c>
      <c r="C17" s="362">
        <v>46077</v>
      </c>
      <c r="D17" s="363">
        <v>520545</v>
      </c>
      <c r="E17" s="364">
        <v>2973</v>
      </c>
      <c r="F17" s="365" t="s">
        <v>183</v>
      </c>
      <c r="G17" s="366">
        <v>46084</v>
      </c>
      <c r="H17" s="363">
        <v>27866</v>
      </c>
      <c r="I17" s="364" t="s">
        <v>194</v>
      </c>
      <c r="J17" s="364" t="s">
        <v>184</v>
      </c>
      <c r="K17" s="364" t="s">
        <v>185</v>
      </c>
      <c r="L17" s="367" t="s">
        <v>186</v>
      </c>
      <c r="M17" s="368">
        <v>194.09800000000001</v>
      </c>
      <c r="N17" s="369">
        <v>5.69</v>
      </c>
      <c r="O17" s="369">
        <v>1104.19</v>
      </c>
      <c r="P17" s="370">
        <f t="shared" si="0"/>
        <v>1104.19</v>
      </c>
      <c r="Q17" s="358"/>
    </row>
    <row r="18" spans="1:17" ht="15.6" x14ac:dyDescent="0.3">
      <c r="A18" s="347"/>
      <c r="B18" s="361" t="s">
        <v>163</v>
      </c>
      <c r="C18" s="362">
        <v>46077</v>
      </c>
      <c r="D18" s="363">
        <v>520550</v>
      </c>
      <c r="E18" s="364">
        <v>2974</v>
      </c>
      <c r="F18" s="365" t="s">
        <v>183</v>
      </c>
      <c r="G18" s="366">
        <v>46084</v>
      </c>
      <c r="H18" s="363">
        <v>27866</v>
      </c>
      <c r="I18" s="364" t="s">
        <v>138</v>
      </c>
      <c r="J18" s="364" t="s">
        <v>184</v>
      </c>
      <c r="K18" s="364" t="s">
        <v>188</v>
      </c>
      <c r="L18" s="367" t="s">
        <v>186</v>
      </c>
      <c r="M18" s="368">
        <v>79.948121645796064</v>
      </c>
      <c r="N18" s="369">
        <v>5.59</v>
      </c>
      <c r="O18" s="369">
        <v>446.91</v>
      </c>
      <c r="P18" s="370">
        <f t="shared" si="0"/>
        <v>446.91</v>
      </c>
      <c r="Q18" s="358"/>
    </row>
    <row r="19" spans="1:17" ht="15.6" x14ac:dyDescent="0.3">
      <c r="A19" s="347"/>
      <c r="B19" s="361" t="s">
        <v>163</v>
      </c>
      <c r="C19" s="362">
        <v>46077</v>
      </c>
      <c r="D19" s="363">
        <v>520691</v>
      </c>
      <c r="E19" s="364">
        <v>2976</v>
      </c>
      <c r="F19" s="365" t="s">
        <v>183</v>
      </c>
      <c r="G19" s="366">
        <v>46084</v>
      </c>
      <c r="H19" s="363">
        <v>27866</v>
      </c>
      <c r="I19" s="364" t="s">
        <v>195</v>
      </c>
      <c r="J19" s="364" t="s">
        <v>184</v>
      </c>
      <c r="K19" s="364" t="s">
        <v>185</v>
      </c>
      <c r="L19" s="367" t="s">
        <v>186</v>
      </c>
      <c r="M19" s="368">
        <v>152.06899999999999</v>
      </c>
      <c r="N19" s="369">
        <v>5.69</v>
      </c>
      <c r="O19" s="369">
        <v>865.27</v>
      </c>
      <c r="P19" s="370">
        <f t="shared" si="0"/>
        <v>865.27</v>
      </c>
      <c r="Q19" s="358"/>
    </row>
    <row r="20" spans="1:17" ht="15.6" x14ac:dyDescent="0.3">
      <c r="A20" s="347"/>
      <c r="B20" s="361" t="s">
        <v>163</v>
      </c>
      <c r="C20" s="362">
        <v>46078</v>
      </c>
      <c r="D20" s="363">
        <v>520694</v>
      </c>
      <c r="E20" s="364">
        <v>2977</v>
      </c>
      <c r="F20" s="365" t="s">
        <v>183</v>
      </c>
      <c r="G20" s="366">
        <v>46084</v>
      </c>
      <c r="H20" s="363">
        <v>27866</v>
      </c>
      <c r="I20" s="364" t="s">
        <v>85</v>
      </c>
      <c r="J20" s="364" t="s">
        <v>184</v>
      </c>
      <c r="K20" s="364" t="s">
        <v>188</v>
      </c>
      <c r="L20" s="367" t="s">
        <v>186</v>
      </c>
      <c r="M20" s="368">
        <v>150</v>
      </c>
      <c r="N20" s="369">
        <v>5.59</v>
      </c>
      <c r="O20" s="369">
        <v>838.5</v>
      </c>
      <c r="P20" s="370">
        <f t="shared" si="0"/>
        <v>838.5</v>
      </c>
      <c r="Q20" s="358"/>
    </row>
    <row r="21" spans="1:17" ht="15.6" x14ac:dyDescent="0.3">
      <c r="A21" s="347"/>
      <c r="B21" s="361" t="s">
        <v>163</v>
      </c>
      <c r="C21" s="362">
        <v>46078</v>
      </c>
      <c r="D21" s="363">
        <v>520706</v>
      </c>
      <c r="E21" s="364">
        <v>2978</v>
      </c>
      <c r="F21" s="365" t="s">
        <v>183</v>
      </c>
      <c r="G21" s="366">
        <v>46084</v>
      </c>
      <c r="H21" s="363">
        <v>27866</v>
      </c>
      <c r="I21" s="364" t="s">
        <v>133</v>
      </c>
      <c r="J21" s="364" t="s">
        <v>184</v>
      </c>
      <c r="K21" s="364" t="s">
        <v>185</v>
      </c>
      <c r="L21" s="367" t="s">
        <v>186</v>
      </c>
      <c r="M21" s="368">
        <v>190.053</v>
      </c>
      <c r="N21" s="369">
        <v>5.69</v>
      </c>
      <c r="O21" s="369">
        <v>1081.4000000000001</v>
      </c>
      <c r="P21" s="370">
        <f t="shared" si="0"/>
        <v>1081.4000000000001</v>
      </c>
      <c r="Q21" s="358"/>
    </row>
    <row r="22" spans="1:17" ht="15.6" x14ac:dyDescent="0.3">
      <c r="A22" s="347"/>
      <c r="B22" s="361" t="s">
        <v>163</v>
      </c>
      <c r="C22" s="362">
        <v>46078</v>
      </c>
      <c r="D22" s="363">
        <v>520785</v>
      </c>
      <c r="E22" s="364">
        <v>2980</v>
      </c>
      <c r="F22" s="365" t="s">
        <v>183</v>
      </c>
      <c r="G22" s="366">
        <v>46084</v>
      </c>
      <c r="H22" s="363">
        <v>27866</v>
      </c>
      <c r="I22" s="364" t="s">
        <v>196</v>
      </c>
      <c r="J22" s="364" t="s">
        <v>184</v>
      </c>
      <c r="K22" s="364" t="s">
        <v>185</v>
      </c>
      <c r="L22" s="367" t="s">
        <v>186</v>
      </c>
      <c r="M22" s="368">
        <v>80.61</v>
      </c>
      <c r="N22" s="369">
        <v>5.59</v>
      </c>
      <c r="O22" s="369">
        <v>458.67</v>
      </c>
      <c r="P22" s="370">
        <f t="shared" si="0"/>
        <v>458.67</v>
      </c>
      <c r="Q22" s="358"/>
    </row>
    <row r="23" spans="1:17" ht="15.6" x14ac:dyDescent="0.3">
      <c r="A23" s="347"/>
      <c r="B23" s="361" t="s">
        <v>163</v>
      </c>
      <c r="C23" s="362">
        <v>46078</v>
      </c>
      <c r="D23" s="363">
        <v>520929</v>
      </c>
      <c r="E23" s="364">
        <v>2981</v>
      </c>
      <c r="F23" s="365" t="s">
        <v>183</v>
      </c>
      <c r="G23" s="366">
        <v>46084</v>
      </c>
      <c r="H23" s="363">
        <v>27866</v>
      </c>
      <c r="I23" s="364" t="s">
        <v>190</v>
      </c>
      <c r="J23" s="364" t="s">
        <v>184</v>
      </c>
      <c r="K23" s="364" t="s">
        <v>185</v>
      </c>
      <c r="L23" s="367" t="s">
        <v>186</v>
      </c>
      <c r="M23" s="368">
        <v>220.81899999999999</v>
      </c>
      <c r="N23" s="369">
        <v>5.69</v>
      </c>
      <c r="O23" s="369">
        <v>1256.46011</v>
      </c>
      <c r="P23" s="370">
        <f t="shared" si="0"/>
        <v>1256.46011</v>
      </c>
      <c r="Q23" s="358"/>
    </row>
    <row r="24" spans="1:17" ht="15.6" x14ac:dyDescent="0.3">
      <c r="A24" s="347"/>
      <c r="B24" s="361" t="s">
        <v>163</v>
      </c>
      <c r="C24" s="362">
        <v>46078</v>
      </c>
      <c r="D24" s="363">
        <v>520948</v>
      </c>
      <c r="E24" s="364">
        <v>2982</v>
      </c>
      <c r="F24" s="365" t="s">
        <v>183</v>
      </c>
      <c r="G24" s="366">
        <v>46084</v>
      </c>
      <c r="H24" s="363">
        <v>27866</v>
      </c>
      <c r="I24" s="364" t="s">
        <v>191</v>
      </c>
      <c r="J24" s="364" t="s">
        <v>184</v>
      </c>
      <c r="K24" s="364" t="s">
        <v>185</v>
      </c>
      <c r="L24" s="367" t="s">
        <v>186</v>
      </c>
      <c r="M24" s="368">
        <v>216.00700000000001</v>
      </c>
      <c r="N24" s="369">
        <v>5.69</v>
      </c>
      <c r="O24" s="369">
        <v>1229.08</v>
      </c>
      <c r="P24" s="370">
        <f t="shared" si="0"/>
        <v>1229.08</v>
      </c>
      <c r="Q24" s="358"/>
    </row>
    <row r="25" spans="1:17" ht="15.6" x14ac:dyDescent="0.3">
      <c r="A25" s="347"/>
      <c r="B25" s="361" t="s">
        <v>163</v>
      </c>
      <c r="C25" s="362">
        <v>46079</v>
      </c>
      <c r="D25" s="363">
        <v>521161</v>
      </c>
      <c r="E25" s="364">
        <v>2984</v>
      </c>
      <c r="F25" s="365" t="s">
        <v>183</v>
      </c>
      <c r="G25" s="366">
        <v>46084</v>
      </c>
      <c r="H25" s="363">
        <v>27866</v>
      </c>
      <c r="I25" s="364" t="s">
        <v>122</v>
      </c>
      <c r="J25" s="364" t="s">
        <v>184</v>
      </c>
      <c r="K25" s="364" t="s">
        <v>185</v>
      </c>
      <c r="L25" s="367" t="s">
        <v>186</v>
      </c>
      <c r="M25" s="368">
        <v>145.554</v>
      </c>
      <c r="N25" s="369">
        <v>5.69</v>
      </c>
      <c r="O25" s="369">
        <v>828.2</v>
      </c>
      <c r="P25" s="370">
        <f t="shared" si="0"/>
        <v>828.2</v>
      </c>
      <c r="Q25" s="358"/>
    </row>
    <row r="26" spans="1:17" ht="15.6" x14ac:dyDescent="0.3">
      <c r="A26" s="347"/>
      <c r="B26" s="361" t="s">
        <v>163</v>
      </c>
      <c r="C26" s="362">
        <v>46079</v>
      </c>
      <c r="D26" s="363">
        <v>521225</v>
      </c>
      <c r="E26" s="364">
        <v>2985</v>
      </c>
      <c r="F26" s="365" t="s">
        <v>183</v>
      </c>
      <c r="G26" s="366">
        <v>46084</v>
      </c>
      <c r="H26" s="363">
        <v>27866</v>
      </c>
      <c r="I26" s="364" t="s">
        <v>194</v>
      </c>
      <c r="J26" s="364" t="s">
        <v>184</v>
      </c>
      <c r="K26" s="364" t="s">
        <v>185</v>
      </c>
      <c r="L26" s="367" t="s">
        <v>186</v>
      </c>
      <c r="M26" s="368">
        <v>94.016000000000005</v>
      </c>
      <c r="N26" s="369">
        <v>5.69</v>
      </c>
      <c r="O26" s="369">
        <v>534.95000000000005</v>
      </c>
      <c r="P26" s="370">
        <f t="shared" si="0"/>
        <v>534.95000000000005</v>
      </c>
      <c r="Q26" s="358"/>
    </row>
    <row r="27" spans="1:17" ht="15.6" x14ac:dyDescent="0.3">
      <c r="A27" s="347"/>
      <c r="B27" s="361" t="s">
        <v>163</v>
      </c>
      <c r="C27" s="362">
        <v>46080</v>
      </c>
      <c r="D27" s="363">
        <v>521247</v>
      </c>
      <c r="E27" s="364">
        <v>2986</v>
      </c>
      <c r="F27" s="365" t="s">
        <v>183</v>
      </c>
      <c r="G27" s="366">
        <v>46084</v>
      </c>
      <c r="H27" s="363">
        <v>27866</v>
      </c>
      <c r="I27" s="364" t="s">
        <v>192</v>
      </c>
      <c r="J27" s="364" t="s">
        <v>184</v>
      </c>
      <c r="K27" s="364" t="s">
        <v>185</v>
      </c>
      <c r="L27" s="367" t="s">
        <v>186</v>
      </c>
      <c r="M27" s="368">
        <v>199.422</v>
      </c>
      <c r="N27" s="369">
        <v>5.69</v>
      </c>
      <c r="O27" s="369">
        <v>1134.71</v>
      </c>
      <c r="P27" s="370">
        <f t="shared" si="0"/>
        <v>1134.71</v>
      </c>
      <c r="Q27" s="358"/>
    </row>
    <row r="28" spans="1:17" ht="15.6" x14ac:dyDescent="0.3">
      <c r="A28" s="347"/>
      <c r="B28" s="361" t="s">
        <v>163</v>
      </c>
      <c r="C28" s="362">
        <v>46080</v>
      </c>
      <c r="D28" s="363">
        <v>521310</v>
      </c>
      <c r="E28" s="364">
        <v>2987</v>
      </c>
      <c r="F28" s="365" t="s">
        <v>183</v>
      </c>
      <c r="G28" s="366">
        <v>46084</v>
      </c>
      <c r="H28" s="363">
        <v>27866</v>
      </c>
      <c r="I28" s="364" t="s">
        <v>195</v>
      </c>
      <c r="J28" s="364" t="s">
        <v>184</v>
      </c>
      <c r="K28" s="364" t="s">
        <v>185</v>
      </c>
      <c r="L28" s="367" t="s">
        <v>186</v>
      </c>
      <c r="M28" s="368">
        <v>69.001999999999995</v>
      </c>
      <c r="N28" s="369">
        <v>5.69</v>
      </c>
      <c r="O28" s="369">
        <v>392.62</v>
      </c>
      <c r="P28" s="370">
        <f t="shared" si="0"/>
        <v>392.62</v>
      </c>
      <c r="Q28" s="358"/>
    </row>
    <row r="29" spans="1:17" ht="15.6" x14ac:dyDescent="0.3">
      <c r="A29" s="347"/>
      <c r="B29" s="361" t="s">
        <v>163</v>
      </c>
      <c r="C29" s="362">
        <v>46080</v>
      </c>
      <c r="D29" s="363">
        <v>521780</v>
      </c>
      <c r="E29" s="364">
        <v>2991</v>
      </c>
      <c r="F29" s="365" t="s">
        <v>183</v>
      </c>
      <c r="G29" s="366">
        <v>46084</v>
      </c>
      <c r="H29" s="363">
        <v>27866</v>
      </c>
      <c r="I29" s="364" t="s">
        <v>187</v>
      </c>
      <c r="J29" s="364" t="s">
        <v>184</v>
      </c>
      <c r="K29" s="364" t="s">
        <v>188</v>
      </c>
      <c r="L29" s="367" t="s">
        <v>186</v>
      </c>
      <c r="M29" s="368">
        <v>68.572000000000003</v>
      </c>
      <c r="N29" s="369">
        <v>5.59</v>
      </c>
      <c r="O29" s="369">
        <v>383.32</v>
      </c>
      <c r="P29" s="370">
        <f t="shared" si="0"/>
        <v>383.32</v>
      </c>
      <c r="Q29" s="358"/>
    </row>
    <row r="30" spans="1:17" ht="15.6" x14ac:dyDescent="0.3">
      <c r="A30" s="347"/>
      <c r="B30" s="361" t="s">
        <v>163</v>
      </c>
      <c r="C30" s="362">
        <v>46080</v>
      </c>
      <c r="D30" s="363">
        <v>521805</v>
      </c>
      <c r="E30" s="364">
        <v>2992</v>
      </c>
      <c r="F30" s="365" t="s">
        <v>183</v>
      </c>
      <c r="G30" s="366">
        <v>46084</v>
      </c>
      <c r="H30" s="363">
        <v>27866</v>
      </c>
      <c r="I30" s="364" t="s">
        <v>191</v>
      </c>
      <c r="J30" s="364" t="s">
        <v>184</v>
      </c>
      <c r="K30" s="364" t="s">
        <v>188</v>
      </c>
      <c r="L30" s="367" t="s">
        <v>186</v>
      </c>
      <c r="M30" s="368">
        <v>174.21600000000001</v>
      </c>
      <c r="N30" s="369">
        <v>5.59</v>
      </c>
      <c r="O30" s="369">
        <v>973.87</v>
      </c>
      <c r="P30" s="370">
        <f t="shared" si="0"/>
        <v>973.87</v>
      </c>
      <c r="Q30" s="358"/>
    </row>
    <row r="31" spans="1:17" ht="15.6" x14ac:dyDescent="0.3">
      <c r="A31" s="347"/>
      <c r="B31" s="361" t="s">
        <v>163</v>
      </c>
      <c r="C31" s="362">
        <v>46080</v>
      </c>
      <c r="D31" s="363">
        <v>521813</v>
      </c>
      <c r="E31" s="364">
        <v>2993</v>
      </c>
      <c r="F31" s="365" t="s">
        <v>183</v>
      </c>
      <c r="G31" s="366">
        <v>46084</v>
      </c>
      <c r="H31" s="363">
        <v>27866</v>
      </c>
      <c r="I31" s="364" t="s">
        <v>189</v>
      </c>
      <c r="J31" s="364" t="s">
        <v>184</v>
      </c>
      <c r="K31" s="364" t="s">
        <v>185</v>
      </c>
      <c r="L31" s="367" t="s">
        <v>186</v>
      </c>
      <c r="M31" s="368">
        <v>100</v>
      </c>
      <c r="N31" s="369">
        <v>5.69</v>
      </c>
      <c r="O31" s="369">
        <v>569</v>
      </c>
      <c r="P31" s="370">
        <f t="shared" si="0"/>
        <v>569</v>
      </c>
      <c r="Q31" s="358"/>
    </row>
    <row r="32" spans="1:17" ht="15.6" x14ac:dyDescent="0.3">
      <c r="A32" s="347"/>
      <c r="B32" s="361" t="s">
        <v>163</v>
      </c>
      <c r="C32" s="362">
        <v>46080</v>
      </c>
      <c r="D32" s="363">
        <v>521834</v>
      </c>
      <c r="E32" s="364">
        <v>2994</v>
      </c>
      <c r="F32" s="365" t="s">
        <v>183</v>
      </c>
      <c r="G32" s="366">
        <v>46084</v>
      </c>
      <c r="H32" s="363">
        <v>27866</v>
      </c>
      <c r="I32" s="364" t="s">
        <v>85</v>
      </c>
      <c r="J32" s="364" t="s">
        <v>184</v>
      </c>
      <c r="K32" s="364" t="s">
        <v>188</v>
      </c>
      <c r="L32" s="367" t="s">
        <v>186</v>
      </c>
      <c r="M32" s="368">
        <v>100</v>
      </c>
      <c r="N32" s="369">
        <v>5.59</v>
      </c>
      <c r="O32" s="369">
        <v>559</v>
      </c>
      <c r="P32" s="370">
        <f t="shared" si="0"/>
        <v>559</v>
      </c>
      <c r="Q32" s="358"/>
    </row>
    <row r="33" spans="1:17" ht="15.6" x14ac:dyDescent="0.3">
      <c r="A33" s="347"/>
      <c r="B33" s="361" t="s">
        <v>163</v>
      </c>
      <c r="C33" s="362">
        <v>46080</v>
      </c>
      <c r="D33" s="363">
        <v>521835</v>
      </c>
      <c r="E33" s="364">
        <v>2995</v>
      </c>
      <c r="F33" s="365" t="s">
        <v>183</v>
      </c>
      <c r="G33" s="366">
        <v>46084</v>
      </c>
      <c r="H33" s="363">
        <v>27866</v>
      </c>
      <c r="I33" s="364" t="s">
        <v>197</v>
      </c>
      <c r="J33" s="364" t="s">
        <v>184</v>
      </c>
      <c r="K33" s="364" t="s">
        <v>188</v>
      </c>
      <c r="L33" s="367" t="s">
        <v>186</v>
      </c>
      <c r="M33" s="368">
        <v>123</v>
      </c>
      <c r="N33" s="369">
        <v>5.59</v>
      </c>
      <c r="O33" s="369">
        <v>687.57</v>
      </c>
      <c r="P33" s="370">
        <f t="shared" si="0"/>
        <v>687.57</v>
      </c>
      <c r="Q33" s="358"/>
    </row>
    <row r="34" spans="1:17" ht="15.6" x14ac:dyDescent="0.3">
      <c r="A34" s="347"/>
      <c r="B34" s="361" t="s">
        <v>163</v>
      </c>
      <c r="C34" s="362">
        <v>46080</v>
      </c>
      <c r="D34" s="363">
        <v>521901</v>
      </c>
      <c r="E34" s="364">
        <v>2996</v>
      </c>
      <c r="F34" s="365" t="s">
        <v>183</v>
      </c>
      <c r="G34" s="366">
        <v>46084</v>
      </c>
      <c r="H34" s="363">
        <v>27866</v>
      </c>
      <c r="I34" s="364" t="s">
        <v>122</v>
      </c>
      <c r="J34" s="364" t="s">
        <v>184</v>
      </c>
      <c r="K34" s="364" t="s">
        <v>185</v>
      </c>
      <c r="L34" s="367" t="s">
        <v>186</v>
      </c>
      <c r="M34" s="368">
        <v>133.005</v>
      </c>
      <c r="N34" s="369">
        <v>5.69</v>
      </c>
      <c r="O34" s="369">
        <v>756.8</v>
      </c>
      <c r="P34" s="370">
        <f t="shared" si="0"/>
        <v>756.8</v>
      </c>
      <c r="Q34" s="358"/>
    </row>
    <row r="35" spans="1:17" ht="15.6" x14ac:dyDescent="0.3">
      <c r="A35" s="347"/>
      <c r="B35" s="361" t="s">
        <v>163</v>
      </c>
      <c r="C35" s="362">
        <v>46080</v>
      </c>
      <c r="D35" s="363">
        <v>521913</v>
      </c>
      <c r="E35" s="364">
        <v>2997</v>
      </c>
      <c r="F35" s="365" t="s">
        <v>183</v>
      </c>
      <c r="G35" s="366">
        <v>46084</v>
      </c>
      <c r="H35" s="363">
        <v>27866</v>
      </c>
      <c r="I35" s="364" t="s">
        <v>138</v>
      </c>
      <c r="J35" s="364" t="s">
        <v>184</v>
      </c>
      <c r="K35" s="364" t="s">
        <v>188</v>
      </c>
      <c r="L35" s="367" t="s">
        <v>186</v>
      </c>
      <c r="M35" s="368">
        <v>100.08799999999999</v>
      </c>
      <c r="N35" s="369">
        <v>5.59</v>
      </c>
      <c r="O35" s="369">
        <v>559.49</v>
      </c>
      <c r="P35" s="370">
        <f t="shared" si="0"/>
        <v>559.49</v>
      </c>
      <c r="Q35" s="358"/>
    </row>
    <row r="36" spans="1:17" ht="15.6" x14ac:dyDescent="0.3">
      <c r="A36" s="347"/>
      <c r="B36" s="361" t="s">
        <v>163</v>
      </c>
      <c r="C36" s="362">
        <v>46072</v>
      </c>
      <c r="D36" s="363">
        <v>518406</v>
      </c>
      <c r="E36" s="364">
        <v>2955</v>
      </c>
      <c r="F36" s="365" t="s">
        <v>183</v>
      </c>
      <c r="G36" s="366">
        <v>46084</v>
      </c>
      <c r="H36" s="363">
        <v>27866</v>
      </c>
      <c r="I36" s="364" t="s">
        <v>198</v>
      </c>
      <c r="J36" s="364" t="s">
        <v>184</v>
      </c>
      <c r="K36" s="364" t="s">
        <v>185</v>
      </c>
      <c r="L36" s="367" t="s">
        <v>186</v>
      </c>
      <c r="M36" s="368">
        <v>300</v>
      </c>
      <c r="N36" s="369">
        <v>5.69</v>
      </c>
      <c r="O36" s="369">
        <v>1707</v>
      </c>
      <c r="P36" s="370">
        <v>1707</v>
      </c>
      <c r="Q36" s="358"/>
    </row>
    <row r="37" spans="1:17" ht="15.6" x14ac:dyDescent="0.3">
      <c r="A37" s="347"/>
      <c r="B37" s="361" t="s">
        <v>163</v>
      </c>
      <c r="C37" s="371">
        <v>46072</v>
      </c>
      <c r="D37" s="372">
        <v>518569</v>
      </c>
      <c r="E37" s="373">
        <v>2957</v>
      </c>
      <c r="F37" s="365" t="s">
        <v>183</v>
      </c>
      <c r="G37" s="371">
        <v>46084</v>
      </c>
      <c r="H37" s="373">
        <v>27866</v>
      </c>
      <c r="I37" s="371" t="s">
        <v>192</v>
      </c>
      <c r="J37" s="371" t="s">
        <v>184</v>
      </c>
      <c r="K37" s="371" t="s">
        <v>185</v>
      </c>
      <c r="L37" s="367" t="s">
        <v>186</v>
      </c>
      <c r="M37" s="374">
        <v>120.288</v>
      </c>
      <c r="N37" s="375">
        <v>5.69</v>
      </c>
      <c r="O37" s="375">
        <v>684.44</v>
      </c>
      <c r="P37" s="376">
        <v>684.44</v>
      </c>
      <c r="Q37" s="358"/>
    </row>
    <row r="38" spans="1:17" ht="15.6" x14ac:dyDescent="0.3">
      <c r="A38" s="347"/>
      <c r="B38" s="361" t="s">
        <v>163</v>
      </c>
      <c r="C38" s="371">
        <v>46066</v>
      </c>
      <c r="D38" s="372">
        <v>515600</v>
      </c>
      <c r="E38" s="373">
        <v>2872</v>
      </c>
      <c r="F38" s="365" t="s">
        <v>183</v>
      </c>
      <c r="G38" s="371">
        <v>46072</v>
      </c>
      <c r="H38" s="373">
        <v>27186</v>
      </c>
      <c r="I38" s="371" t="s">
        <v>195</v>
      </c>
      <c r="J38" s="371" t="s">
        <v>184</v>
      </c>
      <c r="K38" s="371" t="s">
        <v>185</v>
      </c>
      <c r="L38" s="367" t="s">
        <v>186</v>
      </c>
      <c r="M38" s="375">
        <v>115.002</v>
      </c>
      <c r="N38" s="375">
        <v>5.69</v>
      </c>
      <c r="O38" s="375">
        <v>654.36</v>
      </c>
      <c r="P38" s="376">
        <v>654.36</v>
      </c>
      <c r="Q38" s="358"/>
    </row>
    <row r="39" spans="1:17" ht="15.6" x14ac:dyDescent="0.3">
      <c r="A39" s="347"/>
      <c r="B39" s="377"/>
      <c r="C39" s="366"/>
      <c r="D39" s="363"/>
      <c r="E39" s="364"/>
      <c r="F39" s="365"/>
      <c r="G39" s="366"/>
      <c r="H39" s="363"/>
      <c r="I39" s="364"/>
      <c r="J39" s="364"/>
      <c r="K39" s="364"/>
      <c r="L39" s="367"/>
      <c r="M39" s="378"/>
      <c r="N39" s="369"/>
      <c r="O39" s="369"/>
      <c r="P39" s="370"/>
      <c r="Q39" s="358"/>
    </row>
    <row r="40" spans="1:17" ht="16.2" thickBot="1" x14ac:dyDescent="0.35">
      <c r="A40" s="347"/>
      <c r="B40" s="379"/>
      <c r="C40" s="380"/>
      <c r="D40" s="381"/>
      <c r="E40" s="382"/>
      <c r="F40" s="383"/>
      <c r="G40" s="380"/>
      <c r="H40" s="381"/>
      <c r="I40" s="382"/>
      <c r="J40" s="382"/>
      <c r="K40" s="382"/>
      <c r="L40" s="384"/>
      <c r="M40" s="385"/>
      <c r="N40" s="386"/>
      <c r="O40" s="386"/>
      <c r="P40" s="387"/>
      <c r="Q40" s="358"/>
    </row>
    <row r="41" spans="1:17" ht="21.6" thickBot="1" x14ac:dyDescent="0.45">
      <c r="A41" s="359"/>
      <c r="B41" s="819" t="s">
        <v>45</v>
      </c>
      <c r="C41" s="820"/>
      <c r="D41" s="820"/>
      <c r="E41" s="820"/>
      <c r="F41" s="820"/>
      <c r="G41" s="820"/>
      <c r="H41" s="820"/>
      <c r="I41" s="820"/>
      <c r="J41" s="820"/>
      <c r="K41" s="820"/>
      <c r="L41" s="820"/>
      <c r="M41" s="820"/>
      <c r="N41" s="821"/>
      <c r="O41" s="822">
        <f>SUM(P9:P40)</f>
        <v>26072.540979999998</v>
      </c>
      <c r="P41" s="823"/>
      <c r="Q41" s="360"/>
    </row>
    <row r="42" spans="1:17" ht="21.6" thickBot="1" x14ac:dyDescent="0.45">
      <c r="A42" s="359"/>
      <c r="B42" s="388"/>
      <c r="C42" s="389"/>
      <c r="D42" s="389"/>
      <c r="E42" s="389"/>
      <c r="F42" s="389"/>
      <c r="G42" s="389"/>
      <c r="H42" s="389"/>
      <c r="I42" s="389"/>
      <c r="J42" s="389"/>
      <c r="K42" s="389"/>
      <c r="L42" s="389"/>
      <c r="M42" s="389"/>
      <c r="N42" s="389"/>
      <c r="O42" s="390"/>
      <c r="P42" s="391"/>
      <c r="Q42" s="360"/>
    </row>
    <row r="43" spans="1:17" ht="21.6" thickBot="1" x14ac:dyDescent="0.45">
      <c r="A43" s="359"/>
      <c r="B43" s="779" t="s">
        <v>199</v>
      </c>
      <c r="C43" s="780"/>
      <c r="D43" s="780"/>
      <c r="E43" s="780"/>
      <c r="F43" s="780"/>
      <c r="G43" s="780"/>
      <c r="H43" s="780"/>
      <c r="I43" s="780"/>
      <c r="J43" s="780"/>
      <c r="K43" s="780"/>
      <c r="L43" s="780"/>
      <c r="M43" s="780"/>
      <c r="N43" s="781"/>
      <c r="O43" s="782"/>
      <c r="P43" s="783"/>
      <c r="Q43" s="360"/>
    </row>
    <row r="44" spans="1:17" ht="21.6" thickBot="1" x14ac:dyDescent="0.45">
      <c r="A44" s="359"/>
      <c r="B44" s="784"/>
      <c r="C44" s="785"/>
      <c r="D44" s="785"/>
      <c r="E44" s="785"/>
      <c r="F44" s="785"/>
      <c r="G44" s="785"/>
      <c r="H44" s="785"/>
      <c r="I44" s="785"/>
      <c r="J44" s="785"/>
      <c r="K44" s="785"/>
      <c r="L44" s="785"/>
      <c r="M44" s="785"/>
      <c r="N44" s="785"/>
      <c r="O44" s="785"/>
      <c r="P44" s="786"/>
      <c r="Q44" s="360"/>
    </row>
    <row r="45" spans="1:17" ht="21" x14ac:dyDescent="0.3">
      <c r="A45" s="359"/>
      <c r="B45" s="392" t="s">
        <v>200</v>
      </c>
      <c r="C45" s="393">
        <v>46063</v>
      </c>
      <c r="D45" s="394">
        <v>513983</v>
      </c>
      <c r="E45" s="395">
        <v>2839</v>
      </c>
      <c r="F45" s="396" t="s">
        <v>183</v>
      </c>
      <c r="G45" s="393">
        <v>46072</v>
      </c>
      <c r="H45" s="395">
        <v>27186</v>
      </c>
      <c r="I45" s="393" t="s">
        <v>107</v>
      </c>
      <c r="J45" s="393" t="s">
        <v>184</v>
      </c>
      <c r="K45" s="393" t="s">
        <v>185</v>
      </c>
      <c r="L45" s="397" t="s">
        <v>186</v>
      </c>
      <c r="M45" s="398">
        <v>170.35</v>
      </c>
      <c r="N45" s="398">
        <v>5.69</v>
      </c>
      <c r="O45" s="398">
        <v>969.29</v>
      </c>
      <c r="P45" s="399">
        <f>O45</f>
        <v>969.29</v>
      </c>
      <c r="Q45" s="360"/>
    </row>
    <row r="46" spans="1:17" ht="21" x14ac:dyDescent="0.3">
      <c r="A46" s="359"/>
      <c r="B46" s="400" t="s">
        <v>200</v>
      </c>
      <c r="C46" s="371">
        <v>46063</v>
      </c>
      <c r="D46" s="372">
        <v>513983</v>
      </c>
      <c r="E46" s="373">
        <v>2840</v>
      </c>
      <c r="F46" s="365" t="s">
        <v>183</v>
      </c>
      <c r="G46" s="371">
        <v>46072</v>
      </c>
      <c r="H46" s="373">
        <v>27186</v>
      </c>
      <c r="I46" s="371" t="s">
        <v>107</v>
      </c>
      <c r="J46" s="371" t="s">
        <v>184</v>
      </c>
      <c r="K46" s="371" t="s">
        <v>201</v>
      </c>
      <c r="L46" s="367" t="s">
        <v>186</v>
      </c>
      <c r="M46" s="375">
        <v>34</v>
      </c>
      <c r="N46" s="375">
        <v>3.09</v>
      </c>
      <c r="O46" s="375">
        <v>105.06</v>
      </c>
      <c r="P46" s="376">
        <f t="shared" ref="P46:P50" si="1">O46</f>
        <v>105.06</v>
      </c>
      <c r="Q46" s="360"/>
    </row>
    <row r="47" spans="1:17" ht="21" x14ac:dyDescent="0.3">
      <c r="A47" s="359"/>
      <c r="B47" s="400" t="s">
        <v>200</v>
      </c>
      <c r="C47" s="371">
        <v>46063</v>
      </c>
      <c r="D47" s="372">
        <v>513984</v>
      </c>
      <c r="E47" s="373">
        <v>2841</v>
      </c>
      <c r="F47" s="365" t="s">
        <v>183</v>
      </c>
      <c r="G47" s="371">
        <v>46072</v>
      </c>
      <c r="H47" s="373">
        <v>27186</v>
      </c>
      <c r="I47" s="371" t="s">
        <v>194</v>
      </c>
      <c r="J47" s="371" t="s">
        <v>184</v>
      </c>
      <c r="K47" s="371" t="s">
        <v>185</v>
      </c>
      <c r="L47" s="367" t="s">
        <v>186</v>
      </c>
      <c r="M47" s="375">
        <v>170.078</v>
      </c>
      <c r="N47" s="375">
        <v>5.69</v>
      </c>
      <c r="O47" s="375">
        <v>967.74</v>
      </c>
      <c r="P47" s="376">
        <f t="shared" si="1"/>
        <v>967.74</v>
      </c>
      <c r="Q47" s="360"/>
    </row>
    <row r="48" spans="1:17" ht="21" x14ac:dyDescent="0.3">
      <c r="A48" s="359"/>
      <c r="B48" s="400" t="s">
        <v>200</v>
      </c>
      <c r="C48" s="371">
        <v>46064</v>
      </c>
      <c r="D48" s="372">
        <v>514382</v>
      </c>
      <c r="E48" s="373">
        <v>2844</v>
      </c>
      <c r="F48" s="365" t="s">
        <v>183</v>
      </c>
      <c r="G48" s="371">
        <v>46072</v>
      </c>
      <c r="H48" s="373">
        <v>27186</v>
      </c>
      <c r="I48" s="371" t="s">
        <v>85</v>
      </c>
      <c r="J48" s="371" t="s">
        <v>184</v>
      </c>
      <c r="K48" s="371" t="s">
        <v>188</v>
      </c>
      <c r="L48" s="367" t="s">
        <v>186</v>
      </c>
      <c r="M48" s="375">
        <v>100</v>
      </c>
      <c r="N48" s="375">
        <v>5.59</v>
      </c>
      <c r="O48" s="375">
        <v>559</v>
      </c>
      <c r="P48" s="376">
        <f t="shared" si="1"/>
        <v>559</v>
      </c>
      <c r="Q48" s="360"/>
    </row>
    <row r="49" spans="1:17" ht="21" x14ac:dyDescent="0.3">
      <c r="A49" s="359"/>
      <c r="B49" s="400" t="s">
        <v>200</v>
      </c>
      <c r="C49" s="371">
        <v>46064</v>
      </c>
      <c r="D49" s="372">
        <v>514494</v>
      </c>
      <c r="E49" s="373">
        <v>2845</v>
      </c>
      <c r="F49" s="365" t="s">
        <v>183</v>
      </c>
      <c r="G49" s="371">
        <v>46072</v>
      </c>
      <c r="H49" s="373">
        <v>27186</v>
      </c>
      <c r="I49" s="371" t="s">
        <v>190</v>
      </c>
      <c r="J49" s="371" t="s">
        <v>184</v>
      </c>
      <c r="K49" s="371" t="s">
        <v>188</v>
      </c>
      <c r="L49" s="367" t="s">
        <v>186</v>
      </c>
      <c r="M49" s="375">
        <v>100</v>
      </c>
      <c r="N49" s="375">
        <v>5.59</v>
      </c>
      <c r="O49" s="375">
        <v>559</v>
      </c>
      <c r="P49" s="376">
        <f t="shared" si="1"/>
        <v>559</v>
      </c>
      <c r="Q49" s="360"/>
    </row>
    <row r="50" spans="1:17" ht="21" x14ac:dyDescent="0.3">
      <c r="A50" s="359"/>
      <c r="B50" s="400" t="s">
        <v>200</v>
      </c>
      <c r="C50" s="371">
        <v>46064</v>
      </c>
      <c r="D50" s="372">
        <v>514764</v>
      </c>
      <c r="E50" s="373">
        <v>2854</v>
      </c>
      <c r="F50" s="365" t="s">
        <v>183</v>
      </c>
      <c r="G50" s="371">
        <v>46072</v>
      </c>
      <c r="H50" s="373">
        <v>27186</v>
      </c>
      <c r="I50" s="371" t="s">
        <v>202</v>
      </c>
      <c r="J50" s="371" t="s">
        <v>184</v>
      </c>
      <c r="K50" s="371" t="s">
        <v>188</v>
      </c>
      <c r="L50" s="367" t="s">
        <v>186</v>
      </c>
      <c r="M50" s="375">
        <v>180.07300000000001</v>
      </c>
      <c r="N50" s="375">
        <v>5.59</v>
      </c>
      <c r="O50" s="375">
        <v>1006.61</v>
      </c>
      <c r="P50" s="376">
        <f t="shared" si="1"/>
        <v>1006.61</v>
      </c>
      <c r="Q50" s="360"/>
    </row>
    <row r="51" spans="1:17" ht="21" x14ac:dyDescent="0.3">
      <c r="A51" s="359"/>
      <c r="B51" s="400" t="s">
        <v>200</v>
      </c>
      <c r="C51" s="371">
        <v>46066</v>
      </c>
      <c r="D51" s="372">
        <v>515428</v>
      </c>
      <c r="E51" s="373">
        <v>2871</v>
      </c>
      <c r="F51" s="365" t="s">
        <v>183</v>
      </c>
      <c r="G51" s="371">
        <v>46072</v>
      </c>
      <c r="H51" s="373">
        <v>27186</v>
      </c>
      <c r="I51" s="371" t="s">
        <v>191</v>
      </c>
      <c r="J51" s="371" t="s">
        <v>184</v>
      </c>
      <c r="K51" s="371" t="s">
        <v>188</v>
      </c>
      <c r="L51" s="367" t="s">
        <v>186</v>
      </c>
      <c r="M51" s="375">
        <v>87.108999999999995</v>
      </c>
      <c r="N51" s="375">
        <v>5.59</v>
      </c>
      <c r="O51" s="375">
        <v>486.94</v>
      </c>
      <c r="P51" s="376">
        <v>486.94</v>
      </c>
      <c r="Q51" s="360"/>
    </row>
    <row r="52" spans="1:17" ht="21" x14ac:dyDescent="0.3">
      <c r="A52" s="359"/>
      <c r="B52" s="400" t="s">
        <v>200</v>
      </c>
      <c r="C52" s="371">
        <v>46069</v>
      </c>
      <c r="D52" s="372">
        <v>516937</v>
      </c>
      <c r="E52" s="373">
        <v>2940</v>
      </c>
      <c r="F52" s="365" t="s">
        <v>183</v>
      </c>
      <c r="G52" s="371">
        <v>46084</v>
      </c>
      <c r="H52" s="373">
        <v>27866</v>
      </c>
      <c r="I52" s="371" t="s">
        <v>101</v>
      </c>
      <c r="J52" s="371" t="s">
        <v>184</v>
      </c>
      <c r="K52" s="371" t="s">
        <v>185</v>
      </c>
      <c r="L52" s="367" t="s">
        <v>186</v>
      </c>
      <c r="M52" s="375">
        <v>143.86994727592267</v>
      </c>
      <c r="N52" s="375">
        <v>5.69</v>
      </c>
      <c r="O52" s="375">
        <v>818.62</v>
      </c>
      <c r="P52" s="376">
        <v>818.62</v>
      </c>
      <c r="Q52" s="360"/>
    </row>
    <row r="53" spans="1:17" ht="21" x14ac:dyDescent="0.3">
      <c r="A53" s="359"/>
      <c r="B53" s="400" t="s">
        <v>200</v>
      </c>
      <c r="C53" s="371">
        <v>46069</v>
      </c>
      <c r="D53" s="372">
        <v>516937</v>
      </c>
      <c r="E53" s="373">
        <v>2941</v>
      </c>
      <c r="F53" s="365" t="s">
        <v>183</v>
      </c>
      <c r="G53" s="371">
        <v>46084</v>
      </c>
      <c r="H53" s="373">
        <v>27866</v>
      </c>
      <c r="I53" s="371" t="s">
        <v>101</v>
      </c>
      <c r="J53" s="371" t="s">
        <v>184</v>
      </c>
      <c r="K53" s="371" t="s">
        <v>201</v>
      </c>
      <c r="L53" s="367" t="s">
        <v>186</v>
      </c>
      <c r="M53" s="375">
        <v>19</v>
      </c>
      <c r="N53" s="375">
        <v>3.09</v>
      </c>
      <c r="O53" s="375">
        <v>58.71</v>
      </c>
      <c r="P53" s="376">
        <v>58.71</v>
      </c>
      <c r="Q53" s="360"/>
    </row>
    <row r="54" spans="1:17" ht="21" x14ac:dyDescent="0.3">
      <c r="A54" s="359"/>
      <c r="B54" s="400" t="s">
        <v>200</v>
      </c>
      <c r="C54" s="371">
        <v>46069</v>
      </c>
      <c r="D54" s="372">
        <v>516992</v>
      </c>
      <c r="E54" s="373">
        <v>2942</v>
      </c>
      <c r="F54" s="365" t="s">
        <v>183</v>
      </c>
      <c r="G54" s="371">
        <v>46084</v>
      </c>
      <c r="H54" s="373">
        <v>27866</v>
      </c>
      <c r="I54" s="371" t="s">
        <v>203</v>
      </c>
      <c r="J54" s="371" t="s">
        <v>184</v>
      </c>
      <c r="K54" s="371" t="s">
        <v>188</v>
      </c>
      <c r="L54" s="367" t="s">
        <v>186</v>
      </c>
      <c r="M54" s="375">
        <v>161.48500000000001</v>
      </c>
      <c r="N54" s="375">
        <v>5.59</v>
      </c>
      <c r="O54" s="375">
        <v>902.7</v>
      </c>
      <c r="P54" s="376">
        <v>902.7</v>
      </c>
      <c r="Q54" s="360"/>
    </row>
    <row r="55" spans="1:17" ht="21" x14ac:dyDescent="0.3">
      <c r="A55" s="359"/>
      <c r="B55" s="400" t="s">
        <v>200</v>
      </c>
      <c r="C55" s="371">
        <v>46069</v>
      </c>
      <c r="D55" s="372">
        <v>517123</v>
      </c>
      <c r="E55" s="373">
        <v>2943</v>
      </c>
      <c r="F55" s="365" t="s">
        <v>183</v>
      </c>
      <c r="G55" s="371">
        <v>46084</v>
      </c>
      <c r="H55" s="373">
        <v>27866</v>
      </c>
      <c r="I55" s="371" t="s">
        <v>138</v>
      </c>
      <c r="J55" s="371" t="s">
        <v>184</v>
      </c>
      <c r="K55" s="371" t="s">
        <v>188</v>
      </c>
      <c r="L55" s="367" t="s">
        <v>186</v>
      </c>
      <c r="M55" s="375">
        <v>100</v>
      </c>
      <c r="N55" s="375">
        <v>5.59</v>
      </c>
      <c r="O55" s="375">
        <v>559</v>
      </c>
      <c r="P55" s="376">
        <v>559</v>
      </c>
      <c r="Q55" s="360"/>
    </row>
    <row r="56" spans="1:17" ht="21" x14ac:dyDescent="0.3">
      <c r="A56" s="359"/>
      <c r="B56" s="400" t="s">
        <v>200</v>
      </c>
      <c r="C56" s="371">
        <v>46070</v>
      </c>
      <c r="D56" s="372">
        <v>517138</v>
      </c>
      <c r="E56" s="373">
        <v>2944</v>
      </c>
      <c r="F56" s="365" t="s">
        <v>183</v>
      </c>
      <c r="G56" s="371">
        <v>46084</v>
      </c>
      <c r="H56" s="373">
        <v>27866</v>
      </c>
      <c r="I56" s="371" t="s">
        <v>195</v>
      </c>
      <c r="J56" s="371" t="s">
        <v>184</v>
      </c>
      <c r="K56" s="371" t="s">
        <v>185</v>
      </c>
      <c r="L56" s="367" t="s">
        <v>186</v>
      </c>
      <c r="M56" s="375">
        <v>100</v>
      </c>
      <c r="N56" s="375">
        <v>5.69</v>
      </c>
      <c r="O56" s="375">
        <v>569</v>
      </c>
      <c r="P56" s="376">
        <v>569</v>
      </c>
      <c r="Q56" s="360"/>
    </row>
    <row r="57" spans="1:17" ht="21" x14ac:dyDescent="0.3">
      <c r="A57" s="359"/>
      <c r="B57" s="400" t="s">
        <v>200</v>
      </c>
      <c r="C57" s="371">
        <v>46070</v>
      </c>
      <c r="D57" s="372">
        <v>517634</v>
      </c>
      <c r="E57" s="373">
        <v>2945</v>
      </c>
      <c r="F57" s="365" t="s">
        <v>183</v>
      </c>
      <c r="G57" s="371">
        <v>46084</v>
      </c>
      <c r="H57" s="373">
        <v>27866</v>
      </c>
      <c r="I57" s="371" t="s">
        <v>187</v>
      </c>
      <c r="J57" s="371" t="s">
        <v>184</v>
      </c>
      <c r="K57" s="371" t="s">
        <v>188</v>
      </c>
      <c r="L57" s="367" t="s">
        <v>186</v>
      </c>
      <c r="M57" s="375">
        <v>230.01300000000001</v>
      </c>
      <c r="N57" s="375">
        <v>5.59</v>
      </c>
      <c r="O57" s="375">
        <v>1285.77</v>
      </c>
      <c r="P57" s="376">
        <v>1285.77</v>
      </c>
      <c r="Q57" s="360"/>
    </row>
    <row r="58" spans="1:17" ht="21" x14ac:dyDescent="0.3">
      <c r="A58" s="359"/>
      <c r="B58" s="400" t="s">
        <v>200</v>
      </c>
      <c r="C58" s="371">
        <v>46070</v>
      </c>
      <c r="D58" s="372">
        <v>517672</v>
      </c>
      <c r="E58" s="373">
        <v>2946</v>
      </c>
      <c r="F58" s="365" t="s">
        <v>183</v>
      </c>
      <c r="G58" s="371">
        <v>46084</v>
      </c>
      <c r="H58" s="373">
        <v>27866</v>
      </c>
      <c r="I58" s="371" t="s">
        <v>204</v>
      </c>
      <c r="J58" s="371" t="s">
        <v>184</v>
      </c>
      <c r="K58" s="371" t="s">
        <v>185</v>
      </c>
      <c r="L58" s="367" t="s">
        <v>186</v>
      </c>
      <c r="M58" s="375">
        <v>200</v>
      </c>
      <c r="N58" s="375">
        <v>5.69</v>
      </c>
      <c r="O58" s="375">
        <v>1138</v>
      </c>
      <c r="P58" s="376">
        <v>1138</v>
      </c>
      <c r="Q58" s="360"/>
    </row>
    <row r="59" spans="1:17" ht="21" x14ac:dyDescent="0.3">
      <c r="A59" s="359"/>
      <c r="B59" s="400" t="s">
        <v>200</v>
      </c>
      <c r="C59" s="371">
        <v>46070</v>
      </c>
      <c r="D59" s="372">
        <v>517673</v>
      </c>
      <c r="E59" s="373">
        <v>2947</v>
      </c>
      <c r="F59" s="365" t="s">
        <v>183</v>
      </c>
      <c r="G59" s="371">
        <v>46084</v>
      </c>
      <c r="H59" s="373">
        <v>27866</v>
      </c>
      <c r="I59" s="371" t="s">
        <v>198</v>
      </c>
      <c r="J59" s="371" t="s">
        <v>184</v>
      </c>
      <c r="K59" s="371" t="s">
        <v>185</v>
      </c>
      <c r="L59" s="367" t="s">
        <v>186</v>
      </c>
      <c r="M59" s="375">
        <v>200</v>
      </c>
      <c r="N59" s="375">
        <v>5.69</v>
      </c>
      <c r="O59" s="375">
        <v>1138</v>
      </c>
      <c r="P59" s="376">
        <v>1138</v>
      </c>
      <c r="Q59" s="360"/>
    </row>
    <row r="60" spans="1:17" ht="21" x14ac:dyDescent="0.3">
      <c r="A60" s="359"/>
      <c r="B60" s="400" t="s">
        <v>200</v>
      </c>
      <c r="C60" s="371">
        <v>46071</v>
      </c>
      <c r="D60" s="372">
        <v>517679</v>
      </c>
      <c r="E60" s="373">
        <v>2948</v>
      </c>
      <c r="F60" s="365" t="s">
        <v>183</v>
      </c>
      <c r="G60" s="371">
        <v>46084</v>
      </c>
      <c r="H60" s="373">
        <v>27866</v>
      </c>
      <c r="I60" s="371" t="s">
        <v>205</v>
      </c>
      <c r="J60" s="371" t="s">
        <v>184</v>
      </c>
      <c r="K60" s="371" t="s">
        <v>185</v>
      </c>
      <c r="L60" s="367" t="s">
        <v>186</v>
      </c>
      <c r="M60" s="375">
        <v>200</v>
      </c>
      <c r="N60" s="375">
        <v>5.69</v>
      </c>
      <c r="O60" s="375">
        <v>1138</v>
      </c>
      <c r="P60" s="376">
        <v>1138</v>
      </c>
      <c r="Q60" s="360"/>
    </row>
    <row r="61" spans="1:17" ht="21" x14ac:dyDescent="0.3">
      <c r="A61" s="359"/>
      <c r="B61" s="400" t="s">
        <v>200</v>
      </c>
      <c r="C61" s="371">
        <v>46071</v>
      </c>
      <c r="D61" s="372">
        <v>517983</v>
      </c>
      <c r="E61" s="373">
        <v>2950</v>
      </c>
      <c r="F61" s="365" t="s">
        <v>183</v>
      </c>
      <c r="G61" s="371">
        <v>46084</v>
      </c>
      <c r="H61" s="373">
        <v>27866</v>
      </c>
      <c r="I61" s="371" t="s">
        <v>85</v>
      </c>
      <c r="J61" s="371" t="s">
        <v>184</v>
      </c>
      <c r="K61" s="371" t="s">
        <v>188</v>
      </c>
      <c r="L61" s="367" t="s">
        <v>186</v>
      </c>
      <c r="M61" s="375">
        <v>150.131</v>
      </c>
      <c r="N61" s="375">
        <v>5.59</v>
      </c>
      <c r="O61" s="375">
        <v>839.24</v>
      </c>
      <c r="P61" s="376">
        <v>839.24</v>
      </c>
      <c r="Q61" s="360"/>
    </row>
    <row r="62" spans="1:17" ht="21" x14ac:dyDescent="0.3">
      <c r="A62" s="359"/>
      <c r="B62" s="400" t="s">
        <v>200</v>
      </c>
      <c r="C62" s="371">
        <v>46072</v>
      </c>
      <c r="D62" s="372">
        <v>517987</v>
      </c>
      <c r="E62" s="373">
        <v>2951</v>
      </c>
      <c r="F62" s="365" t="s">
        <v>183</v>
      </c>
      <c r="G62" s="371">
        <v>46084</v>
      </c>
      <c r="H62" s="373">
        <v>27866</v>
      </c>
      <c r="I62" s="371" t="s">
        <v>197</v>
      </c>
      <c r="J62" s="371" t="s">
        <v>184</v>
      </c>
      <c r="K62" s="371" t="s">
        <v>188</v>
      </c>
      <c r="L62" s="367" t="s">
        <v>186</v>
      </c>
      <c r="M62" s="375">
        <v>150</v>
      </c>
      <c r="N62" s="375">
        <v>5.59</v>
      </c>
      <c r="O62" s="375">
        <v>838.5</v>
      </c>
      <c r="P62" s="376">
        <v>838.5</v>
      </c>
      <c r="Q62" s="360"/>
    </row>
    <row r="63" spans="1:17" ht="21" x14ac:dyDescent="0.3">
      <c r="A63" s="359"/>
      <c r="B63" s="400" t="s">
        <v>200</v>
      </c>
      <c r="C63" s="371">
        <v>46072</v>
      </c>
      <c r="D63" s="372">
        <v>518194</v>
      </c>
      <c r="E63" s="373">
        <v>2953</v>
      </c>
      <c r="F63" s="365" t="s">
        <v>183</v>
      </c>
      <c r="G63" s="371">
        <v>46084</v>
      </c>
      <c r="H63" s="373">
        <v>27866</v>
      </c>
      <c r="I63" s="371" t="s">
        <v>206</v>
      </c>
      <c r="J63" s="371" t="s">
        <v>184</v>
      </c>
      <c r="K63" s="371" t="s">
        <v>185</v>
      </c>
      <c r="L63" s="367" t="s">
        <v>186</v>
      </c>
      <c r="M63" s="375">
        <v>150</v>
      </c>
      <c r="N63" s="375">
        <v>5.69</v>
      </c>
      <c r="O63" s="375">
        <v>853.5</v>
      </c>
      <c r="P63" s="376">
        <v>853.5</v>
      </c>
      <c r="Q63" s="360"/>
    </row>
    <row r="64" spans="1:17" ht="21" x14ac:dyDescent="0.3">
      <c r="A64" s="359"/>
      <c r="B64" s="400" t="s">
        <v>200</v>
      </c>
      <c r="C64" s="371">
        <v>46072</v>
      </c>
      <c r="D64" s="372">
        <v>518431</v>
      </c>
      <c r="E64" s="373">
        <v>2956</v>
      </c>
      <c r="F64" s="365" t="s">
        <v>183</v>
      </c>
      <c r="G64" s="371">
        <v>46084</v>
      </c>
      <c r="H64" s="373">
        <v>27866</v>
      </c>
      <c r="I64" s="371" t="s">
        <v>207</v>
      </c>
      <c r="J64" s="371" t="s">
        <v>184</v>
      </c>
      <c r="K64" s="371" t="s">
        <v>188</v>
      </c>
      <c r="L64" s="367" t="s">
        <v>186</v>
      </c>
      <c r="M64" s="375">
        <v>45.564999999999998</v>
      </c>
      <c r="N64" s="375">
        <v>5.59</v>
      </c>
      <c r="O64" s="375">
        <v>254.71</v>
      </c>
      <c r="P64" s="376">
        <v>254.71</v>
      </c>
      <c r="Q64" s="360"/>
    </row>
    <row r="65" spans="1:17" ht="21" x14ac:dyDescent="0.3">
      <c r="A65" s="359"/>
      <c r="B65" s="361" t="s">
        <v>200</v>
      </c>
      <c r="C65" s="362">
        <v>46072</v>
      </c>
      <c r="D65" s="363">
        <v>518377</v>
      </c>
      <c r="E65" s="364">
        <v>2954</v>
      </c>
      <c r="F65" s="365" t="s">
        <v>183</v>
      </c>
      <c r="G65" s="366">
        <v>46084</v>
      </c>
      <c r="H65" s="363">
        <v>27866</v>
      </c>
      <c r="I65" s="364" t="s">
        <v>208</v>
      </c>
      <c r="J65" s="364" t="s">
        <v>184</v>
      </c>
      <c r="K65" s="364" t="s">
        <v>185</v>
      </c>
      <c r="L65" s="367" t="s">
        <v>186</v>
      </c>
      <c r="M65" s="368">
        <v>220.011</v>
      </c>
      <c r="N65" s="369">
        <v>5.69</v>
      </c>
      <c r="O65" s="369">
        <v>1251.8599999999999</v>
      </c>
      <c r="P65" s="370">
        <v>1251.8599999999999</v>
      </c>
      <c r="Q65" s="360"/>
    </row>
    <row r="66" spans="1:17" ht="21.6" thickBot="1" x14ac:dyDescent="0.45">
      <c r="A66" s="359"/>
      <c r="B66" s="401"/>
      <c r="C66" s="402"/>
      <c r="D66" s="402"/>
      <c r="E66" s="402"/>
      <c r="F66" s="402"/>
      <c r="G66" s="402"/>
      <c r="H66" s="402"/>
      <c r="I66" s="402"/>
      <c r="J66" s="402"/>
      <c r="K66" s="402"/>
      <c r="L66" s="402"/>
      <c r="M66" s="402"/>
      <c r="N66" s="402"/>
      <c r="O66" s="403"/>
      <c r="P66" s="404"/>
      <c r="Q66" s="360"/>
    </row>
    <row r="67" spans="1:17" ht="21.6" thickBot="1" x14ac:dyDescent="0.45">
      <c r="A67" s="359"/>
      <c r="B67" s="787" t="s">
        <v>209</v>
      </c>
      <c r="C67" s="788"/>
      <c r="D67" s="788"/>
      <c r="E67" s="788"/>
      <c r="F67" s="788"/>
      <c r="G67" s="788"/>
      <c r="H67" s="788"/>
      <c r="I67" s="788"/>
      <c r="J67" s="788"/>
      <c r="K67" s="788"/>
      <c r="L67" s="788"/>
      <c r="M67" s="788"/>
      <c r="N67" s="788"/>
      <c r="O67" s="789">
        <f>SUM(P43:P66)</f>
        <v>16299.249999999998</v>
      </c>
      <c r="P67" s="790"/>
      <c r="Q67" s="360"/>
    </row>
    <row r="68" spans="1:17" ht="21.6" thickBot="1" x14ac:dyDescent="0.45">
      <c r="A68" s="359"/>
      <c r="B68" s="791"/>
      <c r="C68" s="792"/>
      <c r="D68" s="792"/>
      <c r="E68" s="792"/>
      <c r="F68" s="792"/>
      <c r="G68" s="792"/>
      <c r="H68" s="792"/>
      <c r="I68" s="792"/>
      <c r="J68" s="792"/>
      <c r="K68" s="792"/>
      <c r="L68" s="792"/>
      <c r="M68" s="792"/>
      <c r="N68" s="792"/>
      <c r="O68" s="792"/>
      <c r="P68" s="793"/>
      <c r="Q68" s="360"/>
    </row>
    <row r="69" spans="1:17" ht="21.6" thickBot="1" x14ac:dyDescent="0.45">
      <c r="A69" s="359"/>
      <c r="B69" s="794"/>
      <c r="C69" s="795"/>
      <c r="D69" s="795"/>
      <c r="E69" s="795"/>
      <c r="F69" s="795"/>
      <c r="G69" s="795"/>
      <c r="H69" s="795"/>
      <c r="I69" s="795"/>
      <c r="J69" s="795"/>
      <c r="K69" s="795"/>
      <c r="L69" s="795"/>
      <c r="M69" s="795"/>
      <c r="N69" s="795"/>
      <c r="O69" s="795"/>
      <c r="P69" s="796"/>
      <c r="Q69" s="360"/>
    </row>
    <row r="70" spans="1:17" ht="21" x14ac:dyDescent="0.3">
      <c r="A70" s="359"/>
      <c r="B70" s="797" t="s">
        <v>46</v>
      </c>
      <c r="C70" s="798"/>
      <c r="D70" s="798"/>
      <c r="E70" s="798"/>
      <c r="F70" s="798"/>
      <c r="G70" s="798"/>
      <c r="H70" s="798"/>
      <c r="I70" s="798"/>
      <c r="J70" s="798"/>
      <c r="K70" s="798"/>
      <c r="L70" s="798"/>
      <c r="M70" s="798"/>
      <c r="N70" s="798"/>
      <c r="O70" s="801">
        <f>O67</f>
        <v>16299.249999999998</v>
      </c>
      <c r="P70" s="802"/>
      <c r="Q70" s="360"/>
    </row>
    <row r="71" spans="1:17" ht="21.6" thickBot="1" x14ac:dyDescent="0.35">
      <c r="A71" s="359"/>
      <c r="B71" s="799"/>
      <c r="C71" s="800"/>
      <c r="D71" s="800"/>
      <c r="E71" s="800"/>
      <c r="F71" s="800"/>
      <c r="G71" s="800"/>
      <c r="H71" s="800"/>
      <c r="I71" s="800"/>
      <c r="J71" s="800"/>
      <c r="K71" s="800"/>
      <c r="L71" s="800"/>
      <c r="M71" s="800"/>
      <c r="N71" s="800"/>
      <c r="O71" s="799"/>
      <c r="P71" s="803"/>
      <c r="Q71" s="360"/>
    </row>
    <row r="72" spans="1:17" ht="52.8" customHeight="1" thickBot="1" x14ac:dyDescent="0.35">
      <c r="A72" s="347"/>
      <c r="B72" s="474"/>
      <c r="C72" s="475"/>
      <c r="D72" s="476"/>
      <c r="E72" s="477"/>
      <c r="F72" s="477"/>
      <c r="G72" s="475"/>
      <c r="H72" s="476"/>
      <c r="I72" s="478"/>
      <c r="J72" s="478"/>
      <c r="K72" s="804" t="s">
        <v>45</v>
      </c>
      <c r="L72" s="804"/>
      <c r="M72" s="804"/>
      <c r="N72" s="804"/>
      <c r="O72" s="805">
        <f>O41</f>
        <v>26072.540979999998</v>
      </c>
      <c r="P72" s="806"/>
      <c r="Q72" s="358"/>
    </row>
    <row r="73" spans="1:17" ht="50.4" customHeight="1" thickBot="1" x14ac:dyDescent="0.35">
      <c r="A73" s="410"/>
      <c r="B73" s="479"/>
      <c r="C73" s="480"/>
      <c r="D73" s="481"/>
      <c r="E73" s="482"/>
      <c r="F73" s="482"/>
      <c r="G73" s="480"/>
      <c r="H73" s="482"/>
      <c r="I73" s="482"/>
      <c r="J73" s="482"/>
      <c r="K73" s="482"/>
      <c r="L73" s="482"/>
      <c r="M73" s="472" t="s">
        <v>210</v>
      </c>
      <c r="N73" s="483"/>
      <c r="O73" s="777">
        <f>SUM(O70:P72)</f>
        <v>42371.790979999998</v>
      </c>
      <c r="P73" s="778"/>
      <c r="Q73" s="416"/>
    </row>
    <row r="74" spans="1:17" ht="15.6" x14ac:dyDescent="0.3">
      <c r="A74" s="345"/>
      <c r="B74" s="282"/>
      <c r="C74" s="417"/>
      <c r="D74" s="418"/>
      <c r="E74" s="334"/>
      <c r="F74" s="334"/>
      <c r="G74" s="419"/>
      <c r="H74" s="334"/>
      <c r="I74" s="334"/>
      <c r="J74" s="334"/>
      <c r="K74" s="334"/>
      <c r="L74" s="334"/>
      <c r="M74" s="420"/>
      <c r="N74" s="334"/>
      <c r="O74" s="421"/>
      <c r="P74" s="334"/>
      <c r="Q74" s="346"/>
    </row>
    <row r="75" spans="1:17" ht="15.6" x14ac:dyDescent="0.3">
      <c r="A75" s="345"/>
      <c r="B75" s="282"/>
      <c r="C75" s="419"/>
      <c r="D75" s="422"/>
      <c r="E75" s="334"/>
      <c r="F75" s="334"/>
      <c r="G75" s="419"/>
      <c r="H75" s="334"/>
      <c r="I75" s="334"/>
      <c r="J75" s="334"/>
      <c r="K75" s="334"/>
      <c r="L75" s="334"/>
      <c r="M75" s="423"/>
      <c r="N75" s="334"/>
      <c r="O75" s="334"/>
      <c r="P75" s="334"/>
      <c r="Q75" s="346"/>
    </row>
    <row r="76" spans="1:17" ht="15.6" x14ac:dyDescent="0.3">
      <c r="A76" s="345"/>
      <c r="B76" s="282"/>
      <c r="C76" s="419"/>
      <c r="D76" s="422"/>
      <c r="E76" s="334"/>
      <c r="F76" s="334"/>
      <c r="G76" s="419"/>
      <c r="H76" s="334"/>
      <c r="I76" s="334"/>
      <c r="J76" s="334"/>
      <c r="K76" s="334"/>
      <c r="L76" s="334"/>
      <c r="M76" s="423"/>
      <c r="N76" s="334"/>
      <c r="O76" s="334"/>
      <c r="P76" s="334"/>
      <c r="Q76" s="346"/>
    </row>
    <row r="77" spans="1:17" ht="16.2" thickBot="1" x14ac:dyDescent="0.35">
      <c r="A77" s="424"/>
      <c r="B77" s="328"/>
      <c r="C77" s="425"/>
      <c r="D77" s="426"/>
      <c r="E77" s="327"/>
      <c r="F77" s="327"/>
      <c r="G77" s="425"/>
      <c r="H77" s="327"/>
      <c r="I77" s="327"/>
      <c r="J77" s="327"/>
      <c r="K77" s="327"/>
      <c r="L77" s="327"/>
      <c r="M77" s="427"/>
      <c r="N77" s="428"/>
      <c r="O77" s="327"/>
      <c r="P77" s="327"/>
      <c r="Q77" s="429"/>
    </row>
  </sheetData>
  <autoFilter ref="B5:P5" xr:uid="{F37AEC68-CAD9-4C87-97FB-C74F763C0CF6}"/>
  <mergeCells count="18">
    <mergeCell ref="B1:P4"/>
    <mergeCell ref="B6:P6"/>
    <mergeCell ref="B7:P7"/>
    <mergeCell ref="B8:P8"/>
    <mergeCell ref="B41:N41"/>
    <mergeCell ref="O41:P41"/>
    <mergeCell ref="O73:P73"/>
    <mergeCell ref="B43:N43"/>
    <mergeCell ref="O43:P43"/>
    <mergeCell ref="B44:P44"/>
    <mergeCell ref="B67:N67"/>
    <mergeCell ref="O67:P67"/>
    <mergeCell ref="B68:P68"/>
    <mergeCell ref="B69:P69"/>
    <mergeCell ref="B70:N71"/>
    <mergeCell ref="O70:P71"/>
    <mergeCell ref="K72:N72"/>
    <mergeCell ref="O72:P72"/>
  </mergeCells>
  <conditionalFormatting sqref="C72:D72">
    <cfRule type="duplicateValues" dxfId="74" priority="12"/>
    <cfRule type="duplicateValues" dxfId="73" priority="13"/>
    <cfRule type="duplicateValues" dxfId="72" priority="14"/>
  </conditionalFormatting>
  <conditionalFormatting sqref="D39:D40">
    <cfRule type="duplicateValues" dxfId="71" priority="26"/>
    <cfRule type="duplicateValues" dxfId="70" priority="27"/>
  </conditionalFormatting>
  <conditionalFormatting sqref="D72:D77 D1:D5">
    <cfRule type="duplicateValues" dxfId="69" priority="2"/>
  </conditionalFormatting>
  <conditionalFormatting sqref="E39:E40">
    <cfRule type="duplicateValues" dxfId="68" priority="28"/>
  </conditionalFormatting>
  <conditionalFormatting sqref="E72 H72">
    <cfRule type="duplicateValues" dxfId="67" priority="15"/>
    <cfRule type="duplicateValues" dxfId="66" priority="16"/>
  </conditionalFormatting>
  <conditionalFormatting sqref="E72">
    <cfRule type="duplicateValues" dxfId="65" priority="17"/>
    <cfRule type="duplicateValues" dxfId="64" priority="18"/>
    <cfRule type="duplicateValues" dxfId="63" priority="19"/>
    <cfRule type="duplicateValues" dxfId="62" priority="20"/>
  </conditionalFormatting>
  <conditionalFormatting sqref="E72:E77 E1:E5 E41:E43 E45:E64 E66:E67 E37:E38">
    <cfRule type="duplicateValues" dxfId="61" priority="1"/>
  </conditionalFormatting>
  <conditionalFormatting sqref="E72:E77 E1:E5">
    <cfRule type="duplicateValues" dxfId="60" priority="3"/>
  </conditionalFormatting>
  <conditionalFormatting sqref="E73">
    <cfRule type="duplicateValues" dxfId="59" priority="8"/>
    <cfRule type="duplicateValues" dxfId="58" priority="9"/>
    <cfRule type="duplicateValues" dxfId="57" priority="10"/>
  </conditionalFormatting>
  <conditionalFormatting sqref="E74:E77 E5">
    <cfRule type="duplicateValues" dxfId="56" priority="4"/>
    <cfRule type="duplicateValues" dxfId="55" priority="5"/>
    <cfRule type="duplicateValues" dxfId="54" priority="6"/>
  </conditionalFormatting>
  <conditionalFormatting sqref="F72:G72">
    <cfRule type="duplicateValues" dxfId="53" priority="21"/>
    <cfRule type="duplicateValues" dxfId="52" priority="22"/>
    <cfRule type="duplicateValues" dxfId="51" priority="23"/>
    <cfRule type="duplicateValues" dxfId="50" priority="24"/>
  </conditionalFormatting>
  <conditionalFormatting sqref="H72">
    <cfRule type="duplicateValues" dxfId="49" priority="25"/>
  </conditionalFormatting>
  <conditionalFormatting sqref="N73">
    <cfRule type="duplicateValues" dxfId="48" priority="11"/>
  </conditionalFormatting>
  <conditionalFormatting sqref="N74:N77 N5">
    <cfRule type="duplicateValues" dxfId="47" priority="7"/>
  </conditionalFormatting>
  <pageMargins left="0.511811024" right="0.511811024" top="0.78740157499999996" bottom="0.78740157499999996" header="0.31496062000000002" footer="0.31496062000000002"/>
  <pageSetup paperSize="9" scale="40" fitToHeight="0" orientation="landscape" r:id="rId1"/>
  <colBreaks count="1" manualBreakCount="1">
    <brk id="14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7DF6D-0A8B-46CD-9E5E-9905E37E12C5}">
  <sheetPr>
    <tabColor theme="9" tint="0.59999389629810485"/>
    <pageSetUpPr fitToPage="1"/>
  </sheetPr>
  <dimension ref="A1:X55"/>
  <sheetViews>
    <sheetView showGridLines="0" view="pageBreakPreview" topLeftCell="G19" zoomScale="85" zoomScaleNormal="85" zoomScaleSheetLayoutView="85" workbookViewId="0">
      <selection activeCell="B40" sqref="B40:N40"/>
    </sheetView>
  </sheetViews>
  <sheetFormatPr defaultColWidth="10.88671875" defaultRowHeight="13.8" x14ac:dyDescent="0.25"/>
  <cols>
    <col min="1" max="1" width="8.109375" style="5" customWidth="1"/>
    <col min="2" max="2" width="10.6640625" style="1" customWidth="1"/>
    <col min="3" max="3" width="9.5546875" style="2" bestFit="1" customWidth="1"/>
    <col min="4" max="4" width="8.44140625" style="2" customWidth="1"/>
    <col min="5" max="5" width="18.44140625" style="3" customWidth="1"/>
    <col min="6" max="6" width="14.33203125" style="1" customWidth="1"/>
    <col min="7" max="7" width="41.5546875" style="1" customWidth="1"/>
    <col min="8" max="8" width="27.5546875" style="107" customWidth="1"/>
    <col min="9" max="9" width="15" style="107" bestFit="1" customWidth="1"/>
    <col min="10" max="10" width="14.6640625" style="107" bestFit="1" customWidth="1"/>
    <col min="11" max="11" width="13.6640625" style="107" bestFit="1" customWidth="1"/>
    <col min="12" max="12" width="17.44140625" style="107" customWidth="1"/>
    <col min="13" max="13" width="13.5546875" style="107" customWidth="1"/>
    <col min="14" max="14" width="19" style="107" customWidth="1"/>
    <col min="15" max="15" width="22.33203125" style="107" customWidth="1"/>
    <col min="16" max="16" width="19.109375" style="107" customWidth="1"/>
    <col min="17" max="17" width="21.6640625" style="107" customWidth="1"/>
    <col min="18" max="18" width="7.33203125" style="5" customWidth="1"/>
    <col min="19" max="23" width="10.88671875" style="5"/>
    <col min="24" max="24" width="17" style="5" bestFit="1" customWidth="1"/>
    <col min="25" max="16384" width="10.88671875" style="5"/>
  </cols>
  <sheetData>
    <row r="1" spans="2:24" ht="36.75" customHeight="1" thickBot="1" x14ac:dyDescent="0.3">
      <c r="H1" s="4"/>
      <c r="I1" s="4"/>
      <c r="J1" s="4"/>
      <c r="K1" s="4"/>
      <c r="L1" s="4"/>
      <c r="M1" s="4"/>
      <c r="N1" s="4"/>
      <c r="O1" s="4"/>
      <c r="P1" s="4"/>
      <c r="Q1" s="4"/>
    </row>
    <row r="2" spans="2:24" ht="11.25" customHeight="1" x14ac:dyDescent="0.25">
      <c r="B2" s="721" t="e" vm="1">
        <v>#VALUE!</v>
      </c>
      <c r="C2" s="722"/>
      <c r="D2" s="722"/>
      <c r="E2" s="723"/>
      <c r="F2" s="610" t="s">
        <v>0</v>
      </c>
      <c r="G2" s="611"/>
      <c r="H2" s="611"/>
      <c r="I2" s="611"/>
      <c r="J2" s="611"/>
      <c r="K2" s="611"/>
      <c r="L2" s="611"/>
      <c r="M2" s="611"/>
      <c r="N2" s="611"/>
      <c r="O2" s="611"/>
      <c r="P2" s="611"/>
      <c r="Q2" s="612"/>
    </row>
    <row r="3" spans="2:24" ht="11.25" customHeight="1" x14ac:dyDescent="0.25">
      <c r="B3" s="724"/>
      <c r="C3" s="725"/>
      <c r="D3" s="725"/>
      <c r="E3" s="726"/>
      <c r="F3" s="613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615"/>
    </row>
    <row r="4" spans="2:24" ht="11.25" customHeight="1" x14ac:dyDescent="0.25">
      <c r="B4" s="724"/>
      <c r="C4" s="725"/>
      <c r="D4" s="725"/>
      <c r="E4" s="726"/>
      <c r="F4" s="613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615"/>
    </row>
    <row r="5" spans="2:24" ht="11.25" customHeight="1" x14ac:dyDescent="0.25">
      <c r="B5" s="724"/>
      <c r="C5" s="725"/>
      <c r="D5" s="725"/>
      <c r="E5" s="726"/>
      <c r="F5" s="613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615"/>
    </row>
    <row r="6" spans="2:24" ht="14.25" customHeight="1" x14ac:dyDescent="0.25">
      <c r="B6" s="727"/>
      <c r="C6" s="728"/>
      <c r="D6" s="728"/>
      <c r="E6" s="729"/>
      <c r="F6" s="616"/>
      <c r="G6" s="617"/>
      <c r="H6" s="617"/>
      <c r="I6" s="617"/>
      <c r="J6" s="617"/>
      <c r="K6" s="617"/>
      <c r="L6" s="617"/>
      <c r="M6" s="617"/>
      <c r="N6" s="617"/>
      <c r="O6" s="617"/>
      <c r="P6" s="617"/>
      <c r="Q6" s="618"/>
    </row>
    <row r="7" spans="2:24" ht="14.4" x14ac:dyDescent="0.25">
      <c r="B7" s="6"/>
      <c r="C7" s="7"/>
      <c r="D7" s="8"/>
      <c r="E7" s="9"/>
      <c r="F7" s="10"/>
      <c r="G7" s="10"/>
      <c r="H7" s="10"/>
      <c r="I7" s="10"/>
      <c r="J7" s="11"/>
      <c r="K7" s="11"/>
      <c r="L7" s="11"/>
      <c r="M7" s="11"/>
      <c r="N7" s="11"/>
      <c r="O7" s="11"/>
      <c r="P7" s="11"/>
      <c r="Q7" s="12"/>
    </row>
    <row r="8" spans="2:24" x14ac:dyDescent="0.25">
      <c r="B8" s="698" t="s">
        <v>1</v>
      </c>
      <c r="C8" s="699"/>
      <c r="D8" s="716" t="s">
        <v>2</v>
      </c>
      <c r="E8" s="717"/>
      <c r="F8" s="717"/>
      <c r="G8" s="717"/>
      <c r="H8" s="717"/>
      <c r="I8" s="718"/>
      <c r="J8" s="14" t="s">
        <v>3</v>
      </c>
      <c r="K8" s="730" t="s">
        <v>211</v>
      </c>
      <c r="L8" s="731"/>
      <c r="M8" s="731"/>
      <c r="N8" s="732"/>
      <c r="O8" s="15" t="s">
        <v>5</v>
      </c>
      <c r="P8" s="730" t="s">
        <v>6</v>
      </c>
      <c r="Q8" s="733"/>
    </row>
    <row r="9" spans="2:24" x14ac:dyDescent="0.25">
      <c r="B9" s="698" t="s">
        <v>7</v>
      </c>
      <c r="C9" s="699"/>
      <c r="D9" s="716" t="s">
        <v>8</v>
      </c>
      <c r="E9" s="717"/>
      <c r="F9" s="717"/>
      <c r="G9" s="717"/>
      <c r="H9" s="717"/>
      <c r="I9" s="718"/>
      <c r="J9" s="11"/>
      <c r="K9" s="11"/>
      <c r="L9" s="11"/>
      <c r="M9" s="16"/>
      <c r="N9" s="16"/>
      <c r="O9" s="15" t="s">
        <v>9</v>
      </c>
      <c r="P9" s="703" t="s">
        <v>417</v>
      </c>
      <c r="Q9" s="704"/>
    </row>
    <row r="10" spans="2:24" x14ac:dyDescent="0.25">
      <c r="B10" s="698" t="s">
        <v>11</v>
      </c>
      <c r="C10" s="699"/>
      <c r="D10" s="719" t="s">
        <v>12</v>
      </c>
      <c r="E10" s="720"/>
      <c r="F10" s="17"/>
      <c r="G10" s="18"/>
      <c r="H10" s="11"/>
      <c r="I10" s="19"/>
      <c r="J10" s="19"/>
      <c r="K10" s="19"/>
      <c r="L10" s="11"/>
      <c r="M10" s="702"/>
      <c r="N10" s="702"/>
      <c r="O10" s="15" t="s">
        <v>13</v>
      </c>
      <c r="P10" s="703">
        <v>46128</v>
      </c>
      <c r="Q10" s="704"/>
    </row>
    <row r="11" spans="2:24" x14ac:dyDescent="0.25">
      <c r="B11" s="698" t="s">
        <v>14</v>
      </c>
      <c r="C11" s="699"/>
      <c r="D11" s="700">
        <v>2</v>
      </c>
      <c r="E11" s="701"/>
      <c r="F11" s="20"/>
      <c r="G11" s="21"/>
      <c r="H11" s="21"/>
      <c r="I11" s="20" t="s">
        <v>15</v>
      </c>
      <c r="J11" s="22">
        <v>46084</v>
      </c>
      <c r="K11" s="19"/>
      <c r="L11" s="11"/>
      <c r="M11" s="702"/>
      <c r="N11" s="702"/>
      <c r="O11" s="15" t="s">
        <v>16</v>
      </c>
      <c r="P11" s="703">
        <v>46152</v>
      </c>
      <c r="Q11" s="704"/>
    </row>
    <row r="12" spans="2:24" ht="9" customHeight="1" x14ac:dyDescent="0.25">
      <c r="B12" s="13"/>
      <c r="C12" s="14"/>
      <c r="D12" s="14"/>
      <c r="E12" s="23"/>
      <c r="F12" s="24"/>
      <c r="G12" s="25"/>
      <c r="H12" s="11"/>
      <c r="I12" s="19"/>
      <c r="J12" s="19"/>
      <c r="K12" s="19"/>
      <c r="L12" s="11"/>
      <c r="M12" s="16"/>
      <c r="N12" s="16"/>
      <c r="O12" s="16"/>
      <c r="P12" s="16"/>
      <c r="Q12" s="26"/>
    </row>
    <row r="13" spans="2:24" x14ac:dyDescent="0.25">
      <c r="B13" s="705" t="s">
        <v>17</v>
      </c>
      <c r="C13" s="707" t="s">
        <v>18</v>
      </c>
      <c r="D13" s="708"/>
      <c r="E13" s="707" t="s">
        <v>19</v>
      </c>
      <c r="F13" s="711"/>
      <c r="G13" s="708"/>
      <c r="H13" s="713" t="s">
        <v>20</v>
      </c>
      <c r="I13" s="28" t="s">
        <v>21</v>
      </c>
      <c r="J13" s="27" t="s">
        <v>22</v>
      </c>
      <c r="K13" s="713" t="s">
        <v>23</v>
      </c>
      <c r="L13" s="697" t="s">
        <v>24</v>
      </c>
      <c r="M13" s="675"/>
      <c r="N13" s="715"/>
      <c r="O13" s="697" t="s">
        <v>25</v>
      </c>
      <c r="P13" s="675"/>
      <c r="Q13" s="676"/>
    </row>
    <row r="14" spans="2:24" x14ac:dyDescent="0.25">
      <c r="B14" s="706"/>
      <c r="C14" s="709"/>
      <c r="D14" s="710"/>
      <c r="E14" s="709"/>
      <c r="F14" s="712"/>
      <c r="G14" s="710"/>
      <c r="H14" s="714"/>
      <c r="I14" s="32" t="s">
        <v>26</v>
      </c>
      <c r="J14" s="32" t="s">
        <v>27</v>
      </c>
      <c r="K14" s="714"/>
      <c r="L14" s="33" t="s">
        <v>28</v>
      </c>
      <c r="M14" s="33" t="s">
        <v>29</v>
      </c>
      <c r="N14" s="30" t="s">
        <v>30</v>
      </c>
      <c r="O14" s="29" t="s">
        <v>28</v>
      </c>
      <c r="P14" s="33" t="s">
        <v>29</v>
      </c>
      <c r="Q14" s="31" t="s">
        <v>31</v>
      </c>
    </row>
    <row r="15" spans="2:24" ht="17.399999999999999" hidden="1" customHeight="1" x14ac:dyDescent="0.25">
      <c r="B15" s="34">
        <v>1</v>
      </c>
      <c r="C15" s="687" t="s">
        <v>33</v>
      </c>
      <c r="D15" s="688"/>
      <c r="E15" s="631" t="s">
        <v>34</v>
      </c>
      <c r="F15" s="632"/>
      <c r="G15" s="633"/>
      <c r="H15" s="40" t="s">
        <v>32</v>
      </c>
      <c r="I15" s="41"/>
      <c r="J15" s="42"/>
      <c r="K15" s="43"/>
      <c r="L15" s="44"/>
      <c r="M15" s="518">
        <f>'1ª MEDIÇÃO EV - GAMERIM '!L15</f>
        <v>522.33000000000004</v>
      </c>
      <c r="N15" s="46">
        <f>L15+M15</f>
        <v>522.33000000000004</v>
      </c>
      <c r="O15" s="47"/>
      <c r="P15" s="48">
        <f>'1ª MEDIÇÃO EV - GAMERIM '!O15</f>
        <v>16332.287999999997</v>
      </c>
      <c r="Q15" s="49">
        <f>O15+P15</f>
        <v>16332.287999999997</v>
      </c>
    </row>
    <row r="16" spans="2:24" ht="17.399999999999999" customHeight="1" x14ac:dyDescent="0.25">
      <c r="B16" s="34">
        <v>2</v>
      </c>
      <c r="C16" s="687" t="s">
        <v>33</v>
      </c>
      <c r="D16" s="688"/>
      <c r="E16" s="631" t="s">
        <v>35</v>
      </c>
      <c r="F16" s="632"/>
      <c r="G16" s="633"/>
      <c r="H16" s="40" t="s">
        <v>32</v>
      </c>
      <c r="I16" s="41">
        <f>'REL. CAMIN. 2ª MED EV - GAMERIM'!L166</f>
        <v>0.86</v>
      </c>
      <c r="J16" s="42">
        <f>'REL. CAMIN. 2ª MED EV - GAMERIM'!J166</f>
        <v>3701.5700000000015</v>
      </c>
      <c r="K16" s="43">
        <f>'REL. CAMIN. 2ª MED EV - GAMERIM'!K166</f>
        <v>48.715924719812463</v>
      </c>
      <c r="L16" s="50">
        <f>J16</f>
        <v>3701.5700000000015</v>
      </c>
      <c r="M16" s="519">
        <f>'1ª MEDIÇÃO EV - GAMERIM '!L16</f>
        <v>722.11</v>
      </c>
      <c r="N16" s="46">
        <f>L16+M16</f>
        <v>4423.6800000000012</v>
      </c>
      <c r="O16" s="47">
        <f>J16*K16*I16</f>
        <v>155079.8487</v>
      </c>
      <c r="P16" s="48">
        <f>'1ª MEDIÇÃO EV - GAMERIM '!O16</f>
        <v>25000.905300000002</v>
      </c>
      <c r="Q16" s="49">
        <f>O16+P16</f>
        <v>180080.75400000002</v>
      </c>
      <c r="X16" s="51"/>
    </row>
    <row r="17" spans="1:18" ht="17.399999999999999" customHeight="1" x14ac:dyDescent="0.25">
      <c r="B17" s="34">
        <v>3</v>
      </c>
      <c r="C17" s="687" t="s">
        <v>36</v>
      </c>
      <c r="D17" s="688"/>
      <c r="E17" s="631" t="s">
        <v>37</v>
      </c>
      <c r="F17" s="632"/>
      <c r="G17" s="633"/>
      <c r="H17" s="40" t="s">
        <v>38</v>
      </c>
      <c r="I17" s="41">
        <f>'RELAÇÃO PEDÁGIO 2ª EV - GAMERIM'!J95</f>
        <v>12.100000000000003</v>
      </c>
      <c r="J17" s="484">
        <f>'RELAÇÃO PEDÁGIO 2ª EV - GAMERIM'!I92</f>
        <v>382.0082644628099</v>
      </c>
      <c r="K17" s="43"/>
      <c r="L17" s="52">
        <f>J17</f>
        <v>382.0082644628099</v>
      </c>
      <c r="M17" s="46">
        <f>'1ª MEDIÇÃO EV - GAMERIM '!L17</f>
        <v>113</v>
      </c>
      <c r="N17" s="46">
        <f>L17+M17</f>
        <v>495.0082644628099</v>
      </c>
      <c r="O17" s="47">
        <f>J17*I17</f>
        <v>4622.3000000000011</v>
      </c>
      <c r="P17" s="48">
        <f>'1ª MEDIÇÃO EV - GAMERIM '!O17</f>
        <v>1367.35</v>
      </c>
      <c r="Q17" s="49">
        <f>O17+P17</f>
        <v>5989.6500000000015</v>
      </c>
    </row>
    <row r="18" spans="1:18" ht="17.399999999999999" customHeight="1" x14ac:dyDescent="0.25">
      <c r="B18" s="34">
        <v>4</v>
      </c>
      <c r="C18" s="687" t="s">
        <v>422</v>
      </c>
      <c r="D18" s="688"/>
      <c r="E18" s="631" t="s">
        <v>424</v>
      </c>
      <c r="F18" s="632"/>
      <c r="G18" s="633"/>
      <c r="H18" s="40" t="s">
        <v>423</v>
      </c>
      <c r="I18" s="41">
        <f>'REL. CAMIN. 2ª MED EV - GAMERIM'!L178</f>
        <v>156.25</v>
      </c>
      <c r="J18" s="42">
        <f>'REL. CAMIN. 2ª MED EV - GAMERIM'!K178</f>
        <v>18</v>
      </c>
      <c r="K18" s="43"/>
      <c r="L18" s="52">
        <f>J18</f>
        <v>18</v>
      </c>
      <c r="M18" s="45"/>
      <c r="N18" s="46">
        <f>L18+M18</f>
        <v>18</v>
      </c>
      <c r="O18" s="47">
        <f>I18*L18</f>
        <v>2812.5</v>
      </c>
      <c r="P18" s="48"/>
      <c r="Q18" s="49">
        <f>O18+P18</f>
        <v>2812.5</v>
      </c>
    </row>
    <row r="19" spans="1:18" ht="17.399999999999999" customHeight="1" x14ac:dyDescent="0.25">
      <c r="B19" s="34"/>
      <c r="C19" s="687"/>
      <c r="D19" s="688"/>
      <c r="E19" s="631"/>
      <c r="F19" s="632"/>
      <c r="G19" s="633"/>
      <c r="H19" s="40"/>
      <c r="I19" s="41"/>
      <c r="J19" s="42"/>
      <c r="K19" s="43"/>
      <c r="L19" s="52"/>
      <c r="M19" s="45"/>
      <c r="N19" s="46"/>
      <c r="O19" s="47"/>
      <c r="P19" s="48"/>
      <c r="Q19" s="49"/>
    </row>
    <row r="20" spans="1:18" ht="17.399999999999999" customHeight="1" x14ac:dyDescent="0.25">
      <c r="B20" s="34"/>
      <c r="C20" s="35"/>
      <c r="D20" s="36"/>
      <c r="E20" s="37"/>
      <c r="F20" s="38"/>
      <c r="G20" s="39"/>
      <c r="H20" s="40"/>
      <c r="I20" s="41"/>
      <c r="J20" s="42"/>
      <c r="K20" s="43"/>
      <c r="L20" s="52"/>
      <c r="M20" s="45"/>
      <c r="N20" s="46"/>
      <c r="O20" s="47"/>
      <c r="P20" s="48"/>
      <c r="Q20" s="49"/>
    </row>
    <row r="21" spans="1:18" ht="17.399999999999999" customHeight="1" x14ac:dyDescent="0.25">
      <c r="B21" s="34"/>
      <c r="C21" s="687"/>
      <c r="D21" s="688"/>
      <c r="E21" s="37"/>
      <c r="F21" s="38"/>
      <c r="G21" s="39"/>
      <c r="H21" s="40"/>
      <c r="I21" s="41"/>
      <c r="J21" s="42"/>
      <c r="K21" s="43"/>
      <c r="L21" s="52"/>
      <c r="M21" s="45"/>
      <c r="N21" s="46"/>
      <c r="O21" s="47"/>
      <c r="P21" s="48"/>
      <c r="Q21" s="49"/>
    </row>
    <row r="22" spans="1:18" s="55" customFormat="1" ht="17.399999999999999" customHeight="1" x14ac:dyDescent="0.25">
      <c r="A22" s="5"/>
      <c r="B22" s="34"/>
      <c r="C22" s="687"/>
      <c r="D22" s="688"/>
      <c r="E22" s="689"/>
      <c r="F22" s="690"/>
      <c r="G22" s="691"/>
      <c r="H22" s="40"/>
      <c r="I22" s="41"/>
      <c r="J22" s="42"/>
      <c r="K22" s="43"/>
      <c r="L22" s="53"/>
      <c r="M22" s="54"/>
      <c r="N22" s="46"/>
      <c r="O22" s="47"/>
      <c r="P22" s="48"/>
      <c r="Q22" s="49"/>
    </row>
    <row r="23" spans="1:18" s="55" customFormat="1" ht="17.399999999999999" customHeight="1" x14ac:dyDescent="0.25">
      <c r="B23" s="34"/>
      <c r="C23" s="687"/>
      <c r="D23" s="688"/>
      <c r="E23" s="689"/>
      <c r="F23" s="690"/>
      <c r="G23" s="691"/>
      <c r="H23" s="40"/>
      <c r="I23" s="41"/>
      <c r="J23" s="42"/>
      <c r="K23" s="43"/>
      <c r="L23" s="53"/>
      <c r="M23" s="54"/>
      <c r="N23" s="46"/>
      <c r="O23" s="47"/>
      <c r="P23" s="48"/>
      <c r="Q23" s="49"/>
    </row>
    <row r="24" spans="1:18" s="55" customFormat="1" ht="17.399999999999999" customHeight="1" x14ac:dyDescent="0.25">
      <c r="B24" s="34"/>
      <c r="C24" s="692"/>
      <c r="D24" s="693"/>
      <c r="E24" s="694"/>
      <c r="F24" s="695"/>
      <c r="G24" s="696"/>
      <c r="H24" s="56"/>
      <c r="I24" s="57"/>
      <c r="J24" s="42"/>
      <c r="K24" s="58"/>
      <c r="L24" s="59"/>
      <c r="M24" s="60"/>
      <c r="N24" s="46"/>
      <c r="O24" s="47"/>
      <c r="P24" s="61"/>
      <c r="Q24" s="49"/>
    </row>
    <row r="25" spans="1:18" s="55" customFormat="1" ht="17.399999999999999" customHeight="1" x14ac:dyDescent="0.25">
      <c r="B25" s="34"/>
      <c r="C25" s="692"/>
      <c r="D25" s="693"/>
      <c r="E25" s="694"/>
      <c r="F25" s="695"/>
      <c r="G25" s="696"/>
      <c r="H25" s="56"/>
      <c r="I25" s="57"/>
      <c r="J25" s="42"/>
      <c r="K25" s="58"/>
      <c r="L25" s="59"/>
      <c r="M25" s="60"/>
      <c r="N25" s="46"/>
      <c r="O25" s="47"/>
      <c r="P25" s="61"/>
      <c r="Q25" s="49"/>
    </row>
    <row r="26" spans="1:18" ht="12" customHeight="1" x14ac:dyDescent="0.25">
      <c r="A26" s="55"/>
      <c r="B26" s="62"/>
      <c r="C26" s="63"/>
      <c r="D26" s="64"/>
      <c r="E26" s="658"/>
      <c r="F26" s="658"/>
      <c r="G26" s="658"/>
      <c r="H26" s="65"/>
      <c r="I26" s="65"/>
      <c r="J26" s="65"/>
      <c r="K26" s="66"/>
      <c r="L26" s="67">
        <v>0</v>
      </c>
      <c r="M26" s="67"/>
      <c r="N26" s="67"/>
      <c r="O26" s="67"/>
      <c r="P26" s="67"/>
      <c r="Q26" s="68" t="str">
        <f>IF(J26=0,"",I26*L26)</f>
        <v/>
      </c>
    </row>
    <row r="27" spans="1:18" ht="13.5" customHeight="1" x14ac:dyDescent="0.25">
      <c r="B27" s="659" t="s">
        <v>39</v>
      </c>
      <c r="C27" s="660"/>
      <c r="D27" s="660"/>
      <c r="E27" s="660"/>
      <c r="F27" s="660"/>
      <c r="G27" s="660"/>
      <c r="H27" s="660"/>
      <c r="I27" s="660"/>
      <c r="J27" s="660"/>
      <c r="K27" s="660"/>
      <c r="L27" s="660"/>
      <c r="M27" s="660"/>
      <c r="N27" s="661"/>
      <c r="O27" s="69" t="s">
        <v>28</v>
      </c>
      <c r="P27" s="69" t="s">
        <v>29</v>
      </c>
      <c r="Q27" s="70" t="s">
        <v>31</v>
      </c>
    </row>
    <row r="28" spans="1:18" ht="14.25" customHeight="1" x14ac:dyDescent="0.25">
      <c r="B28" s="662"/>
      <c r="C28" s="663"/>
      <c r="D28" s="663"/>
      <c r="E28" s="663"/>
      <c r="F28" s="663"/>
      <c r="G28" s="663"/>
      <c r="H28" s="663"/>
      <c r="I28" s="663"/>
      <c r="J28" s="663"/>
      <c r="K28" s="663"/>
      <c r="L28" s="663"/>
      <c r="M28" s="663"/>
      <c r="N28" s="664"/>
      <c r="O28" s="71">
        <f>SUM(O15:O25)</f>
        <v>162514.64869999999</v>
      </c>
      <c r="P28" s="71">
        <f>SUM(P15:P17)</f>
        <v>42700.543299999998</v>
      </c>
      <c r="Q28" s="72">
        <f>P28+O28</f>
        <v>205215.19199999998</v>
      </c>
      <c r="R28" s="73"/>
    </row>
    <row r="29" spans="1:18" ht="21.6" customHeight="1" x14ac:dyDescent="0.25">
      <c r="B29" s="665" t="s">
        <v>40</v>
      </c>
      <c r="C29" s="666"/>
      <c r="D29" s="666"/>
      <c r="E29" s="666"/>
      <c r="F29" s="666"/>
      <c r="G29" s="666"/>
      <c r="H29" s="666"/>
      <c r="I29" s="666"/>
      <c r="J29" s="666"/>
      <c r="K29" s="666"/>
      <c r="L29" s="666"/>
      <c r="M29" s="666"/>
      <c r="N29" s="666"/>
      <c r="O29" s="666"/>
      <c r="P29" s="666"/>
      <c r="Q29" s="667"/>
    </row>
    <row r="30" spans="1:18" s="79" customFormat="1" ht="28.5" customHeight="1" x14ac:dyDescent="0.25">
      <c r="A30" s="5"/>
      <c r="B30" s="76" t="s">
        <v>17</v>
      </c>
      <c r="C30" s="668" t="s">
        <v>41</v>
      </c>
      <c r="D30" s="669"/>
      <c r="E30" s="669"/>
      <c r="F30" s="669"/>
      <c r="G30" s="669"/>
      <c r="H30" s="669"/>
      <c r="I30" s="669"/>
      <c r="J30" s="669"/>
      <c r="K30" s="669"/>
      <c r="L30" s="669"/>
      <c r="M30" s="669"/>
      <c r="N30" s="670"/>
      <c r="O30" s="77" t="s">
        <v>42</v>
      </c>
      <c r="P30" s="77" t="s">
        <v>43</v>
      </c>
      <c r="Q30" s="78" t="s">
        <v>44</v>
      </c>
    </row>
    <row r="31" spans="1:18" x14ac:dyDescent="0.25">
      <c r="B31" s="80">
        <v>1</v>
      </c>
      <c r="C31" s="634" t="s">
        <v>45</v>
      </c>
      <c r="D31" s="635"/>
      <c r="E31" s="635"/>
      <c r="F31" s="635"/>
      <c r="G31" s="635"/>
      <c r="H31" s="635"/>
      <c r="I31" s="635"/>
      <c r="J31" s="635"/>
      <c r="K31" s="635"/>
      <c r="L31" s="635"/>
      <c r="M31" s="635"/>
      <c r="N31" s="636"/>
      <c r="O31" s="84">
        <f>'[1]DIESEL '!O65</f>
        <v>56321.714570000004</v>
      </c>
      <c r="P31" s="84">
        <f>'1ª MEDIÇÃO EV - GAMERIM '!O27</f>
        <v>26072.540979999998</v>
      </c>
      <c r="Q31" s="85">
        <f t="shared" ref="Q31" si="0">P31+O31</f>
        <v>82394.255550000002</v>
      </c>
    </row>
    <row r="32" spans="1:18" hidden="1" x14ac:dyDescent="0.25">
      <c r="B32" s="80">
        <v>2</v>
      </c>
      <c r="C32" s="634" t="s">
        <v>46</v>
      </c>
      <c r="D32" s="635"/>
      <c r="E32" s="635"/>
      <c r="F32" s="635"/>
      <c r="G32" s="635"/>
      <c r="H32" s="635"/>
      <c r="I32" s="635"/>
      <c r="J32" s="635"/>
      <c r="K32" s="635"/>
      <c r="L32" s="635"/>
      <c r="M32" s="635"/>
      <c r="N32" s="636"/>
      <c r="O32" s="84">
        <v>0</v>
      </c>
      <c r="P32" s="84">
        <f>'1ª MEDIÇÃO EV - GAMERIM '!O28</f>
        <v>16299.249999999998</v>
      </c>
      <c r="Q32" s="85">
        <f>O32+P32</f>
        <v>16299.249999999998</v>
      </c>
    </row>
    <row r="33" spans="2:17" x14ac:dyDescent="0.25">
      <c r="B33" s="80"/>
      <c r="C33" s="81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3"/>
      <c r="O33" s="84"/>
      <c r="P33" s="84"/>
      <c r="Q33" s="85"/>
    </row>
    <row r="34" spans="2:17" x14ac:dyDescent="0.25">
      <c r="B34" s="671" t="s">
        <v>39</v>
      </c>
      <c r="C34" s="672"/>
      <c r="D34" s="672"/>
      <c r="E34" s="672"/>
      <c r="F34" s="672"/>
      <c r="G34" s="672"/>
      <c r="H34" s="672"/>
      <c r="I34" s="672"/>
      <c r="J34" s="672"/>
      <c r="K34" s="672"/>
      <c r="L34" s="672"/>
      <c r="M34" s="672"/>
      <c r="N34" s="673"/>
      <c r="O34" s="87">
        <f>SUM(O31:O33)</f>
        <v>56321.714570000004</v>
      </c>
      <c r="P34" s="87">
        <f>SUM(P31:P33)</f>
        <v>42371.790979999998</v>
      </c>
      <c r="Q34" s="88">
        <f>SUM(Q31:Q33)</f>
        <v>98693.505550000002</v>
      </c>
    </row>
    <row r="35" spans="2:17" x14ac:dyDescent="0.25">
      <c r="B35" s="665"/>
      <c r="C35" s="666"/>
      <c r="D35" s="666"/>
      <c r="E35" s="666"/>
      <c r="F35" s="666"/>
      <c r="G35" s="666"/>
      <c r="H35" s="666"/>
      <c r="I35" s="666"/>
      <c r="J35" s="666"/>
      <c r="K35" s="666"/>
      <c r="L35" s="666"/>
      <c r="M35" s="666"/>
      <c r="N35" s="666"/>
      <c r="O35" s="666"/>
      <c r="P35" s="666"/>
      <c r="Q35" s="667"/>
    </row>
    <row r="36" spans="2:17" x14ac:dyDescent="0.25">
      <c r="B36" s="74"/>
      <c r="C36" s="75"/>
      <c r="D36" s="75"/>
      <c r="E36" s="89"/>
      <c r="F36" s="75"/>
      <c r="G36" s="75"/>
      <c r="H36" s="75"/>
      <c r="I36" s="75"/>
      <c r="J36" s="75"/>
      <c r="K36" s="75"/>
      <c r="L36" s="75"/>
      <c r="M36" s="75"/>
      <c r="N36" s="86" t="s">
        <v>47</v>
      </c>
      <c r="O36" s="90">
        <f>O28-O34</f>
        <v>106192.93412999998</v>
      </c>
      <c r="P36" s="90">
        <v>0</v>
      </c>
      <c r="Q36" s="91">
        <f>Q28-Q34</f>
        <v>106521.68644999998</v>
      </c>
    </row>
    <row r="37" spans="2:17" x14ac:dyDescent="0.25">
      <c r="B37" s="674" t="s">
        <v>48</v>
      </c>
      <c r="C37" s="675"/>
      <c r="D37" s="675"/>
      <c r="E37" s="675"/>
      <c r="F37" s="675"/>
      <c r="G37" s="675"/>
      <c r="H37" s="675"/>
      <c r="I37" s="675"/>
      <c r="J37" s="675"/>
      <c r="K37" s="675"/>
      <c r="L37" s="675"/>
      <c r="M37" s="675"/>
      <c r="N37" s="675"/>
      <c r="O37" s="675"/>
      <c r="P37" s="675"/>
      <c r="Q37" s="676"/>
    </row>
    <row r="38" spans="2:17" x14ac:dyDescent="0.25">
      <c r="B38" s="92" t="s">
        <v>17</v>
      </c>
      <c r="C38" s="677" t="s">
        <v>19</v>
      </c>
      <c r="D38" s="678"/>
      <c r="E38" s="678"/>
      <c r="F38" s="678"/>
      <c r="G38" s="678"/>
      <c r="H38" s="678"/>
      <c r="I38" s="678"/>
      <c r="J38" s="678"/>
      <c r="K38" s="678"/>
      <c r="L38" s="678"/>
      <c r="M38" s="678"/>
      <c r="N38" s="679"/>
      <c r="O38" s="677" t="s">
        <v>49</v>
      </c>
      <c r="P38" s="678"/>
      <c r="Q38" s="680"/>
    </row>
    <row r="39" spans="2:17" x14ac:dyDescent="0.25">
      <c r="B39" s="93"/>
      <c r="C39" s="681"/>
      <c r="D39" s="682"/>
      <c r="E39" s="682"/>
      <c r="F39" s="682"/>
      <c r="G39" s="682"/>
      <c r="H39" s="682"/>
      <c r="I39" s="682"/>
      <c r="J39" s="682"/>
      <c r="K39" s="682"/>
      <c r="L39" s="682"/>
      <c r="M39" s="682"/>
      <c r="N39" s="683"/>
      <c r="O39" s="684"/>
      <c r="P39" s="685"/>
      <c r="Q39" s="686"/>
    </row>
    <row r="40" spans="2:17" x14ac:dyDescent="0.25">
      <c r="B40" s="655" t="s">
        <v>39</v>
      </c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7"/>
      <c r="O40" s="643">
        <v>0</v>
      </c>
      <c r="P40" s="644"/>
      <c r="Q40" s="645"/>
    </row>
    <row r="41" spans="2:17" x14ac:dyDescent="0.25">
      <c r="B41" s="94" t="s">
        <v>50</v>
      </c>
      <c r="C41" s="7"/>
      <c r="D41" s="7"/>
      <c r="E41" s="7"/>
      <c r="F41" s="7"/>
      <c r="G41" s="7"/>
      <c r="H41" s="95"/>
      <c r="I41" s="637"/>
      <c r="J41" s="638"/>
      <c r="K41" s="638"/>
      <c r="L41" s="638"/>
      <c r="M41" s="638"/>
      <c r="N41" s="638"/>
      <c r="O41" s="638"/>
      <c r="P41" s="638"/>
      <c r="Q41" s="639"/>
    </row>
    <row r="42" spans="2:17" ht="15" customHeight="1" x14ac:dyDescent="0.25">
      <c r="B42" s="96" t="s">
        <v>51</v>
      </c>
      <c r="C42" s="97"/>
      <c r="D42" s="97"/>
      <c r="E42" s="97"/>
      <c r="F42" s="97"/>
      <c r="G42" s="97"/>
      <c r="H42" s="98"/>
      <c r="I42" s="640" t="s">
        <v>52</v>
      </c>
      <c r="J42" s="641"/>
      <c r="K42" s="641"/>
      <c r="L42" s="641"/>
      <c r="M42" s="641"/>
      <c r="N42" s="642"/>
      <c r="O42" s="643">
        <f>O36+O40</f>
        <v>106192.93412999998</v>
      </c>
      <c r="P42" s="644"/>
      <c r="Q42" s="645"/>
    </row>
    <row r="43" spans="2:17" ht="15" customHeight="1" x14ac:dyDescent="0.25">
      <c r="B43" s="96" t="s">
        <v>53</v>
      </c>
      <c r="C43" s="97"/>
      <c r="D43" s="97"/>
      <c r="E43" s="97"/>
      <c r="F43" s="97"/>
      <c r="G43" s="97"/>
      <c r="H43" s="98"/>
      <c r="I43" s="646" t="s">
        <v>54</v>
      </c>
      <c r="J43" s="100" t="s">
        <v>55</v>
      </c>
      <c r="K43" s="99"/>
      <c r="L43" s="649"/>
      <c r="M43" s="650"/>
      <c r="N43" s="651"/>
      <c r="O43" s="652"/>
      <c r="P43" s="653"/>
      <c r="Q43" s="654"/>
    </row>
    <row r="44" spans="2:17" ht="15" customHeight="1" x14ac:dyDescent="0.25">
      <c r="B44" s="96" t="s">
        <v>56</v>
      </c>
      <c r="C44" s="97"/>
      <c r="D44" s="97"/>
      <c r="E44" s="97"/>
      <c r="F44" s="97"/>
      <c r="G44" s="97"/>
      <c r="H44" s="98"/>
      <c r="I44" s="647"/>
      <c r="J44" s="11" t="s">
        <v>57</v>
      </c>
      <c r="K44" s="11"/>
      <c r="L44" s="649"/>
      <c r="M44" s="650"/>
      <c r="N44" s="651"/>
      <c r="O44" s="643"/>
      <c r="P44" s="644"/>
      <c r="Q44" s="645"/>
    </row>
    <row r="45" spans="2:17" x14ac:dyDescent="0.25">
      <c r="B45" s="101" t="s">
        <v>58</v>
      </c>
      <c r="C45" s="97"/>
      <c r="D45" s="97"/>
      <c r="E45" s="97"/>
      <c r="F45" s="97"/>
      <c r="G45" s="97"/>
      <c r="H45" s="98"/>
      <c r="I45" s="648"/>
      <c r="J45" s="100" t="s">
        <v>59</v>
      </c>
      <c r="K45" s="99"/>
      <c r="L45" s="650"/>
      <c r="M45" s="650"/>
      <c r="N45" s="651"/>
      <c r="O45" s="652"/>
      <c r="P45" s="653"/>
      <c r="Q45" s="654"/>
    </row>
    <row r="46" spans="2:17" ht="14.25" customHeight="1" thickBot="1" x14ac:dyDescent="0.3">
      <c r="B46" s="102"/>
      <c r="C46" s="103"/>
      <c r="D46" s="103"/>
      <c r="E46" s="103"/>
      <c r="F46" s="103"/>
      <c r="G46" s="103"/>
      <c r="H46" s="104"/>
      <c r="I46" s="625" t="s">
        <v>60</v>
      </c>
      <c r="J46" s="626"/>
      <c r="K46" s="626"/>
      <c r="L46" s="626"/>
      <c r="M46" s="626"/>
      <c r="N46" s="627"/>
      <c r="O46" s="628">
        <f>O42-O43-O44-O45</f>
        <v>106192.93412999998</v>
      </c>
      <c r="P46" s="629"/>
      <c r="Q46" s="630"/>
    </row>
    <row r="47" spans="2:17" ht="37.5" customHeight="1" x14ac:dyDescent="0.25">
      <c r="B47" s="105"/>
      <c r="C47" s="622" t="s">
        <v>403</v>
      </c>
      <c r="D47" s="622"/>
      <c r="E47" s="622"/>
      <c r="F47" s="622"/>
      <c r="G47" s="622" t="s">
        <v>406</v>
      </c>
      <c r="H47" s="622"/>
      <c r="I47" s="619" t="s">
        <v>406</v>
      </c>
      <c r="J47" s="619"/>
      <c r="K47" s="619"/>
      <c r="L47" s="619" t="s">
        <v>406</v>
      </c>
      <c r="M47" s="619"/>
      <c r="N47" s="619"/>
      <c r="O47" s="622" t="s">
        <v>406</v>
      </c>
      <c r="P47" s="622"/>
      <c r="Q47" s="108"/>
    </row>
    <row r="48" spans="2:17" ht="35.25" customHeight="1" x14ac:dyDescent="0.25">
      <c r="B48" s="109"/>
      <c r="F48" s="106"/>
      <c r="I48" s="106"/>
      <c r="J48" s="106"/>
      <c r="L48" s="106"/>
      <c r="M48" s="106"/>
      <c r="O48" s="1"/>
      <c r="Q48" s="108"/>
    </row>
    <row r="49" spans="2:17" ht="15" customHeight="1" x14ac:dyDescent="0.25">
      <c r="B49" s="105"/>
      <c r="F49" s="5"/>
      <c r="I49" s="106"/>
      <c r="J49" s="106"/>
      <c r="L49" s="106"/>
      <c r="M49" s="106"/>
      <c r="O49" s="1"/>
      <c r="Q49" s="108"/>
    </row>
    <row r="50" spans="2:17" ht="15" customHeight="1" x14ac:dyDescent="0.25">
      <c r="B50" s="105"/>
      <c r="C50" s="110"/>
      <c r="D50" s="110"/>
      <c r="E50" s="110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8"/>
    </row>
    <row r="51" spans="2:17" ht="15.75" customHeight="1" x14ac:dyDescent="0.25">
      <c r="B51" s="111"/>
      <c r="C51" s="623" t="s">
        <v>407</v>
      </c>
      <c r="D51" s="623"/>
      <c r="E51" s="623"/>
      <c r="F51" s="623"/>
      <c r="G51" s="623" t="s">
        <v>414</v>
      </c>
      <c r="H51" s="623"/>
      <c r="I51" s="620" t="s">
        <v>411</v>
      </c>
      <c r="J51" s="620"/>
      <c r="K51" s="620"/>
      <c r="L51" s="620" t="s">
        <v>411</v>
      </c>
      <c r="M51" s="620"/>
      <c r="N51" s="620"/>
      <c r="O51" s="623" t="s">
        <v>408</v>
      </c>
      <c r="P51" s="623"/>
      <c r="Q51" s="108"/>
    </row>
    <row r="52" spans="2:17" ht="15" customHeight="1" x14ac:dyDescent="0.25">
      <c r="B52" s="111"/>
      <c r="C52" s="623" t="s">
        <v>404</v>
      </c>
      <c r="D52" s="623"/>
      <c r="E52" s="623"/>
      <c r="F52" s="623"/>
      <c r="G52" s="624" t="s">
        <v>409</v>
      </c>
      <c r="H52" s="624"/>
      <c r="I52" s="621" t="s">
        <v>412</v>
      </c>
      <c r="J52" s="621"/>
      <c r="K52" s="621"/>
      <c r="L52" s="621" t="s">
        <v>413</v>
      </c>
      <c r="M52" s="621"/>
      <c r="N52" s="621"/>
      <c r="O52" s="621" t="s">
        <v>415</v>
      </c>
      <c r="P52" s="621"/>
      <c r="Q52" s="108"/>
    </row>
    <row r="53" spans="2:17" ht="15" customHeight="1" x14ac:dyDescent="0.25">
      <c r="B53" s="111"/>
      <c r="C53" s="623" t="s">
        <v>405</v>
      </c>
      <c r="D53" s="623"/>
      <c r="E53" s="623"/>
      <c r="F53" s="623"/>
      <c r="G53" s="624" t="s">
        <v>410</v>
      </c>
      <c r="H53" s="624"/>
      <c r="I53" s="620"/>
      <c r="J53" s="620"/>
      <c r="K53" s="620"/>
      <c r="N53" s="112"/>
      <c r="O53" s="609" t="s">
        <v>416</v>
      </c>
      <c r="P53" s="609"/>
      <c r="Q53" s="114"/>
    </row>
    <row r="54" spans="2:17" ht="15.75" customHeight="1" thickBot="1" x14ac:dyDescent="0.3">
      <c r="B54" s="115"/>
      <c r="C54" s="116"/>
      <c r="D54" s="116"/>
      <c r="E54" s="117"/>
      <c r="F54" s="118"/>
      <c r="G54" s="118"/>
      <c r="H54" s="119"/>
      <c r="I54" s="119"/>
      <c r="J54" s="119"/>
      <c r="K54" s="119"/>
      <c r="L54" s="119"/>
      <c r="M54" s="119"/>
      <c r="N54" s="119"/>
      <c r="O54" s="120"/>
      <c r="P54" s="120"/>
      <c r="Q54" s="121"/>
    </row>
    <row r="55" spans="2:17" ht="39" customHeight="1" x14ac:dyDescent="0.25"/>
  </sheetData>
  <mergeCells count="89">
    <mergeCell ref="B2:E6"/>
    <mergeCell ref="B8:C8"/>
    <mergeCell ref="D8:I8"/>
    <mergeCell ref="K8:N8"/>
    <mergeCell ref="P8:Q8"/>
    <mergeCell ref="B9:C9"/>
    <mergeCell ref="D9:I9"/>
    <mergeCell ref="P9:Q9"/>
    <mergeCell ref="B10:C10"/>
    <mergeCell ref="D10:E10"/>
    <mergeCell ref="M10:N10"/>
    <mergeCell ref="P10:Q10"/>
    <mergeCell ref="B11:C11"/>
    <mergeCell ref="D11:E11"/>
    <mergeCell ref="M11:N11"/>
    <mergeCell ref="P11:Q11"/>
    <mergeCell ref="B13:B14"/>
    <mergeCell ref="C13:D14"/>
    <mergeCell ref="E13:G14"/>
    <mergeCell ref="H13:H14"/>
    <mergeCell ref="K13:K14"/>
    <mergeCell ref="L13:N13"/>
    <mergeCell ref="C21:D21"/>
    <mergeCell ref="C22:D22"/>
    <mergeCell ref="E22:G22"/>
    <mergeCell ref="O13:Q13"/>
    <mergeCell ref="C15:D15"/>
    <mergeCell ref="E15:G15"/>
    <mergeCell ref="C16:D16"/>
    <mergeCell ref="E16:G16"/>
    <mergeCell ref="C17:D17"/>
    <mergeCell ref="C18:D18"/>
    <mergeCell ref="C19:D19"/>
    <mergeCell ref="C23:D23"/>
    <mergeCell ref="E23:G23"/>
    <mergeCell ref="C24:D24"/>
    <mergeCell ref="E24:G24"/>
    <mergeCell ref="C25:D25"/>
    <mergeCell ref="E25:G25"/>
    <mergeCell ref="B40:N40"/>
    <mergeCell ref="O40:Q40"/>
    <mergeCell ref="E26:G26"/>
    <mergeCell ref="B27:N28"/>
    <mergeCell ref="B29:Q29"/>
    <mergeCell ref="C30:N30"/>
    <mergeCell ref="B34:N34"/>
    <mergeCell ref="B35:Q35"/>
    <mergeCell ref="B37:Q37"/>
    <mergeCell ref="C38:N38"/>
    <mergeCell ref="O38:Q38"/>
    <mergeCell ref="C39:N39"/>
    <mergeCell ref="O39:Q39"/>
    <mergeCell ref="O46:Q46"/>
    <mergeCell ref="E17:G17"/>
    <mergeCell ref="E18:G18"/>
    <mergeCell ref="E19:G19"/>
    <mergeCell ref="C32:N32"/>
    <mergeCell ref="C31:N31"/>
    <mergeCell ref="I41:Q41"/>
    <mergeCell ref="I42:N42"/>
    <mergeCell ref="O42:Q42"/>
    <mergeCell ref="I43:I45"/>
    <mergeCell ref="L43:N43"/>
    <mergeCell ref="O43:Q43"/>
    <mergeCell ref="L44:N44"/>
    <mergeCell ref="O44:Q44"/>
    <mergeCell ref="L45:N45"/>
    <mergeCell ref="O45:Q45"/>
    <mergeCell ref="G47:H47"/>
    <mergeCell ref="G51:H51"/>
    <mergeCell ref="G52:H52"/>
    <mergeCell ref="G53:H53"/>
    <mergeCell ref="I46:N46"/>
    <mergeCell ref="O53:P53"/>
    <mergeCell ref="F2:Q6"/>
    <mergeCell ref="L47:N47"/>
    <mergeCell ref="L51:N51"/>
    <mergeCell ref="L52:N52"/>
    <mergeCell ref="O47:P47"/>
    <mergeCell ref="O51:P51"/>
    <mergeCell ref="O52:P52"/>
    <mergeCell ref="C47:F47"/>
    <mergeCell ref="C51:F51"/>
    <mergeCell ref="I47:K47"/>
    <mergeCell ref="I51:K51"/>
    <mergeCell ref="I52:K52"/>
    <mergeCell ref="I53:K53"/>
    <mergeCell ref="C52:F52"/>
    <mergeCell ref="C53:F53"/>
  </mergeCells>
  <dataValidations count="1">
    <dataValidation type="date" operator="greaterThanOrEqual" allowBlank="1" showInputMessage="1" showErrorMessage="1" sqref="M65470:M65471 N982975:P982975 N917439:P917439 N851903:P851903 N786367:P786367 N720831:P720831 N655295:P655295 N589759:P589759 N524223:P524223 N458687:P458687 N393151:P393151 N327615:P327615 N262079:P262079 N196543:P196543 N131007:P131007 N65471:P65471 Q982974:Q982975 Q917438:Q917439 Q851902:Q851903 Q786366:Q786367 Q720830:Q720831 Q655294:Q655295 Q589758:Q589759 Q524222:Q524223 Q458686:Q458687 Q393150:Q393151 Q327614:Q327615 Q262078:Q262079 Q196542:Q196543 Q131006:Q131007 Q65470:Q65471 M982974:M982975 M917438:M917439 M851902:M851903 M786366:M786367 M720830:M720831 M655294:M655295 M589758:M589759 M524222:M524223 M458686:M458687 M393150:M393151 M327614:M327615 M262078:M262079 M196542:M196543 M131006:M131007 M12:Q12" xr:uid="{D65C9C84-F610-4292-974E-BD9CE89390AA}">
      <formula1>TODAY()</formula1>
    </dataValidation>
  </dataValidations>
  <printOptions horizontalCentered="1"/>
  <pageMargins left="0.25" right="0.25" top="0.75" bottom="0.75" header="0.3" footer="0.3"/>
  <pageSetup paperSize="9" scale="47" orientation="landscape" r:id="rId1"/>
  <rowBreaks count="1" manualBreakCount="1">
    <brk id="46" max="16383" man="1"/>
  </rowBreaks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13AE-C9BC-4C1D-ABA6-4833DFE28E67}">
  <sheetPr>
    <tabColor theme="9" tint="0.59999389629810485"/>
    <pageSetUpPr fitToPage="1"/>
  </sheetPr>
  <dimension ref="A1:Q186"/>
  <sheetViews>
    <sheetView showGridLines="0" view="pageBreakPreview" zoomScale="70" zoomScaleNormal="100" zoomScaleSheetLayoutView="70" workbookViewId="0">
      <pane ySplit="1" topLeftCell="A7" activePane="bottomLeft" state="frozen"/>
      <selection activeCell="E1" sqref="E1"/>
      <selection pane="bottomLeft" activeCell="E12" sqref="E12"/>
    </sheetView>
  </sheetViews>
  <sheetFormatPr defaultRowHeight="15.6" x14ac:dyDescent="0.3"/>
  <cols>
    <col min="1" max="1" width="7.6640625" style="122" customWidth="1"/>
    <col min="2" max="2" width="3" style="122" customWidth="1"/>
    <col min="3" max="3" width="13.33203125" style="278" customWidth="1"/>
    <col min="4" max="4" width="27.5546875" style="278" customWidth="1"/>
    <col min="5" max="5" width="25.6640625" style="278" customWidth="1"/>
    <col min="6" max="6" width="19.6640625" style="278" customWidth="1"/>
    <col min="7" max="7" width="30.88671875" style="122" customWidth="1"/>
    <col min="8" max="8" width="44.109375" style="122" customWidth="1"/>
    <col min="9" max="9" width="10.109375" style="278" customWidth="1"/>
    <col min="10" max="10" width="19.5546875" style="279" customWidth="1"/>
    <col min="11" max="11" width="23.33203125" style="280" bestFit="1" customWidth="1"/>
    <col min="12" max="12" width="15" style="278" bestFit="1" customWidth="1"/>
    <col min="13" max="13" width="25.109375" style="278" bestFit="1" customWidth="1"/>
    <col min="14" max="14" width="27.6640625" style="278" customWidth="1"/>
    <col min="15" max="15" width="3" style="281" customWidth="1"/>
    <col min="16" max="16" width="11.44140625" style="125" customWidth="1"/>
    <col min="17" max="17" width="11.44140625" style="126" customWidth="1"/>
    <col min="18" max="18" width="10.5546875" style="125" customWidth="1"/>
    <col min="19" max="19" width="8.88671875" style="125"/>
    <col min="20" max="20" width="12.5546875" style="125" bestFit="1" customWidth="1"/>
    <col min="21" max="251" width="8.88671875" style="125"/>
    <col min="252" max="252" width="9.6640625" style="125" customWidth="1"/>
    <col min="253" max="253" width="15.109375" style="125" bestFit="1" customWidth="1"/>
    <col min="254" max="254" width="14" style="125" bestFit="1" customWidth="1"/>
    <col min="255" max="255" width="17.109375" style="125" bestFit="1" customWidth="1"/>
    <col min="256" max="256" width="34.33203125" style="125" customWidth="1"/>
    <col min="257" max="257" width="5.6640625" style="125" customWidth="1"/>
    <col min="258" max="258" width="10.109375" style="125" bestFit="1" customWidth="1"/>
    <col min="259" max="259" width="9.6640625" style="125" customWidth="1"/>
    <col min="260" max="260" width="14.6640625" style="125" customWidth="1"/>
    <col min="261" max="261" width="8.6640625" style="125" customWidth="1"/>
    <col min="262" max="262" width="11.5546875" style="125" customWidth="1"/>
    <col min="263" max="263" width="14.6640625" style="125" customWidth="1"/>
    <col min="264" max="507" width="8.88671875" style="125"/>
    <col min="508" max="508" width="9.6640625" style="125" customWidth="1"/>
    <col min="509" max="509" width="15.109375" style="125" bestFit="1" customWidth="1"/>
    <col min="510" max="510" width="14" style="125" bestFit="1" customWidth="1"/>
    <col min="511" max="511" width="17.109375" style="125" bestFit="1" customWidth="1"/>
    <col min="512" max="512" width="34.33203125" style="125" customWidth="1"/>
    <col min="513" max="513" width="5.6640625" style="125" customWidth="1"/>
    <col min="514" max="514" width="10.109375" style="125" bestFit="1" customWidth="1"/>
    <col min="515" max="515" width="9.6640625" style="125" customWidth="1"/>
    <col min="516" max="516" width="14.6640625" style="125" customWidth="1"/>
    <col min="517" max="517" width="8.6640625" style="125" customWidth="1"/>
    <col min="518" max="518" width="11.5546875" style="125" customWidth="1"/>
    <col min="519" max="519" width="14.6640625" style="125" customWidth="1"/>
    <col min="520" max="763" width="8.88671875" style="125"/>
    <col min="764" max="764" width="9.6640625" style="125" customWidth="1"/>
    <col min="765" max="765" width="15.109375" style="125" bestFit="1" customWidth="1"/>
    <col min="766" max="766" width="14" style="125" bestFit="1" customWidth="1"/>
    <col min="767" max="767" width="17.109375" style="125" bestFit="1" customWidth="1"/>
    <col min="768" max="768" width="34.33203125" style="125" customWidth="1"/>
    <col min="769" max="769" width="5.6640625" style="125" customWidth="1"/>
    <col min="770" max="770" width="10.109375" style="125" bestFit="1" customWidth="1"/>
    <col min="771" max="771" width="9.6640625" style="125" customWidth="1"/>
    <col min="772" max="772" width="14.6640625" style="125" customWidth="1"/>
    <col min="773" max="773" width="8.6640625" style="125" customWidth="1"/>
    <col min="774" max="774" width="11.5546875" style="125" customWidth="1"/>
    <col min="775" max="775" width="14.6640625" style="125" customWidth="1"/>
    <col min="776" max="1019" width="8.88671875" style="125"/>
    <col min="1020" max="1020" width="9.6640625" style="125" customWidth="1"/>
    <col min="1021" max="1021" width="15.109375" style="125" bestFit="1" customWidth="1"/>
    <col min="1022" max="1022" width="14" style="125" bestFit="1" customWidth="1"/>
    <col min="1023" max="1023" width="17.109375" style="125" bestFit="1" customWidth="1"/>
    <col min="1024" max="1024" width="34.33203125" style="125" customWidth="1"/>
    <col min="1025" max="1025" width="5.6640625" style="125" customWidth="1"/>
    <col min="1026" max="1026" width="10.109375" style="125" bestFit="1" customWidth="1"/>
    <col min="1027" max="1027" width="9.6640625" style="125" customWidth="1"/>
    <col min="1028" max="1028" width="14.6640625" style="125" customWidth="1"/>
    <col min="1029" max="1029" width="8.6640625" style="125" customWidth="1"/>
    <col min="1030" max="1030" width="11.5546875" style="125" customWidth="1"/>
    <col min="1031" max="1031" width="14.6640625" style="125" customWidth="1"/>
    <col min="1032" max="1275" width="8.88671875" style="125"/>
    <col min="1276" max="1276" width="9.6640625" style="125" customWidth="1"/>
    <col min="1277" max="1277" width="15.109375" style="125" bestFit="1" customWidth="1"/>
    <col min="1278" max="1278" width="14" style="125" bestFit="1" customWidth="1"/>
    <col min="1279" max="1279" width="17.109375" style="125" bestFit="1" customWidth="1"/>
    <col min="1280" max="1280" width="34.33203125" style="125" customWidth="1"/>
    <col min="1281" max="1281" width="5.6640625" style="125" customWidth="1"/>
    <col min="1282" max="1282" width="10.109375" style="125" bestFit="1" customWidth="1"/>
    <col min="1283" max="1283" width="9.6640625" style="125" customWidth="1"/>
    <col min="1284" max="1284" width="14.6640625" style="125" customWidth="1"/>
    <col min="1285" max="1285" width="8.6640625" style="125" customWidth="1"/>
    <col min="1286" max="1286" width="11.5546875" style="125" customWidth="1"/>
    <col min="1287" max="1287" width="14.6640625" style="125" customWidth="1"/>
    <col min="1288" max="1531" width="8.88671875" style="125"/>
    <col min="1532" max="1532" width="9.6640625" style="125" customWidth="1"/>
    <col min="1533" max="1533" width="15.109375" style="125" bestFit="1" customWidth="1"/>
    <col min="1534" max="1534" width="14" style="125" bestFit="1" customWidth="1"/>
    <col min="1535" max="1535" width="17.109375" style="125" bestFit="1" customWidth="1"/>
    <col min="1536" max="1536" width="34.33203125" style="125" customWidth="1"/>
    <col min="1537" max="1537" width="5.6640625" style="125" customWidth="1"/>
    <col min="1538" max="1538" width="10.109375" style="125" bestFit="1" customWidth="1"/>
    <col min="1539" max="1539" width="9.6640625" style="125" customWidth="1"/>
    <col min="1540" max="1540" width="14.6640625" style="125" customWidth="1"/>
    <col min="1541" max="1541" width="8.6640625" style="125" customWidth="1"/>
    <col min="1542" max="1542" width="11.5546875" style="125" customWidth="1"/>
    <col min="1543" max="1543" width="14.6640625" style="125" customWidth="1"/>
    <col min="1544" max="1787" width="8.88671875" style="125"/>
    <col min="1788" max="1788" width="9.6640625" style="125" customWidth="1"/>
    <col min="1789" max="1789" width="15.109375" style="125" bestFit="1" customWidth="1"/>
    <col min="1790" max="1790" width="14" style="125" bestFit="1" customWidth="1"/>
    <col min="1791" max="1791" width="17.109375" style="125" bestFit="1" customWidth="1"/>
    <col min="1792" max="1792" width="34.33203125" style="125" customWidth="1"/>
    <col min="1793" max="1793" width="5.6640625" style="125" customWidth="1"/>
    <col min="1794" max="1794" width="10.109375" style="125" bestFit="1" customWidth="1"/>
    <col min="1795" max="1795" width="9.6640625" style="125" customWidth="1"/>
    <col min="1796" max="1796" width="14.6640625" style="125" customWidth="1"/>
    <col min="1797" max="1797" width="8.6640625" style="125" customWidth="1"/>
    <col min="1798" max="1798" width="11.5546875" style="125" customWidth="1"/>
    <col min="1799" max="1799" width="14.6640625" style="125" customWidth="1"/>
    <col min="1800" max="2043" width="8.88671875" style="125"/>
    <col min="2044" max="2044" width="9.6640625" style="125" customWidth="1"/>
    <col min="2045" max="2045" width="15.109375" style="125" bestFit="1" customWidth="1"/>
    <col min="2046" max="2046" width="14" style="125" bestFit="1" customWidth="1"/>
    <col min="2047" max="2047" width="17.109375" style="125" bestFit="1" customWidth="1"/>
    <col min="2048" max="2048" width="34.33203125" style="125" customWidth="1"/>
    <col min="2049" max="2049" width="5.6640625" style="125" customWidth="1"/>
    <col min="2050" max="2050" width="10.109375" style="125" bestFit="1" customWidth="1"/>
    <col min="2051" max="2051" width="9.6640625" style="125" customWidth="1"/>
    <col min="2052" max="2052" width="14.6640625" style="125" customWidth="1"/>
    <col min="2053" max="2053" width="8.6640625" style="125" customWidth="1"/>
    <col min="2054" max="2054" width="11.5546875" style="125" customWidth="1"/>
    <col min="2055" max="2055" width="14.6640625" style="125" customWidth="1"/>
    <col min="2056" max="2299" width="8.88671875" style="125"/>
    <col min="2300" max="2300" width="9.6640625" style="125" customWidth="1"/>
    <col min="2301" max="2301" width="15.109375" style="125" bestFit="1" customWidth="1"/>
    <col min="2302" max="2302" width="14" style="125" bestFit="1" customWidth="1"/>
    <col min="2303" max="2303" width="17.109375" style="125" bestFit="1" customWidth="1"/>
    <col min="2304" max="2304" width="34.33203125" style="125" customWidth="1"/>
    <col min="2305" max="2305" width="5.6640625" style="125" customWidth="1"/>
    <col min="2306" max="2306" width="10.109375" style="125" bestFit="1" customWidth="1"/>
    <col min="2307" max="2307" width="9.6640625" style="125" customWidth="1"/>
    <col min="2308" max="2308" width="14.6640625" style="125" customWidth="1"/>
    <col min="2309" max="2309" width="8.6640625" style="125" customWidth="1"/>
    <col min="2310" max="2310" width="11.5546875" style="125" customWidth="1"/>
    <col min="2311" max="2311" width="14.6640625" style="125" customWidth="1"/>
    <col min="2312" max="2555" width="8.88671875" style="125"/>
    <col min="2556" max="2556" width="9.6640625" style="125" customWidth="1"/>
    <col min="2557" max="2557" width="15.109375" style="125" bestFit="1" customWidth="1"/>
    <col min="2558" max="2558" width="14" style="125" bestFit="1" customWidth="1"/>
    <col min="2559" max="2559" width="17.109375" style="125" bestFit="1" customWidth="1"/>
    <col min="2560" max="2560" width="34.33203125" style="125" customWidth="1"/>
    <col min="2561" max="2561" width="5.6640625" style="125" customWidth="1"/>
    <col min="2562" max="2562" width="10.109375" style="125" bestFit="1" customWidth="1"/>
    <col min="2563" max="2563" width="9.6640625" style="125" customWidth="1"/>
    <col min="2564" max="2564" width="14.6640625" style="125" customWidth="1"/>
    <col min="2565" max="2565" width="8.6640625" style="125" customWidth="1"/>
    <col min="2566" max="2566" width="11.5546875" style="125" customWidth="1"/>
    <col min="2567" max="2567" width="14.6640625" style="125" customWidth="1"/>
    <col min="2568" max="2811" width="8.88671875" style="125"/>
    <col min="2812" max="2812" width="9.6640625" style="125" customWidth="1"/>
    <col min="2813" max="2813" width="15.109375" style="125" bestFit="1" customWidth="1"/>
    <col min="2814" max="2814" width="14" style="125" bestFit="1" customWidth="1"/>
    <col min="2815" max="2815" width="17.109375" style="125" bestFit="1" customWidth="1"/>
    <col min="2816" max="2816" width="34.33203125" style="125" customWidth="1"/>
    <col min="2817" max="2817" width="5.6640625" style="125" customWidth="1"/>
    <col min="2818" max="2818" width="10.109375" style="125" bestFit="1" customWidth="1"/>
    <col min="2819" max="2819" width="9.6640625" style="125" customWidth="1"/>
    <col min="2820" max="2820" width="14.6640625" style="125" customWidth="1"/>
    <col min="2821" max="2821" width="8.6640625" style="125" customWidth="1"/>
    <col min="2822" max="2822" width="11.5546875" style="125" customWidth="1"/>
    <col min="2823" max="2823" width="14.6640625" style="125" customWidth="1"/>
    <col min="2824" max="3067" width="8.88671875" style="125"/>
    <col min="3068" max="3068" width="9.6640625" style="125" customWidth="1"/>
    <col min="3069" max="3069" width="15.109375" style="125" bestFit="1" customWidth="1"/>
    <col min="3070" max="3070" width="14" style="125" bestFit="1" customWidth="1"/>
    <col min="3071" max="3071" width="17.109375" style="125" bestFit="1" customWidth="1"/>
    <col min="3072" max="3072" width="34.33203125" style="125" customWidth="1"/>
    <col min="3073" max="3073" width="5.6640625" style="125" customWidth="1"/>
    <col min="3074" max="3074" width="10.109375" style="125" bestFit="1" customWidth="1"/>
    <col min="3075" max="3075" width="9.6640625" style="125" customWidth="1"/>
    <col min="3076" max="3076" width="14.6640625" style="125" customWidth="1"/>
    <col min="3077" max="3077" width="8.6640625" style="125" customWidth="1"/>
    <col min="3078" max="3078" width="11.5546875" style="125" customWidth="1"/>
    <col min="3079" max="3079" width="14.6640625" style="125" customWidth="1"/>
    <col min="3080" max="3323" width="8.88671875" style="125"/>
    <col min="3324" max="3324" width="9.6640625" style="125" customWidth="1"/>
    <col min="3325" max="3325" width="15.109375" style="125" bestFit="1" customWidth="1"/>
    <col min="3326" max="3326" width="14" style="125" bestFit="1" customWidth="1"/>
    <col min="3327" max="3327" width="17.109375" style="125" bestFit="1" customWidth="1"/>
    <col min="3328" max="3328" width="34.33203125" style="125" customWidth="1"/>
    <col min="3329" max="3329" width="5.6640625" style="125" customWidth="1"/>
    <col min="3330" max="3330" width="10.109375" style="125" bestFit="1" customWidth="1"/>
    <col min="3331" max="3331" width="9.6640625" style="125" customWidth="1"/>
    <col min="3332" max="3332" width="14.6640625" style="125" customWidth="1"/>
    <col min="3333" max="3333" width="8.6640625" style="125" customWidth="1"/>
    <col min="3334" max="3334" width="11.5546875" style="125" customWidth="1"/>
    <col min="3335" max="3335" width="14.6640625" style="125" customWidth="1"/>
    <col min="3336" max="3579" width="8.88671875" style="125"/>
    <col min="3580" max="3580" width="9.6640625" style="125" customWidth="1"/>
    <col min="3581" max="3581" width="15.109375" style="125" bestFit="1" customWidth="1"/>
    <col min="3582" max="3582" width="14" style="125" bestFit="1" customWidth="1"/>
    <col min="3583" max="3583" width="17.109375" style="125" bestFit="1" customWidth="1"/>
    <col min="3584" max="3584" width="34.33203125" style="125" customWidth="1"/>
    <col min="3585" max="3585" width="5.6640625" style="125" customWidth="1"/>
    <col min="3586" max="3586" width="10.109375" style="125" bestFit="1" customWidth="1"/>
    <col min="3587" max="3587" width="9.6640625" style="125" customWidth="1"/>
    <col min="3588" max="3588" width="14.6640625" style="125" customWidth="1"/>
    <col min="3589" max="3589" width="8.6640625" style="125" customWidth="1"/>
    <col min="3590" max="3590" width="11.5546875" style="125" customWidth="1"/>
    <col min="3591" max="3591" width="14.6640625" style="125" customWidth="1"/>
    <col min="3592" max="3835" width="8.88671875" style="125"/>
    <col min="3836" max="3836" width="9.6640625" style="125" customWidth="1"/>
    <col min="3837" max="3837" width="15.109375" style="125" bestFit="1" customWidth="1"/>
    <col min="3838" max="3838" width="14" style="125" bestFit="1" customWidth="1"/>
    <col min="3839" max="3839" width="17.109375" style="125" bestFit="1" customWidth="1"/>
    <col min="3840" max="3840" width="34.33203125" style="125" customWidth="1"/>
    <col min="3841" max="3841" width="5.6640625" style="125" customWidth="1"/>
    <col min="3842" max="3842" width="10.109375" style="125" bestFit="1" customWidth="1"/>
    <col min="3843" max="3843" width="9.6640625" style="125" customWidth="1"/>
    <col min="3844" max="3844" width="14.6640625" style="125" customWidth="1"/>
    <col min="3845" max="3845" width="8.6640625" style="125" customWidth="1"/>
    <col min="3846" max="3846" width="11.5546875" style="125" customWidth="1"/>
    <col min="3847" max="3847" width="14.6640625" style="125" customWidth="1"/>
    <col min="3848" max="4091" width="8.88671875" style="125"/>
    <col min="4092" max="4092" width="9.6640625" style="125" customWidth="1"/>
    <col min="4093" max="4093" width="15.109375" style="125" bestFit="1" customWidth="1"/>
    <col min="4094" max="4094" width="14" style="125" bestFit="1" customWidth="1"/>
    <col min="4095" max="4095" width="17.109375" style="125" bestFit="1" customWidth="1"/>
    <col min="4096" max="4096" width="34.33203125" style="125" customWidth="1"/>
    <col min="4097" max="4097" width="5.6640625" style="125" customWidth="1"/>
    <col min="4098" max="4098" width="10.109375" style="125" bestFit="1" customWidth="1"/>
    <col min="4099" max="4099" width="9.6640625" style="125" customWidth="1"/>
    <col min="4100" max="4100" width="14.6640625" style="125" customWidth="1"/>
    <col min="4101" max="4101" width="8.6640625" style="125" customWidth="1"/>
    <col min="4102" max="4102" width="11.5546875" style="125" customWidth="1"/>
    <col min="4103" max="4103" width="14.6640625" style="125" customWidth="1"/>
    <col min="4104" max="4347" width="8.88671875" style="125"/>
    <col min="4348" max="4348" width="9.6640625" style="125" customWidth="1"/>
    <col min="4349" max="4349" width="15.109375" style="125" bestFit="1" customWidth="1"/>
    <col min="4350" max="4350" width="14" style="125" bestFit="1" customWidth="1"/>
    <col min="4351" max="4351" width="17.109375" style="125" bestFit="1" customWidth="1"/>
    <col min="4352" max="4352" width="34.33203125" style="125" customWidth="1"/>
    <col min="4353" max="4353" width="5.6640625" style="125" customWidth="1"/>
    <col min="4354" max="4354" width="10.109375" style="125" bestFit="1" customWidth="1"/>
    <col min="4355" max="4355" width="9.6640625" style="125" customWidth="1"/>
    <col min="4356" max="4356" width="14.6640625" style="125" customWidth="1"/>
    <col min="4357" max="4357" width="8.6640625" style="125" customWidth="1"/>
    <col min="4358" max="4358" width="11.5546875" style="125" customWidth="1"/>
    <col min="4359" max="4359" width="14.6640625" style="125" customWidth="1"/>
    <col min="4360" max="4603" width="8.88671875" style="125"/>
    <col min="4604" max="4604" width="9.6640625" style="125" customWidth="1"/>
    <col min="4605" max="4605" width="15.109375" style="125" bestFit="1" customWidth="1"/>
    <col min="4606" max="4606" width="14" style="125" bestFit="1" customWidth="1"/>
    <col min="4607" max="4607" width="17.109375" style="125" bestFit="1" customWidth="1"/>
    <col min="4608" max="4608" width="34.33203125" style="125" customWidth="1"/>
    <col min="4609" max="4609" width="5.6640625" style="125" customWidth="1"/>
    <col min="4610" max="4610" width="10.109375" style="125" bestFit="1" customWidth="1"/>
    <col min="4611" max="4611" width="9.6640625" style="125" customWidth="1"/>
    <col min="4612" max="4612" width="14.6640625" style="125" customWidth="1"/>
    <col min="4613" max="4613" width="8.6640625" style="125" customWidth="1"/>
    <col min="4614" max="4614" width="11.5546875" style="125" customWidth="1"/>
    <col min="4615" max="4615" width="14.6640625" style="125" customWidth="1"/>
    <col min="4616" max="4859" width="8.88671875" style="125"/>
    <col min="4860" max="4860" width="9.6640625" style="125" customWidth="1"/>
    <col min="4861" max="4861" width="15.109375" style="125" bestFit="1" customWidth="1"/>
    <col min="4862" max="4862" width="14" style="125" bestFit="1" customWidth="1"/>
    <col min="4863" max="4863" width="17.109375" style="125" bestFit="1" customWidth="1"/>
    <col min="4864" max="4864" width="34.33203125" style="125" customWidth="1"/>
    <col min="4865" max="4865" width="5.6640625" style="125" customWidth="1"/>
    <col min="4866" max="4866" width="10.109375" style="125" bestFit="1" customWidth="1"/>
    <col min="4867" max="4867" width="9.6640625" style="125" customWidth="1"/>
    <col min="4868" max="4868" width="14.6640625" style="125" customWidth="1"/>
    <col min="4869" max="4869" width="8.6640625" style="125" customWidth="1"/>
    <col min="4870" max="4870" width="11.5546875" style="125" customWidth="1"/>
    <col min="4871" max="4871" width="14.6640625" style="125" customWidth="1"/>
    <col min="4872" max="5115" width="8.88671875" style="125"/>
    <col min="5116" max="5116" width="9.6640625" style="125" customWidth="1"/>
    <col min="5117" max="5117" width="15.109375" style="125" bestFit="1" customWidth="1"/>
    <col min="5118" max="5118" width="14" style="125" bestFit="1" customWidth="1"/>
    <col min="5119" max="5119" width="17.109375" style="125" bestFit="1" customWidth="1"/>
    <col min="5120" max="5120" width="34.33203125" style="125" customWidth="1"/>
    <col min="5121" max="5121" width="5.6640625" style="125" customWidth="1"/>
    <col min="5122" max="5122" width="10.109375" style="125" bestFit="1" customWidth="1"/>
    <col min="5123" max="5123" width="9.6640625" style="125" customWidth="1"/>
    <col min="5124" max="5124" width="14.6640625" style="125" customWidth="1"/>
    <col min="5125" max="5125" width="8.6640625" style="125" customWidth="1"/>
    <col min="5126" max="5126" width="11.5546875" style="125" customWidth="1"/>
    <col min="5127" max="5127" width="14.6640625" style="125" customWidth="1"/>
    <col min="5128" max="5371" width="8.88671875" style="125"/>
    <col min="5372" max="5372" width="9.6640625" style="125" customWidth="1"/>
    <col min="5373" max="5373" width="15.109375" style="125" bestFit="1" customWidth="1"/>
    <col min="5374" max="5374" width="14" style="125" bestFit="1" customWidth="1"/>
    <col min="5375" max="5375" width="17.109375" style="125" bestFit="1" customWidth="1"/>
    <col min="5376" max="5376" width="34.33203125" style="125" customWidth="1"/>
    <col min="5377" max="5377" width="5.6640625" style="125" customWidth="1"/>
    <col min="5378" max="5378" width="10.109375" style="125" bestFit="1" customWidth="1"/>
    <col min="5379" max="5379" width="9.6640625" style="125" customWidth="1"/>
    <col min="5380" max="5380" width="14.6640625" style="125" customWidth="1"/>
    <col min="5381" max="5381" width="8.6640625" style="125" customWidth="1"/>
    <col min="5382" max="5382" width="11.5546875" style="125" customWidth="1"/>
    <col min="5383" max="5383" width="14.6640625" style="125" customWidth="1"/>
    <col min="5384" max="5627" width="8.88671875" style="125"/>
    <col min="5628" max="5628" width="9.6640625" style="125" customWidth="1"/>
    <col min="5629" max="5629" width="15.109375" style="125" bestFit="1" customWidth="1"/>
    <col min="5630" max="5630" width="14" style="125" bestFit="1" customWidth="1"/>
    <col min="5631" max="5631" width="17.109375" style="125" bestFit="1" customWidth="1"/>
    <col min="5632" max="5632" width="34.33203125" style="125" customWidth="1"/>
    <col min="5633" max="5633" width="5.6640625" style="125" customWidth="1"/>
    <col min="5634" max="5634" width="10.109375" style="125" bestFit="1" customWidth="1"/>
    <col min="5635" max="5635" width="9.6640625" style="125" customWidth="1"/>
    <col min="5636" max="5636" width="14.6640625" style="125" customWidth="1"/>
    <col min="5637" max="5637" width="8.6640625" style="125" customWidth="1"/>
    <col min="5638" max="5638" width="11.5546875" style="125" customWidth="1"/>
    <col min="5639" max="5639" width="14.6640625" style="125" customWidth="1"/>
    <col min="5640" max="5883" width="8.88671875" style="125"/>
    <col min="5884" max="5884" width="9.6640625" style="125" customWidth="1"/>
    <col min="5885" max="5885" width="15.109375" style="125" bestFit="1" customWidth="1"/>
    <col min="5886" max="5886" width="14" style="125" bestFit="1" customWidth="1"/>
    <col min="5887" max="5887" width="17.109375" style="125" bestFit="1" customWidth="1"/>
    <col min="5888" max="5888" width="34.33203125" style="125" customWidth="1"/>
    <col min="5889" max="5889" width="5.6640625" style="125" customWidth="1"/>
    <col min="5890" max="5890" width="10.109375" style="125" bestFit="1" customWidth="1"/>
    <col min="5891" max="5891" width="9.6640625" style="125" customWidth="1"/>
    <col min="5892" max="5892" width="14.6640625" style="125" customWidth="1"/>
    <col min="5893" max="5893" width="8.6640625" style="125" customWidth="1"/>
    <col min="5894" max="5894" width="11.5546875" style="125" customWidth="1"/>
    <col min="5895" max="5895" width="14.6640625" style="125" customWidth="1"/>
    <col min="5896" max="6139" width="8.88671875" style="125"/>
    <col min="6140" max="6140" width="9.6640625" style="125" customWidth="1"/>
    <col min="6141" max="6141" width="15.109375" style="125" bestFit="1" customWidth="1"/>
    <col min="6142" max="6142" width="14" style="125" bestFit="1" customWidth="1"/>
    <col min="6143" max="6143" width="17.109375" style="125" bestFit="1" customWidth="1"/>
    <col min="6144" max="6144" width="34.33203125" style="125" customWidth="1"/>
    <col min="6145" max="6145" width="5.6640625" style="125" customWidth="1"/>
    <col min="6146" max="6146" width="10.109375" style="125" bestFit="1" customWidth="1"/>
    <col min="6147" max="6147" width="9.6640625" style="125" customWidth="1"/>
    <col min="6148" max="6148" width="14.6640625" style="125" customWidth="1"/>
    <col min="6149" max="6149" width="8.6640625" style="125" customWidth="1"/>
    <col min="6150" max="6150" width="11.5546875" style="125" customWidth="1"/>
    <col min="6151" max="6151" width="14.6640625" style="125" customWidth="1"/>
    <col min="6152" max="6395" width="8.88671875" style="125"/>
    <col min="6396" max="6396" width="9.6640625" style="125" customWidth="1"/>
    <col min="6397" max="6397" width="15.109375" style="125" bestFit="1" customWidth="1"/>
    <col min="6398" max="6398" width="14" style="125" bestFit="1" customWidth="1"/>
    <col min="6399" max="6399" width="17.109375" style="125" bestFit="1" customWidth="1"/>
    <col min="6400" max="6400" width="34.33203125" style="125" customWidth="1"/>
    <col min="6401" max="6401" width="5.6640625" style="125" customWidth="1"/>
    <col min="6402" max="6402" width="10.109375" style="125" bestFit="1" customWidth="1"/>
    <col min="6403" max="6403" width="9.6640625" style="125" customWidth="1"/>
    <col min="6404" max="6404" width="14.6640625" style="125" customWidth="1"/>
    <col min="6405" max="6405" width="8.6640625" style="125" customWidth="1"/>
    <col min="6406" max="6406" width="11.5546875" style="125" customWidth="1"/>
    <col min="6407" max="6407" width="14.6640625" style="125" customWidth="1"/>
    <col min="6408" max="6651" width="8.88671875" style="125"/>
    <col min="6652" max="6652" width="9.6640625" style="125" customWidth="1"/>
    <col min="6653" max="6653" width="15.109375" style="125" bestFit="1" customWidth="1"/>
    <col min="6654" max="6654" width="14" style="125" bestFit="1" customWidth="1"/>
    <col min="6655" max="6655" width="17.109375" style="125" bestFit="1" customWidth="1"/>
    <col min="6656" max="6656" width="34.33203125" style="125" customWidth="1"/>
    <col min="6657" max="6657" width="5.6640625" style="125" customWidth="1"/>
    <col min="6658" max="6658" width="10.109375" style="125" bestFit="1" customWidth="1"/>
    <col min="6659" max="6659" width="9.6640625" style="125" customWidth="1"/>
    <col min="6660" max="6660" width="14.6640625" style="125" customWidth="1"/>
    <col min="6661" max="6661" width="8.6640625" style="125" customWidth="1"/>
    <col min="6662" max="6662" width="11.5546875" style="125" customWidth="1"/>
    <col min="6663" max="6663" width="14.6640625" style="125" customWidth="1"/>
    <col min="6664" max="6907" width="8.88671875" style="125"/>
    <col min="6908" max="6908" width="9.6640625" style="125" customWidth="1"/>
    <col min="6909" max="6909" width="15.109375" style="125" bestFit="1" customWidth="1"/>
    <col min="6910" max="6910" width="14" style="125" bestFit="1" customWidth="1"/>
    <col min="6911" max="6911" width="17.109375" style="125" bestFit="1" customWidth="1"/>
    <col min="6912" max="6912" width="34.33203125" style="125" customWidth="1"/>
    <col min="6913" max="6913" width="5.6640625" style="125" customWidth="1"/>
    <col min="6914" max="6914" width="10.109375" style="125" bestFit="1" customWidth="1"/>
    <col min="6915" max="6915" width="9.6640625" style="125" customWidth="1"/>
    <col min="6916" max="6916" width="14.6640625" style="125" customWidth="1"/>
    <col min="6917" max="6917" width="8.6640625" style="125" customWidth="1"/>
    <col min="6918" max="6918" width="11.5546875" style="125" customWidth="1"/>
    <col min="6919" max="6919" width="14.6640625" style="125" customWidth="1"/>
    <col min="6920" max="7163" width="8.88671875" style="125"/>
    <col min="7164" max="7164" width="9.6640625" style="125" customWidth="1"/>
    <col min="7165" max="7165" width="15.109375" style="125" bestFit="1" customWidth="1"/>
    <col min="7166" max="7166" width="14" style="125" bestFit="1" customWidth="1"/>
    <col min="7167" max="7167" width="17.109375" style="125" bestFit="1" customWidth="1"/>
    <col min="7168" max="7168" width="34.33203125" style="125" customWidth="1"/>
    <col min="7169" max="7169" width="5.6640625" style="125" customWidth="1"/>
    <col min="7170" max="7170" width="10.109375" style="125" bestFit="1" customWidth="1"/>
    <col min="7171" max="7171" width="9.6640625" style="125" customWidth="1"/>
    <col min="7172" max="7172" width="14.6640625" style="125" customWidth="1"/>
    <col min="7173" max="7173" width="8.6640625" style="125" customWidth="1"/>
    <col min="7174" max="7174" width="11.5546875" style="125" customWidth="1"/>
    <col min="7175" max="7175" width="14.6640625" style="125" customWidth="1"/>
    <col min="7176" max="7419" width="8.88671875" style="125"/>
    <col min="7420" max="7420" width="9.6640625" style="125" customWidth="1"/>
    <col min="7421" max="7421" width="15.109375" style="125" bestFit="1" customWidth="1"/>
    <col min="7422" max="7422" width="14" style="125" bestFit="1" customWidth="1"/>
    <col min="7423" max="7423" width="17.109375" style="125" bestFit="1" customWidth="1"/>
    <col min="7424" max="7424" width="34.33203125" style="125" customWidth="1"/>
    <col min="7425" max="7425" width="5.6640625" style="125" customWidth="1"/>
    <col min="7426" max="7426" width="10.109375" style="125" bestFit="1" customWidth="1"/>
    <col min="7427" max="7427" width="9.6640625" style="125" customWidth="1"/>
    <col min="7428" max="7428" width="14.6640625" style="125" customWidth="1"/>
    <col min="7429" max="7429" width="8.6640625" style="125" customWidth="1"/>
    <col min="7430" max="7430" width="11.5546875" style="125" customWidth="1"/>
    <col min="7431" max="7431" width="14.6640625" style="125" customWidth="1"/>
    <col min="7432" max="7675" width="8.88671875" style="125"/>
    <col min="7676" max="7676" width="9.6640625" style="125" customWidth="1"/>
    <col min="7677" max="7677" width="15.109375" style="125" bestFit="1" customWidth="1"/>
    <col min="7678" max="7678" width="14" style="125" bestFit="1" customWidth="1"/>
    <col min="7679" max="7679" width="17.109375" style="125" bestFit="1" customWidth="1"/>
    <col min="7680" max="7680" width="34.33203125" style="125" customWidth="1"/>
    <col min="7681" max="7681" width="5.6640625" style="125" customWidth="1"/>
    <col min="7682" max="7682" width="10.109375" style="125" bestFit="1" customWidth="1"/>
    <col min="7683" max="7683" width="9.6640625" style="125" customWidth="1"/>
    <col min="7684" max="7684" width="14.6640625" style="125" customWidth="1"/>
    <col min="7685" max="7685" width="8.6640625" style="125" customWidth="1"/>
    <col min="7686" max="7686" width="11.5546875" style="125" customWidth="1"/>
    <col min="7687" max="7687" width="14.6640625" style="125" customWidth="1"/>
    <col min="7688" max="7931" width="8.88671875" style="125"/>
    <col min="7932" max="7932" width="9.6640625" style="125" customWidth="1"/>
    <col min="7933" max="7933" width="15.109375" style="125" bestFit="1" customWidth="1"/>
    <col min="7934" max="7934" width="14" style="125" bestFit="1" customWidth="1"/>
    <col min="7935" max="7935" width="17.109375" style="125" bestFit="1" customWidth="1"/>
    <col min="7936" max="7936" width="34.33203125" style="125" customWidth="1"/>
    <col min="7937" max="7937" width="5.6640625" style="125" customWidth="1"/>
    <col min="7938" max="7938" width="10.109375" style="125" bestFit="1" customWidth="1"/>
    <col min="7939" max="7939" width="9.6640625" style="125" customWidth="1"/>
    <col min="7940" max="7940" width="14.6640625" style="125" customWidth="1"/>
    <col min="7941" max="7941" width="8.6640625" style="125" customWidth="1"/>
    <col min="7942" max="7942" width="11.5546875" style="125" customWidth="1"/>
    <col min="7943" max="7943" width="14.6640625" style="125" customWidth="1"/>
    <col min="7944" max="8187" width="8.88671875" style="125"/>
    <col min="8188" max="8188" width="9.6640625" style="125" customWidth="1"/>
    <col min="8189" max="8189" width="15.109375" style="125" bestFit="1" customWidth="1"/>
    <col min="8190" max="8190" width="14" style="125" bestFit="1" customWidth="1"/>
    <col min="8191" max="8191" width="17.109375" style="125" bestFit="1" customWidth="1"/>
    <col min="8192" max="8192" width="34.33203125" style="125" customWidth="1"/>
    <col min="8193" max="8193" width="5.6640625" style="125" customWidth="1"/>
    <col min="8194" max="8194" width="10.109375" style="125" bestFit="1" customWidth="1"/>
    <col min="8195" max="8195" width="9.6640625" style="125" customWidth="1"/>
    <col min="8196" max="8196" width="14.6640625" style="125" customWidth="1"/>
    <col min="8197" max="8197" width="8.6640625" style="125" customWidth="1"/>
    <col min="8198" max="8198" width="11.5546875" style="125" customWidth="1"/>
    <col min="8199" max="8199" width="14.6640625" style="125" customWidth="1"/>
    <col min="8200" max="8443" width="8.88671875" style="125"/>
    <col min="8444" max="8444" width="9.6640625" style="125" customWidth="1"/>
    <col min="8445" max="8445" width="15.109375" style="125" bestFit="1" customWidth="1"/>
    <col min="8446" max="8446" width="14" style="125" bestFit="1" customWidth="1"/>
    <col min="8447" max="8447" width="17.109375" style="125" bestFit="1" customWidth="1"/>
    <col min="8448" max="8448" width="34.33203125" style="125" customWidth="1"/>
    <col min="8449" max="8449" width="5.6640625" style="125" customWidth="1"/>
    <col min="8450" max="8450" width="10.109375" style="125" bestFit="1" customWidth="1"/>
    <col min="8451" max="8451" width="9.6640625" style="125" customWidth="1"/>
    <col min="8452" max="8452" width="14.6640625" style="125" customWidth="1"/>
    <col min="8453" max="8453" width="8.6640625" style="125" customWidth="1"/>
    <col min="8454" max="8454" width="11.5546875" style="125" customWidth="1"/>
    <col min="8455" max="8455" width="14.6640625" style="125" customWidth="1"/>
    <col min="8456" max="8699" width="8.88671875" style="125"/>
    <col min="8700" max="8700" width="9.6640625" style="125" customWidth="1"/>
    <col min="8701" max="8701" width="15.109375" style="125" bestFit="1" customWidth="1"/>
    <col min="8702" max="8702" width="14" style="125" bestFit="1" customWidth="1"/>
    <col min="8703" max="8703" width="17.109375" style="125" bestFit="1" customWidth="1"/>
    <col min="8704" max="8704" width="34.33203125" style="125" customWidth="1"/>
    <col min="8705" max="8705" width="5.6640625" style="125" customWidth="1"/>
    <col min="8706" max="8706" width="10.109375" style="125" bestFit="1" customWidth="1"/>
    <col min="8707" max="8707" width="9.6640625" style="125" customWidth="1"/>
    <col min="8708" max="8708" width="14.6640625" style="125" customWidth="1"/>
    <col min="8709" max="8709" width="8.6640625" style="125" customWidth="1"/>
    <col min="8710" max="8710" width="11.5546875" style="125" customWidth="1"/>
    <col min="8711" max="8711" width="14.6640625" style="125" customWidth="1"/>
    <col min="8712" max="8955" width="8.88671875" style="125"/>
    <col min="8956" max="8956" width="9.6640625" style="125" customWidth="1"/>
    <col min="8957" max="8957" width="15.109375" style="125" bestFit="1" customWidth="1"/>
    <col min="8958" max="8958" width="14" style="125" bestFit="1" customWidth="1"/>
    <col min="8959" max="8959" width="17.109375" style="125" bestFit="1" customWidth="1"/>
    <col min="8960" max="8960" width="34.33203125" style="125" customWidth="1"/>
    <col min="8961" max="8961" width="5.6640625" style="125" customWidth="1"/>
    <col min="8962" max="8962" width="10.109375" style="125" bestFit="1" customWidth="1"/>
    <col min="8963" max="8963" width="9.6640625" style="125" customWidth="1"/>
    <col min="8964" max="8964" width="14.6640625" style="125" customWidth="1"/>
    <col min="8965" max="8965" width="8.6640625" style="125" customWidth="1"/>
    <col min="8966" max="8966" width="11.5546875" style="125" customWidth="1"/>
    <col min="8967" max="8967" width="14.6640625" style="125" customWidth="1"/>
    <col min="8968" max="9211" width="8.88671875" style="125"/>
    <col min="9212" max="9212" width="9.6640625" style="125" customWidth="1"/>
    <col min="9213" max="9213" width="15.109375" style="125" bestFit="1" customWidth="1"/>
    <col min="9214" max="9214" width="14" style="125" bestFit="1" customWidth="1"/>
    <col min="9215" max="9215" width="17.109375" style="125" bestFit="1" customWidth="1"/>
    <col min="9216" max="9216" width="34.33203125" style="125" customWidth="1"/>
    <col min="9217" max="9217" width="5.6640625" style="125" customWidth="1"/>
    <col min="9218" max="9218" width="10.109375" style="125" bestFit="1" customWidth="1"/>
    <col min="9219" max="9219" width="9.6640625" style="125" customWidth="1"/>
    <col min="9220" max="9220" width="14.6640625" style="125" customWidth="1"/>
    <col min="9221" max="9221" width="8.6640625" style="125" customWidth="1"/>
    <col min="9222" max="9222" width="11.5546875" style="125" customWidth="1"/>
    <col min="9223" max="9223" width="14.6640625" style="125" customWidth="1"/>
    <col min="9224" max="9467" width="8.88671875" style="125"/>
    <col min="9468" max="9468" width="9.6640625" style="125" customWidth="1"/>
    <col min="9469" max="9469" width="15.109375" style="125" bestFit="1" customWidth="1"/>
    <col min="9470" max="9470" width="14" style="125" bestFit="1" customWidth="1"/>
    <col min="9471" max="9471" width="17.109375" style="125" bestFit="1" customWidth="1"/>
    <col min="9472" max="9472" width="34.33203125" style="125" customWidth="1"/>
    <col min="9473" max="9473" width="5.6640625" style="125" customWidth="1"/>
    <col min="9474" max="9474" width="10.109375" style="125" bestFit="1" customWidth="1"/>
    <col min="9475" max="9475" width="9.6640625" style="125" customWidth="1"/>
    <col min="9476" max="9476" width="14.6640625" style="125" customWidth="1"/>
    <col min="9477" max="9477" width="8.6640625" style="125" customWidth="1"/>
    <col min="9478" max="9478" width="11.5546875" style="125" customWidth="1"/>
    <col min="9479" max="9479" width="14.6640625" style="125" customWidth="1"/>
    <col min="9480" max="9723" width="8.88671875" style="125"/>
    <col min="9724" max="9724" width="9.6640625" style="125" customWidth="1"/>
    <col min="9725" max="9725" width="15.109375" style="125" bestFit="1" customWidth="1"/>
    <col min="9726" max="9726" width="14" style="125" bestFit="1" customWidth="1"/>
    <col min="9727" max="9727" width="17.109375" style="125" bestFit="1" customWidth="1"/>
    <col min="9728" max="9728" width="34.33203125" style="125" customWidth="1"/>
    <col min="9729" max="9729" width="5.6640625" style="125" customWidth="1"/>
    <col min="9730" max="9730" width="10.109375" style="125" bestFit="1" customWidth="1"/>
    <col min="9731" max="9731" width="9.6640625" style="125" customWidth="1"/>
    <col min="9732" max="9732" width="14.6640625" style="125" customWidth="1"/>
    <col min="9733" max="9733" width="8.6640625" style="125" customWidth="1"/>
    <col min="9734" max="9734" width="11.5546875" style="125" customWidth="1"/>
    <col min="9735" max="9735" width="14.6640625" style="125" customWidth="1"/>
    <col min="9736" max="9979" width="8.88671875" style="125"/>
    <col min="9980" max="9980" width="9.6640625" style="125" customWidth="1"/>
    <col min="9981" max="9981" width="15.109375" style="125" bestFit="1" customWidth="1"/>
    <col min="9982" max="9982" width="14" style="125" bestFit="1" customWidth="1"/>
    <col min="9983" max="9983" width="17.109375" style="125" bestFit="1" customWidth="1"/>
    <col min="9984" max="9984" width="34.33203125" style="125" customWidth="1"/>
    <col min="9985" max="9985" width="5.6640625" style="125" customWidth="1"/>
    <col min="9986" max="9986" width="10.109375" style="125" bestFit="1" customWidth="1"/>
    <col min="9987" max="9987" width="9.6640625" style="125" customWidth="1"/>
    <col min="9988" max="9988" width="14.6640625" style="125" customWidth="1"/>
    <col min="9989" max="9989" width="8.6640625" style="125" customWidth="1"/>
    <col min="9990" max="9990" width="11.5546875" style="125" customWidth="1"/>
    <col min="9991" max="9991" width="14.6640625" style="125" customWidth="1"/>
    <col min="9992" max="10235" width="8.88671875" style="125"/>
    <col min="10236" max="10236" width="9.6640625" style="125" customWidth="1"/>
    <col min="10237" max="10237" width="15.109375" style="125" bestFit="1" customWidth="1"/>
    <col min="10238" max="10238" width="14" style="125" bestFit="1" customWidth="1"/>
    <col min="10239" max="10239" width="17.109375" style="125" bestFit="1" customWidth="1"/>
    <col min="10240" max="10240" width="34.33203125" style="125" customWidth="1"/>
    <col min="10241" max="10241" width="5.6640625" style="125" customWidth="1"/>
    <col min="10242" max="10242" width="10.109375" style="125" bestFit="1" customWidth="1"/>
    <col min="10243" max="10243" width="9.6640625" style="125" customWidth="1"/>
    <col min="10244" max="10244" width="14.6640625" style="125" customWidth="1"/>
    <col min="10245" max="10245" width="8.6640625" style="125" customWidth="1"/>
    <col min="10246" max="10246" width="11.5546875" style="125" customWidth="1"/>
    <col min="10247" max="10247" width="14.6640625" style="125" customWidth="1"/>
    <col min="10248" max="10491" width="8.88671875" style="125"/>
    <col min="10492" max="10492" width="9.6640625" style="125" customWidth="1"/>
    <col min="10493" max="10493" width="15.109375" style="125" bestFit="1" customWidth="1"/>
    <col min="10494" max="10494" width="14" style="125" bestFit="1" customWidth="1"/>
    <col min="10495" max="10495" width="17.109375" style="125" bestFit="1" customWidth="1"/>
    <col min="10496" max="10496" width="34.33203125" style="125" customWidth="1"/>
    <col min="10497" max="10497" width="5.6640625" style="125" customWidth="1"/>
    <col min="10498" max="10498" width="10.109375" style="125" bestFit="1" customWidth="1"/>
    <col min="10499" max="10499" width="9.6640625" style="125" customWidth="1"/>
    <col min="10500" max="10500" width="14.6640625" style="125" customWidth="1"/>
    <col min="10501" max="10501" width="8.6640625" style="125" customWidth="1"/>
    <col min="10502" max="10502" width="11.5546875" style="125" customWidth="1"/>
    <col min="10503" max="10503" width="14.6640625" style="125" customWidth="1"/>
    <col min="10504" max="10747" width="8.88671875" style="125"/>
    <col min="10748" max="10748" width="9.6640625" style="125" customWidth="1"/>
    <col min="10749" max="10749" width="15.109375" style="125" bestFit="1" customWidth="1"/>
    <col min="10750" max="10750" width="14" style="125" bestFit="1" customWidth="1"/>
    <col min="10751" max="10751" width="17.109375" style="125" bestFit="1" customWidth="1"/>
    <col min="10752" max="10752" width="34.33203125" style="125" customWidth="1"/>
    <col min="10753" max="10753" width="5.6640625" style="125" customWidth="1"/>
    <col min="10754" max="10754" width="10.109375" style="125" bestFit="1" customWidth="1"/>
    <col min="10755" max="10755" width="9.6640625" style="125" customWidth="1"/>
    <col min="10756" max="10756" width="14.6640625" style="125" customWidth="1"/>
    <col min="10757" max="10757" width="8.6640625" style="125" customWidth="1"/>
    <col min="10758" max="10758" width="11.5546875" style="125" customWidth="1"/>
    <col min="10759" max="10759" width="14.6640625" style="125" customWidth="1"/>
    <col min="10760" max="11003" width="8.88671875" style="125"/>
    <col min="11004" max="11004" width="9.6640625" style="125" customWidth="1"/>
    <col min="11005" max="11005" width="15.109375" style="125" bestFit="1" customWidth="1"/>
    <col min="11006" max="11006" width="14" style="125" bestFit="1" customWidth="1"/>
    <col min="11007" max="11007" width="17.109375" style="125" bestFit="1" customWidth="1"/>
    <col min="11008" max="11008" width="34.33203125" style="125" customWidth="1"/>
    <col min="11009" max="11009" width="5.6640625" style="125" customWidth="1"/>
    <col min="11010" max="11010" width="10.109375" style="125" bestFit="1" customWidth="1"/>
    <col min="11011" max="11011" width="9.6640625" style="125" customWidth="1"/>
    <col min="11012" max="11012" width="14.6640625" style="125" customWidth="1"/>
    <col min="11013" max="11013" width="8.6640625" style="125" customWidth="1"/>
    <col min="11014" max="11014" width="11.5546875" style="125" customWidth="1"/>
    <col min="11015" max="11015" width="14.6640625" style="125" customWidth="1"/>
    <col min="11016" max="11259" width="8.88671875" style="125"/>
    <col min="11260" max="11260" width="9.6640625" style="125" customWidth="1"/>
    <col min="11261" max="11261" width="15.109375" style="125" bestFit="1" customWidth="1"/>
    <col min="11262" max="11262" width="14" style="125" bestFit="1" customWidth="1"/>
    <col min="11263" max="11263" width="17.109375" style="125" bestFit="1" customWidth="1"/>
    <col min="11264" max="11264" width="34.33203125" style="125" customWidth="1"/>
    <col min="11265" max="11265" width="5.6640625" style="125" customWidth="1"/>
    <col min="11266" max="11266" width="10.109375" style="125" bestFit="1" customWidth="1"/>
    <col min="11267" max="11267" width="9.6640625" style="125" customWidth="1"/>
    <col min="11268" max="11268" width="14.6640625" style="125" customWidth="1"/>
    <col min="11269" max="11269" width="8.6640625" style="125" customWidth="1"/>
    <col min="11270" max="11270" width="11.5546875" style="125" customWidth="1"/>
    <col min="11271" max="11271" width="14.6640625" style="125" customWidth="1"/>
    <col min="11272" max="11515" width="8.88671875" style="125"/>
    <col min="11516" max="11516" width="9.6640625" style="125" customWidth="1"/>
    <col min="11517" max="11517" width="15.109375" style="125" bestFit="1" customWidth="1"/>
    <col min="11518" max="11518" width="14" style="125" bestFit="1" customWidth="1"/>
    <col min="11519" max="11519" width="17.109375" style="125" bestFit="1" customWidth="1"/>
    <col min="11520" max="11520" width="34.33203125" style="125" customWidth="1"/>
    <col min="11521" max="11521" width="5.6640625" style="125" customWidth="1"/>
    <col min="11522" max="11522" width="10.109375" style="125" bestFit="1" customWidth="1"/>
    <col min="11523" max="11523" width="9.6640625" style="125" customWidth="1"/>
    <col min="11524" max="11524" width="14.6640625" style="125" customWidth="1"/>
    <col min="11525" max="11525" width="8.6640625" style="125" customWidth="1"/>
    <col min="11526" max="11526" width="11.5546875" style="125" customWidth="1"/>
    <col min="11527" max="11527" width="14.6640625" style="125" customWidth="1"/>
    <col min="11528" max="11771" width="8.88671875" style="125"/>
    <col min="11772" max="11772" width="9.6640625" style="125" customWidth="1"/>
    <col min="11773" max="11773" width="15.109375" style="125" bestFit="1" customWidth="1"/>
    <col min="11774" max="11774" width="14" style="125" bestFit="1" customWidth="1"/>
    <col min="11775" max="11775" width="17.109375" style="125" bestFit="1" customWidth="1"/>
    <col min="11776" max="11776" width="34.33203125" style="125" customWidth="1"/>
    <col min="11777" max="11777" width="5.6640625" style="125" customWidth="1"/>
    <col min="11778" max="11778" width="10.109375" style="125" bestFit="1" customWidth="1"/>
    <col min="11779" max="11779" width="9.6640625" style="125" customWidth="1"/>
    <col min="11780" max="11780" width="14.6640625" style="125" customWidth="1"/>
    <col min="11781" max="11781" width="8.6640625" style="125" customWidth="1"/>
    <col min="11782" max="11782" width="11.5546875" style="125" customWidth="1"/>
    <col min="11783" max="11783" width="14.6640625" style="125" customWidth="1"/>
    <col min="11784" max="12027" width="8.88671875" style="125"/>
    <col min="12028" max="12028" width="9.6640625" style="125" customWidth="1"/>
    <col min="12029" max="12029" width="15.109375" style="125" bestFit="1" customWidth="1"/>
    <col min="12030" max="12030" width="14" style="125" bestFit="1" customWidth="1"/>
    <col min="12031" max="12031" width="17.109375" style="125" bestFit="1" customWidth="1"/>
    <col min="12032" max="12032" width="34.33203125" style="125" customWidth="1"/>
    <col min="12033" max="12033" width="5.6640625" style="125" customWidth="1"/>
    <col min="12034" max="12034" width="10.109375" style="125" bestFit="1" customWidth="1"/>
    <col min="12035" max="12035" width="9.6640625" style="125" customWidth="1"/>
    <col min="12036" max="12036" width="14.6640625" style="125" customWidth="1"/>
    <col min="12037" max="12037" width="8.6640625" style="125" customWidth="1"/>
    <col min="12038" max="12038" width="11.5546875" style="125" customWidth="1"/>
    <col min="12039" max="12039" width="14.6640625" style="125" customWidth="1"/>
    <col min="12040" max="12283" width="8.88671875" style="125"/>
    <col min="12284" max="12284" width="9.6640625" style="125" customWidth="1"/>
    <col min="12285" max="12285" width="15.109375" style="125" bestFit="1" customWidth="1"/>
    <col min="12286" max="12286" width="14" style="125" bestFit="1" customWidth="1"/>
    <col min="12287" max="12287" width="17.109375" style="125" bestFit="1" customWidth="1"/>
    <col min="12288" max="12288" width="34.33203125" style="125" customWidth="1"/>
    <col min="12289" max="12289" width="5.6640625" style="125" customWidth="1"/>
    <col min="12290" max="12290" width="10.109375" style="125" bestFit="1" customWidth="1"/>
    <col min="12291" max="12291" width="9.6640625" style="125" customWidth="1"/>
    <col min="12292" max="12292" width="14.6640625" style="125" customWidth="1"/>
    <col min="12293" max="12293" width="8.6640625" style="125" customWidth="1"/>
    <col min="12294" max="12294" width="11.5546875" style="125" customWidth="1"/>
    <col min="12295" max="12295" width="14.6640625" style="125" customWidth="1"/>
    <col min="12296" max="12539" width="8.88671875" style="125"/>
    <col min="12540" max="12540" width="9.6640625" style="125" customWidth="1"/>
    <col min="12541" max="12541" width="15.109375" style="125" bestFit="1" customWidth="1"/>
    <col min="12542" max="12542" width="14" style="125" bestFit="1" customWidth="1"/>
    <col min="12543" max="12543" width="17.109375" style="125" bestFit="1" customWidth="1"/>
    <col min="12544" max="12544" width="34.33203125" style="125" customWidth="1"/>
    <col min="12545" max="12545" width="5.6640625" style="125" customWidth="1"/>
    <col min="12546" max="12546" width="10.109375" style="125" bestFit="1" customWidth="1"/>
    <col min="12547" max="12547" width="9.6640625" style="125" customWidth="1"/>
    <col min="12548" max="12548" width="14.6640625" style="125" customWidth="1"/>
    <col min="12549" max="12549" width="8.6640625" style="125" customWidth="1"/>
    <col min="12550" max="12550" width="11.5546875" style="125" customWidth="1"/>
    <col min="12551" max="12551" width="14.6640625" style="125" customWidth="1"/>
    <col min="12552" max="12795" width="8.88671875" style="125"/>
    <col min="12796" max="12796" width="9.6640625" style="125" customWidth="1"/>
    <col min="12797" max="12797" width="15.109375" style="125" bestFit="1" customWidth="1"/>
    <col min="12798" max="12798" width="14" style="125" bestFit="1" customWidth="1"/>
    <col min="12799" max="12799" width="17.109375" style="125" bestFit="1" customWidth="1"/>
    <col min="12800" max="12800" width="34.33203125" style="125" customWidth="1"/>
    <col min="12801" max="12801" width="5.6640625" style="125" customWidth="1"/>
    <col min="12802" max="12802" width="10.109375" style="125" bestFit="1" customWidth="1"/>
    <col min="12803" max="12803" width="9.6640625" style="125" customWidth="1"/>
    <col min="12804" max="12804" width="14.6640625" style="125" customWidth="1"/>
    <col min="12805" max="12805" width="8.6640625" style="125" customWidth="1"/>
    <col min="12806" max="12806" width="11.5546875" style="125" customWidth="1"/>
    <col min="12807" max="12807" width="14.6640625" style="125" customWidth="1"/>
    <col min="12808" max="13051" width="8.88671875" style="125"/>
    <col min="13052" max="13052" width="9.6640625" style="125" customWidth="1"/>
    <col min="13053" max="13053" width="15.109375" style="125" bestFit="1" customWidth="1"/>
    <col min="13054" max="13054" width="14" style="125" bestFit="1" customWidth="1"/>
    <col min="13055" max="13055" width="17.109375" style="125" bestFit="1" customWidth="1"/>
    <col min="13056" max="13056" width="34.33203125" style="125" customWidth="1"/>
    <col min="13057" max="13057" width="5.6640625" style="125" customWidth="1"/>
    <col min="13058" max="13058" width="10.109375" style="125" bestFit="1" customWidth="1"/>
    <col min="13059" max="13059" width="9.6640625" style="125" customWidth="1"/>
    <col min="13060" max="13060" width="14.6640625" style="125" customWidth="1"/>
    <col min="13061" max="13061" width="8.6640625" style="125" customWidth="1"/>
    <col min="13062" max="13062" width="11.5546875" style="125" customWidth="1"/>
    <col min="13063" max="13063" width="14.6640625" style="125" customWidth="1"/>
    <col min="13064" max="13307" width="8.88671875" style="125"/>
    <col min="13308" max="13308" width="9.6640625" style="125" customWidth="1"/>
    <col min="13309" max="13309" width="15.109375" style="125" bestFit="1" customWidth="1"/>
    <col min="13310" max="13310" width="14" style="125" bestFit="1" customWidth="1"/>
    <col min="13311" max="13311" width="17.109375" style="125" bestFit="1" customWidth="1"/>
    <col min="13312" max="13312" width="34.33203125" style="125" customWidth="1"/>
    <col min="13313" max="13313" width="5.6640625" style="125" customWidth="1"/>
    <col min="13314" max="13314" width="10.109375" style="125" bestFit="1" customWidth="1"/>
    <col min="13315" max="13315" width="9.6640625" style="125" customWidth="1"/>
    <col min="13316" max="13316" width="14.6640625" style="125" customWidth="1"/>
    <col min="13317" max="13317" width="8.6640625" style="125" customWidth="1"/>
    <col min="13318" max="13318" width="11.5546875" style="125" customWidth="1"/>
    <col min="13319" max="13319" width="14.6640625" style="125" customWidth="1"/>
    <col min="13320" max="13563" width="8.88671875" style="125"/>
    <col min="13564" max="13564" width="9.6640625" style="125" customWidth="1"/>
    <col min="13565" max="13565" width="15.109375" style="125" bestFit="1" customWidth="1"/>
    <col min="13566" max="13566" width="14" style="125" bestFit="1" customWidth="1"/>
    <col min="13567" max="13567" width="17.109375" style="125" bestFit="1" customWidth="1"/>
    <col min="13568" max="13568" width="34.33203125" style="125" customWidth="1"/>
    <col min="13569" max="13569" width="5.6640625" style="125" customWidth="1"/>
    <col min="13570" max="13570" width="10.109375" style="125" bestFit="1" customWidth="1"/>
    <col min="13571" max="13571" width="9.6640625" style="125" customWidth="1"/>
    <col min="13572" max="13572" width="14.6640625" style="125" customWidth="1"/>
    <col min="13573" max="13573" width="8.6640625" style="125" customWidth="1"/>
    <col min="13574" max="13574" width="11.5546875" style="125" customWidth="1"/>
    <col min="13575" max="13575" width="14.6640625" style="125" customWidth="1"/>
    <col min="13576" max="13819" width="8.88671875" style="125"/>
    <col min="13820" max="13820" width="9.6640625" style="125" customWidth="1"/>
    <col min="13821" max="13821" width="15.109375" style="125" bestFit="1" customWidth="1"/>
    <col min="13822" max="13822" width="14" style="125" bestFit="1" customWidth="1"/>
    <col min="13823" max="13823" width="17.109375" style="125" bestFit="1" customWidth="1"/>
    <col min="13824" max="13824" width="34.33203125" style="125" customWidth="1"/>
    <col min="13825" max="13825" width="5.6640625" style="125" customWidth="1"/>
    <col min="13826" max="13826" width="10.109375" style="125" bestFit="1" customWidth="1"/>
    <col min="13827" max="13827" width="9.6640625" style="125" customWidth="1"/>
    <col min="13828" max="13828" width="14.6640625" style="125" customWidth="1"/>
    <col min="13829" max="13829" width="8.6640625" style="125" customWidth="1"/>
    <col min="13830" max="13830" width="11.5546875" style="125" customWidth="1"/>
    <col min="13831" max="13831" width="14.6640625" style="125" customWidth="1"/>
    <col min="13832" max="14075" width="8.88671875" style="125"/>
    <col min="14076" max="14076" width="9.6640625" style="125" customWidth="1"/>
    <col min="14077" max="14077" width="15.109375" style="125" bestFit="1" customWidth="1"/>
    <col min="14078" max="14078" width="14" style="125" bestFit="1" customWidth="1"/>
    <col min="14079" max="14079" width="17.109375" style="125" bestFit="1" customWidth="1"/>
    <col min="14080" max="14080" width="34.33203125" style="125" customWidth="1"/>
    <col min="14081" max="14081" width="5.6640625" style="125" customWidth="1"/>
    <col min="14082" max="14082" width="10.109375" style="125" bestFit="1" customWidth="1"/>
    <col min="14083" max="14083" width="9.6640625" style="125" customWidth="1"/>
    <col min="14084" max="14084" width="14.6640625" style="125" customWidth="1"/>
    <col min="14085" max="14085" width="8.6640625" style="125" customWidth="1"/>
    <col min="14086" max="14086" width="11.5546875" style="125" customWidth="1"/>
    <col min="14087" max="14087" width="14.6640625" style="125" customWidth="1"/>
    <col min="14088" max="14331" width="8.88671875" style="125"/>
    <col min="14332" max="14332" width="9.6640625" style="125" customWidth="1"/>
    <col min="14333" max="14333" width="15.109375" style="125" bestFit="1" customWidth="1"/>
    <col min="14334" max="14334" width="14" style="125" bestFit="1" customWidth="1"/>
    <col min="14335" max="14335" width="17.109375" style="125" bestFit="1" customWidth="1"/>
    <col min="14336" max="14336" width="34.33203125" style="125" customWidth="1"/>
    <col min="14337" max="14337" width="5.6640625" style="125" customWidth="1"/>
    <col min="14338" max="14338" width="10.109375" style="125" bestFit="1" customWidth="1"/>
    <col min="14339" max="14339" width="9.6640625" style="125" customWidth="1"/>
    <col min="14340" max="14340" width="14.6640625" style="125" customWidth="1"/>
    <col min="14341" max="14341" width="8.6640625" style="125" customWidth="1"/>
    <col min="14342" max="14342" width="11.5546875" style="125" customWidth="1"/>
    <col min="14343" max="14343" width="14.6640625" style="125" customWidth="1"/>
    <col min="14344" max="14587" width="8.88671875" style="125"/>
    <col min="14588" max="14588" width="9.6640625" style="125" customWidth="1"/>
    <col min="14589" max="14589" width="15.109375" style="125" bestFit="1" customWidth="1"/>
    <col min="14590" max="14590" width="14" style="125" bestFit="1" customWidth="1"/>
    <col min="14591" max="14591" width="17.109375" style="125" bestFit="1" customWidth="1"/>
    <col min="14592" max="14592" width="34.33203125" style="125" customWidth="1"/>
    <col min="14593" max="14593" width="5.6640625" style="125" customWidth="1"/>
    <col min="14594" max="14594" width="10.109375" style="125" bestFit="1" customWidth="1"/>
    <col min="14595" max="14595" width="9.6640625" style="125" customWidth="1"/>
    <col min="14596" max="14596" width="14.6640625" style="125" customWidth="1"/>
    <col min="14597" max="14597" width="8.6640625" style="125" customWidth="1"/>
    <col min="14598" max="14598" width="11.5546875" style="125" customWidth="1"/>
    <col min="14599" max="14599" width="14.6640625" style="125" customWidth="1"/>
    <col min="14600" max="14843" width="8.88671875" style="125"/>
    <col min="14844" max="14844" width="9.6640625" style="125" customWidth="1"/>
    <col min="14845" max="14845" width="15.109375" style="125" bestFit="1" customWidth="1"/>
    <col min="14846" max="14846" width="14" style="125" bestFit="1" customWidth="1"/>
    <col min="14847" max="14847" width="17.109375" style="125" bestFit="1" customWidth="1"/>
    <col min="14848" max="14848" width="34.33203125" style="125" customWidth="1"/>
    <col min="14849" max="14849" width="5.6640625" style="125" customWidth="1"/>
    <col min="14850" max="14850" width="10.109375" style="125" bestFit="1" customWidth="1"/>
    <col min="14851" max="14851" width="9.6640625" style="125" customWidth="1"/>
    <col min="14852" max="14852" width="14.6640625" style="125" customWidth="1"/>
    <col min="14853" max="14853" width="8.6640625" style="125" customWidth="1"/>
    <col min="14854" max="14854" width="11.5546875" style="125" customWidth="1"/>
    <col min="14855" max="14855" width="14.6640625" style="125" customWidth="1"/>
    <col min="14856" max="15099" width="8.88671875" style="125"/>
    <col min="15100" max="15100" width="9.6640625" style="125" customWidth="1"/>
    <col min="15101" max="15101" width="15.109375" style="125" bestFit="1" customWidth="1"/>
    <col min="15102" max="15102" width="14" style="125" bestFit="1" customWidth="1"/>
    <col min="15103" max="15103" width="17.109375" style="125" bestFit="1" customWidth="1"/>
    <col min="15104" max="15104" width="34.33203125" style="125" customWidth="1"/>
    <col min="15105" max="15105" width="5.6640625" style="125" customWidth="1"/>
    <col min="15106" max="15106" width="10.109375" style="125" bestFit="1" customWidth="1"/>
    <col min="15107" max="15107" width="9.6640625" style="125" customWidth="1"/>
    <col min="15108" max="15108" width="14.6640625" style="125" customWidth="1"/>
    <col min="15109" max="15109" width="8.6640625" style="125" customWidth="1"/>
    <col min="15110" max="15110" width="11.5546875" style="125" customWidth="1"/>
    <col min="15111" max="15111" width="14.6640625" style="125" customWidth="1"/>
    <col min="15112" max="15355" width="8.88671875" style="125"/>
    <col min="15356" max="15356" width="9.6640625" style="125" customWidth="1"/>
    <col min="15357" max="15357" width="15.109375" style="125" bestFit="1" customWidth="1"/>
    <col min="15358" max="15358" width="14" style="125" bestFit="1" customWidth="1"/>
    <col min="15359" max="15359" width="17.109375" style="125" bestFit="1" customWidth="1"/>
    <col min="15360" max="15360" width="34.33203125" style="125" customWidth="1"/>
    <col min="15361" max="15361" width="5.6640625" style="125" customWidth="1"/>
    <col min="15362" max="15362" width="10.109375" style="125" bestFit="1" customWidth="1"/>
    <col min="15363" max="15363" width="9.6640625" style="125" customWidth="1"/>
    <col min="15364" max="15364" width="14.6640625" style="125" customWidth="1"/>
    <col min="15365" max="15365" width="8.6640625" style="125" customWidth="1"/>
    <col min="15366" max="15366" width="11.5546875" style="125" customWidth="1"/>
    <col min="15367" max="15367" width="14.6640625" style="125" customWidth="1"/>
    <col min="15368" max="15611" width="8.88671875" style="125"/>
    <col min="15612" max="15612" width="9.6640625" style="125" customWidth="1"/>
    <col min="15613" max="15613" width="15.109375" style="125" bestFit="1" customWidth="1"/>
    <col min="15614" max="15614" width="14" style="125" bestFit="1" customWidth="1"/>
    <col min="15615" max="15615" width="17.109375" style="125" bestFit="1" customWidth="1"/>
    <col min="15616" max="15616" width="34.33203125" style="125" customWidth="1"/>
    <col min="15617" max="15617" width="5.6640625" style="125" customWidth="1"/>
    <col min="15618" max="15618" width="10.109375" style="125" bestFit="1" customWidth="1"/>
    <col min="15619" max="15619" width="9.6640625" style="125" customWidth="1"/>
    <col min="15620" max="15620" width="14.6640625" style="125" customWidth="1"/>
    <col min="15621" max="15621" width="8.6640625" style="125" customWidth="1"/>
    <col min="15622" max="15622" width="11.5546875" style="125" customWidth="1"/>
    <col min="15623" max="15623" width="14.6640625" style="125" customWidth="1"/>
    <col min="15624" max="15867" width="8.88671875" style="125"/>
    <col min="15868" max="15868" width="9.6640625" style="125" customWidth="1"/>
    <col min="15869" max="15869" width="15.109375" style="125" bestFit="1" customWidth="1"/>
    <col min="15870" max="15870" width="14" style="125" bestFit="1" customWidth="1"/>
    <col min="15871" max="15871" width="17.109375" style="125" bestFit="1" customWidth="1"/>
    <col min="15872" max="15872" width="34.33203125" style="125" customWidth="1"/>
    <col min="15873" max="15873" width="5.6640625" style="125" customWidth="1"/>
    <col min="15874" max="15874" width="10.109375" style="125" bestFit="1" customWidth="1"/>
    <col min="15875" max="15875" width="9.6640625" style="125" customWidth="1"/>
    <col min="15876" max="15876" width="14.6640625" style="125" customWidth="1"/>
    <col min="15877" max="15877" width="8.6640625" style="125" customWidth="1"/>
    <col min="15878" max="15878" width="11.5546875" style="125" customWidth="1"/>
    <col min="15879" max="15879" width="14.6640625" style="125" customWidth="1"/>
    <col min="15880" max="16123" width="8.88671875" style="125"/>
    <col min="16124" max="16124" width="9.6640625" style="125" customWidth="1"/>
    <col min="16125" max="16125" width="15.109375" style="125" bestFit="1" customWidth="1"/>
    <col min="16126" max="16126" width="14" style="125" bestFit="1" customWidth="1"/>
    <col min="16127" max="16127" width="17.109375" style="125" bestFit="1" customWidth="1"/>
    <col min="16128" max="16128" width="34.33203125" style="125" customWidth="1"/>
    <col min="16129" max="16129" width="5.6640625" style="125" customWidth="1"/>
    <col min="16130" max="16130" width="10.109375" style="125" bestFit="1" customWidth="1"/>
    <col min="16131" max="16131" width="9.6640625" style="125" customWidth="1"/>
    <col min="16132" max="16132" width="14.6640625" style="125" customWidth="1"/>
    <col min="16133" max="16133" width="8.6640625" style="125" customWidth="1"/>
    <col min="16134" max="16134" width="11.5546875" style="125" customWidth="1"/>
    <col min="16135" max="16135" width="14.6640625" style="125" customWidth="1"/>
    <col min="16136" max="16374" width="8.88671875" style="125"/>
    <col min="16375" max="16383" width="9.109375" style="125" customWidth="1"/>
    <col min="16384" max="16384" width="8.88671875" style="125"/>
  </cols>
  <sheetData>
    <row r="1" spans="1:17" ht="20.25" customHeight="1" x14ac:dyDescent="0.3">
      <c r="B1" s="123"/>
      <c r="C1" s="742" t="s">
        <v>61</v>
      </c>
      <c r="D1" s="743"/>
      <c r="E1" s="743"/>
      <c r="F1" s="743"/>
      <c r="G1" s="743"/>
      <c r="H1" s="743"/>
      <c r="I1" s="743"/>
      <c r="J1" s="743"/>
      <c r="K1" s="743"/>
      <c r="L1" s="743"/>
      <c r="M1" s="743"/>
      <c r="N1" s="743"/>
      <c r="O1" s="124"/>
    </row>
    <row r="2" spans="1:17" ht="21" x14ac:dyDescent="0.3">
      <c r="B2" s="127"/>
      <c r="C2" s="744"/>
      <c r="D2" s="744"/>
      <c r="E2" s="744"/>
      <c r="F2" s="744"/>
      <c r="G2" s="744"/>
      <c r="H2" s="744"/>
      <c r="I2" s="744"/>
      <c r="J2" s="744"/>
      <c r="K2" s="744"/>
      <c r="L2" s="744"/>
      <c r="M2" s="744"/>
      <c r="N2" s="744"/>
      <c r="O2" s="129"/>
    </row>
    <row r="3" spans="1:17" ht="18" customHeight="1" x14ac:dyDescent="0.3">
      <c r="B3" s="127"/>
      <c r="C3" s="744"/>
      <c r="D3" s="744"/>
      <c r="E3" s="744"/>
      <c r="F3" s="744"/>
      <c r="G3" s="744"/>
      <c r="H3" s="744"/>
      <c r="I3" s="744"/>
      <c r="J3" s="744"/>
      <c r="K3" s="744"/>
      <c r="L3" s="744"/>
      <c r="M3" s="744"/>
      <c r="N3" s="744"/>
      <c r="O3" s="130"/>
    </row>
    <row r="4" spans="1:17" thickBot="1" x14ac:dyDescent="0.35">
      <c r="B4" s="127"/>
      <c r="C4" s="744"/>
      <c r="D4" s="744"/>
      <c r="E4" s="744"/>
      <c r="F4" s="744"/>
      <c r="G4" s="744"/>
      <c r="H4" s="744"/>
      <c r="I4" s="744"/>
      <c r="J4" s="744"/>
      <c r="K4" s="744"/>
      <c r="L4" s="744"/>
      <c r="M4" s="744"/>
      <c r="N4" s="744"/>
      <c r="O4" s="131"/>
    </row>
    <row r="5" spans="1:17" s="136" customFormat="1" ht="15.75" customHeight="1" x14ac:dyDescent="0.3">
      <c r="A5" s="750"/>
      <c r="B5" s="133"/>
      <c r="C5" s="751" t="s">
        <v>62</v>
      </c>
      <c r="D5" s="745" t="s">
        <v>63</v>
      </c>
      <c r="E5" s="745" t="s">
        <v>64</v>
      </c>
      <c r="F5" s="753" t="s">
        <v>65</v>
      </c>
      <c r="G5" s="745" t="s">
        <v>66</v>
      </c>
      <c r="H5" s="745" t="s">
        <v>18</v>
      </c>
      <c r="I5" s="745" t="s">
        <v>67</v>
      </c>
      <c r="J5" s="745" t="s">
        <v>68</v>
      </c>
      <c r="K5" s="747" t="s">
        <v>69</v>
      </c>
      <c r="L5" s="745" t="s">
        <v>70</v>
      </c>
      <c r="M5" s="749"/>
      <c r="N5" s="134" t="s">
        <v>39</v>
      </c>
      <c r="O5" s="135"/>
      <c r="Q5" s="137"/>
    </row>
    <row r="6" spans="1:17" s="137" customFormat="1" ht="18.75" customHeight="1" thickBot="1" x14ac:dyDescent="0.35">
      <c r="A6" s="750"/>
      <c r="B6" s="133"/>
      <c r="C6" s="752"/>
      <c r="D6" s="746"/>
      <c r="E6" s="746"/>
      <c r="F6" s="754"/>
      <c r="G6" s="746"/>
      <c r="H6" s="746"/>
      <c r="I6" s="746"/>
      <c r="J6" s="746"/>
      <c r="K6" s="748"/>
      <c r="L6" s="138" t="s">
        <v>71</v>
      </c>
      <c r="M6" s="139" t="s">
        <v>72</v>
      </c>
      <c r="N6" s="140" t="s">
        <v>72</v>
      </c>
      <c r="O6" s="135"/>
    </row>
    <row r="7" spans="1:17" s="137" customFormat="1" ht="18.75" customHeight="1" thickBot="1" x14ac:dyDescent="0.35">
      <c r="A7" s="132"/>
      <c r="B7" s="133"/>
      <c r="C7" s="267"/>
      <c r="D7" s="142"/>
      <c r="E7" s="142"/>
      <c r="F7" s="142"/>
      <c r="G7" s="143"/>
      <c r="H7" s="144"/>
      <c r="I7" s="126"/>
      <c r="J7" s="145"/>
      <c r="K7" s="145"/>
      <c r="L7" s="146"/>
      <c r="M7" s="145"/>
      <c r="N7" s="513"/>
      <c r="O7" s="135"/>
    </row>
    <row r="8" spans="1:17" s="137" customFormat="1" ht="18.75" customHeight="1" thickBot="1" x14ac:dyDescent="0.35">
      <c r="A8" s="132"/>
      <c r="B8" s="133"/>
      <c r="C8" s="216" t="s">
        <v>212</v>
      </c>
      <c r="D8" s="217"/>
      <c r="E8" s="217"/>
      <c r="F8" s="217"/>
      <c r="G8" s="217"/>
      <c r="H8" s="218"/>
      <c r="I8" s="218"/>
      <c r="J8" s="218"/>
      <c r="K8" s="219"/>
      <c r="L8" s="220"/>
      <c r="M8" s="221"/>
      <c r="N8" s="221"/>
      <c r="O8" s="135"/>
    </row>
    <row r="9" spans="1:17" s="137" customFormat="1" ht="18.75" customHeight="1" thickBot="1" x14ac:dyDescent="0.35">
      <c r="A9" s="132"/>
      <c r="B9" s="133"/>
      <c r="C9" s="222"/>
      <c r="D9" s="223" t="s">
        <v>74</v>
      </c>
      <c r="E9" s="224"/>
      <c r="F9" s="224"/>
      <c r="G9" s="225"/>
      <c r="H9" s="226"/>
      <c r="I9" s="227"/>
      <c r="J9" s="228"/>
      <c r="K9" s="229"/>
      <c r="L9" s="230"/>
      <c r="M9" s="231"/>
      <c r="N9" s="232"/>
      <c r="O9" s="135"/>
    </row>
    <row r="10" spans="1:17" s="137" customFormat="1" ht="18.75" customHeight="1" x14ac:dyDescent="0.3">
      <c r="A10" s="132"/>
      <c r="B10" s="133"/>
      <c r="C10" s="485">
        <v>46083</v>
      </c>
      <c r="D10" s="486" t="s">
        <v>213</v>
      </c>
      <c r="E10" s="209" t="s">
        <v>163</v>
      </c>
      <c r="F10" s="487" t="s">
        <v>133</v>
      </c>
      <c r="G10" s="488" t="s">
        <v>78</v>
      </c>
      <c r="H10" s="211" t="s">
        <v>94</v>
      </c>
      <c r="I10" s="212" t="s">
        <v>214</v>
      </c>
      <c r="J10" s="489">
        <v>21.1</v>
      </c>
      <c r="K10" s="214">
        <v>65.7</v>
      </c>
      <c r="L10" s="235">
        <v>0.7</v>
      </c>
      <c r="M10" s="215">
        <f>J10*K10*L10</f>
        <v>970.38900000000012</v>
      </c>
      <c r="N10" s="514">
        <f>M10</f>
        <v>970.38900000000012</v>
      </c>
      <c r="O10" s="135"/>
    </row>
    <row r="11" spans="1:17" s="137" customFormat="1" ht="18.75" customHeight="1" x14ac:dyDescent="0.3">
      <c r="A11" s="132"/>
      <c r="B11" s="133"/>
      <c r="C11" s="377">
        <v>46083</v>
      </c>
      <c r="D11" s="490" t="s">
        <v>215</v>
      </c>
      <c r="E11" s="209" t="s">
        <v>163</v>
      </c>
      <c r="F11" s="491" t="s">
        <v>117</v>
      </c>
      <c r="G11" s="492" t="s">
        <v>78</v>
      </c>
      <c r="H11" s="177" t="s">
        <v>94</v>
      </c>
      <c r="I11" s="212" t="s">
        <v>214</v>
      </c>
      <c r="J11" s="493">
        <v>21.25</v>
      </c>
      <c r="K11" s="214">
        <v>65.7</v>
      </c>
      <c r="L11" s="235">
        <v>0.7</v>
      </c>
      <c r="M11" s="181">
        <f t="shared" ref="M11:M69" si="0">J11*K11*L11</f>
        <v>977.28749999999991</v>
      </c>
      <c r="N11" s="182">
        <f>M11</f>
        <v>977.28749999999991</v>
      </c>
      <c r="O11" s="135"/>
    </row>
    <row r="12" spans="1:17" s="137" customFormat="1" ht="18.75" customHeight="1" x14ac:dyDescent="0.3">
      <c r="A12" s="132"/>
      <c r="B12" s="133"/>
      <c r="C12" s="377">
        <v>46083</v>
      </c>
      <c r="D12" s="490" t="s">
        <v>216</v>
      </c>
      <c r="E12" s="209" t="s">
        <v>163</v>
      </c>
      <c r="F12" s="491" t="s">
        <v>117</v>
      </c>
      <c r="G12" s="492" t="s">
        <v>78</v>
      </c>
      <c r="H12" s="177" t="s">
        <v>94</v>
      </c>
      <c r="I12" s="212" t="s">
        <v>214</v>
      </c>
      <c r="J12" s="493">
        <v>21.8</v>
      </c>
      <c r="K12" s="214">
        <v>31.5</v>
      </c>
      <c r="L12" s="235">
        <v>0.7</v>
      </c>
      <c r="M12" s="181">
        <f t="shared" si="0"/>
        <v>480.69</v>
      </c>
      <c r="N12" s="182">
        <f t="shared" ref="N12:N70" si="1">M12</f>
        <v>480.69</v>
      </c>
      <c r="O12" s="135"/>
    </row>
    <row r="13" spans="1:17" s="137" customFormat="1" ht="18.75" customHeight="1" x14ac:dyDescent="0.3">
      <c r="A13" s="132"/>
      <c r="B13" s="133"/>
      <c r="C13" s="377">
        <v>46083</v>
      </c>
      <c r="D13" s="490" t="s">
        <v>217</v>
      </c>
      <c r="E13" s="209" t="s">
        <v>163</v>
      </c>
      <c r="F13" s="491" t="s">
        <v>77</v>
      </c>
      <c r="G13" s="492" t="s">
        <v>78</v>
      </c>
      <c r="H13" s="177" t="s">
        <v>94</v>
      </c>
      <c r="I13" s="212" t="s">
        <v>214</v>
      </c>
      <c r="J13" s="493">
        <v>22.9</v>
      </c>
      <c r="K13" s="214">
        <v>31.5</v>
      </c>
      <c r="L13" s="235">
        <v>0.7</v>
      </c>
      <c r="M13" s="181">
        <f t="shared" si="0"/>
        <v>504.94499999999988</v>
      </c>
      <c r="N13" s="182">
        <f t="shared" si="1"/>
        <v>504.94499999999988</v>
      </c>
      <c r="O13" s="135"/>
    </row>
    <row r="14" spans="1:17" s="137" customFormat="1" ht="18.75" customHeight="1" x14ac:dyDescent="0.3">
      <c r="A14" s="132"/>
      <c r="B14" s="133"/>
      <c r="C14" s="377">
        <v>46083</v>
      </c>
      <c r="D14" s="490" t="s">
        <v>218</v>
      </c>
      <c r="E14" s="209" t="s">
        <v>163</v>
      </c>
      <c r="F14" s="491" t="s">
        <v>77</v>
      </c>
      <c r="G14" s="492" t="s">
        <v>78</v>
      </c>
      <c r="H14" s="177" t="s">
        <v>94</v>
      </c>
      <c r="I14" s="212" t="s">
        <v>214</v>
      </c>
      <c r="J14" s="493">
        <v>23.1</v>
      </c>
      <c r="K14" s="214">
        <v>31.5</v>
      </c>
      <c r="L14" s="235">
        <v>0.7</v>
      </c>
      <c r="M14" s="181">
        <f t="shared" si="0"/>
        <v>509.35500000000002</v>
      </c>
      <c r="N14" s="182">
        <f t="shared" si="1"/>
        <v>509.35500000000002</v>
      </c>
      <c r="O14" s="135"/>
    </row>
    <row r="15" spans="1:17" s="137" customFormat="1" ht="18.75" customHeight="1" x14ac:dyDescent="0.3">
      <c r="A15" s="132"/>
      <c r="B15" s="133"/>
      <c r="C15" s="377">
        <v>46083</v>
      </c>
      <c r="D15" s="490" t="s">
        <v>219</v>
      </c>
      <c r="E15" s="209" t="s">
        <v>163</v>
      </c>
      <c r="F15" s="491" t="s">
        <v>133</v>
      </c>
      <c r="G15" s="492" t="s">
        <v>78</v>
      </c>
      <c r="H15" s="177" t="s">
        <v>94</v>
      </c>
      <c r="I15" s="212" t="s">
        <v>214</v>
      </c>
      <c r="J15" s="493">
        <v>23.36</v>
      </c>
      <c r="K15" s="214">
        <v>31.5</v>
      </c>
      <c r="L15" s="235">
        <v>0.7</v>
      </c>
      <c r="M15" s="181">
        <f t="shared" si="0"/>
        <v>515.08799999999997</v>
      </c>
      <c r="N15" s="182">
        <f t="shared" si="1"/>
        <v>515.08799999999997</v>
      </c>
      <c r="O15" s="135"/>
    </row>
    <row r="16" spans="1:17" s="137" customFormat="1" ht="18.75" customHeight="1" x14ac:dyDescent="0.3">
      <c r="A16" s="132"/>
      <c r="B16" s="133"/>
      <c r="C16" s="377">
        <v>46083</v>
      </c>
      <c r="D16" s="490" t="s">
        <v>220</v>
      </c>
      <c r="E16" s="209" t="s">
        <v>163</v>
      </c>
      <c r="F16" s="491" t="s">
        <v>131</v>
      </c>
      <c r="G16" s="492" t="s">
        <v>78</v>
      </c>
      <c r="H16" s="177" t="s">
        <v>94</v>
      </c>
      <c r="I16" s="212" t="s">
        <v>214</v>
      </c>
      <c r="J16" s="493">
        <v>28.92</v>
      </c>
      <c r="K16" s="214">
        <v>65.7</v>
      </c>
      <c r="L16" s="235">
        <v>0.7</v>
      </c>
      <c r="M16" s="181">
        <f t="shared" si="0"/>
        <v>1330.0308</v>
      </c>
      <c r="N16" s="182">
        <f t="shared" si="1"/>
        <v>1330.0308</v>
      </c>
      <c r="O16" s="135"/>
    </row>
    <row r="17" spans="1:15" s="137" customFormat="1" ht="18.75" customHeight="1" x14ac:dyDescent="0.3">
      <c r="A17" s="132"/>
      <c r="B17" s="133"/>
      <c r="C17" s="377">
        <v>46084</v>
      </c>
      <c r="D17" s="490" t="s">
        <v>221</v>
      </c>
      <c r="E17" s="209" t="s">
        <v>163</v>
      </c>
      <c r="F17" s="491" t="s">
        <v>136</v>
      </c>
      <c r="G17" s="492" t="s">
        <v>78</v>
      </c>
      <c r="H17" s="177" t="s">
        <v>94</v>
      </c>
      <c r="I17" s="212" t="s">
        <v>214</v>
      </c>
      <c r="J17" s="493">
        <v>20.95</v>
      </c>
      <c r="K17" s="214">
        <v>65.7</v>
      </c>
      <c r="L17" s="235">
        <v>0.7</v>
      </c>
      <c r="M17" s="181">
        <f t="shared" si="0"/>
        <v>963.49049999999988</v>
      </c>
      <c r="N17" s="182">
        <f t="shared" si="1"/>
        <v>963.49049999999988</v>
      </c>
      <c r="O17" s="135"/>
    </row>
    <row r="18" spans="1:15" s="137" customFormat="1" ht="18.75" customHeight="1" x14ac:dyDescent="0.3">
      <c r="A18" s="132"/>
      <c r="B18" s="133"/>
      <c r="C18" s="377">
        <v>46084</v>
      </c>
      <c r="D18" s="490" t="s">
        <v>222</v>
      </c>
      <c r="E18" s="209" t="s">
        <v>163</v>
      </c>
      <c r="F18" s="491" t="s">
        <v>77</v>
      </c>
      <c r="G18" s="492" t="s">
        <v>78</v>
      </c>
      <c r="H18" s="177" t="s">
        <v>94</v>
      </c>
      <c r="I18" s="212" t="s">
        <v>214</v>
      </c>
      <c r="J18" s="493">
        <v>23</v>
      </c>
      <c r="K18" s="214">
        <v>31.5</v>
      </c>
      <c r="L18" s="235">
        <v>0.7</v>
      </c>
      <c r="M18" s="181">
        <f t="shared" si="0"/>
        <v>507.15</v>
      </c>
      <c r="N18" s="182">
        <f t="shared" si="1"/>
        <v>507.15</v>
      </c>
      <c r="O18" s="135"/>
    </row>
    <row r="19" spans="1:15" s="137" customFormat="1" ht="18.75" customHeight="1" x14ac:dyDescent="0.3">
      <c r="A19" s="132"/>
      <c r="B19" s="133"/>
      <c r="C19" s="377">
        <v>46084</v>
      </c>
      <c r="D19" s="490" t="s">
        <v>223</v>
      </c>
      <c r="E19" s="209" t="s">
        <v>163</v>
      </c>
      <c r="F19" s="491" t="s">
        <v>138</v>
      </c>
      <c r="G19" s="492" t="s">
        <v>78</v>
      </c>
      <c r="H19" s="177" t="s">
        <v>94</v>
      </c>
      <c r="I19" s="212" t="s">
        <v>214</v>
      </c>
      <c r="J19" s="493">
        <v>23.09</v>
      </c>
      <c r="K19" s="214">
        <v>65.7</v>
      </c>
      <c r="L19" s="235">
        <v>0.7</v>
      </c>
      <c r="M19" s="181">
        <f t="shared" si="0"/>
        <v>1061.9091000000001</v>
      </c>
      <c r="N19" s="182">
        <f t="shared" si="1"/>
        <v>1061.9091000000001</v>
      </c>
      <c r="O19" s="135"/>
    </row>
    <row r="20" spans="1:15" s="137" customFormat="1" ht="18.75" customHeight="1" x14ac:dyDescent="0.3">
      <c r="A20" s="132"/>
      <c r="B20" s="133"/>
      <c r="C20" s="377">
        <v>46084</v>
      </c>
      <c r="D20" s="490" t="s">
        <v>224</v>
      </c>
      <c r="E20" s="209" t="s">
        <v>163</v>
      </c>
      <c r="F20" s="491" t="s">
        <v>97</v>
      </c>
      <c r="G20" s="492" t="s">
        <v>78</v>
      </c>
      <c r="H20" s="177" t="s">
        <v>94</v>
      </c>
      <c r="I20" s="212" t="s">
        <v>214</v>
      </c>
      <c r="J20" s="493">
        <v>24.15</v>
      </c>
      <c r="K20" s="214">
        <v>31.5</v>
      </c>
      <c r="L20" s="235">
        <v>0.7</v>
      </c>
      <c r="M20" s="181">
        <f t="shared" si="0"/>
        <v>532.50749999999994</v>
      </c>
      <c r="N20" s="182">
        <f t="shared" si="1"/>
        <v>532.50749999999994</v>
      </c>
      <c r="O20" s="135"/>
    </row>
    <row r="21" spans="1:15" s="137" customFormat="1" ht="18.75" customHeight="1" x14ac:dyDescent="0.3">
      <c r="A21" s="132"/>
      <c r="B21" s="133"/>
      <c r="C21" s="377">
        <v>46084</v>
      </c>
      <c r="D21" s="490" t="s">
        <v>225</v>
      </c>
      <c r="E21" s="209" t="s">
        <v>163</v>
      </c>
      <c r="F21" s="491" t="s">
        <v>99</v>
      </c>
      <c r="G21" s="492" t="s">
        <v>78</v>
      </c>
      <c r="H21" s="177" t="s">
        <v>94</v>
      </c>
      <c r="I21" s="212" t="s">
        <v>214</v>
      </c>
      <c r="J21" s="493">
        <v>24.8</v>
      </c>
      <c r="K21" s="214">
        <v>31.5</v>
      </c>
      <c r="L21" s="235">
        <v>0.7</v>
      </c>
      <c r="M21" s="181">
        <f t="shared" si="0"/>
        <v>546.84</v>
      </c>
      <c r="N21" s="182">
        <f t="shared" si="1"/>
        <v>546.84</v>
      </c>
      <c r="O21" s="135"/>
    </row>
    <row r="22" spans="1:15" s="137" customFormat="1" ht="18.75" customHeight="1" x14ac:dyDescent="0.3">
      <c r="A22" s="132"/>
      <c r="B22" s="133"/>
      <c r="C22" s="377">
        <v>46084</v>
      </c>
      <c r="D22" s="490" t="s">
        <v>226</v>
      </c>
      <c r="E22" s="209" t="s">
        <v>163</v>
      </c>
      <c r="F22" s="491" t="s">
        <v>101</v>
      </c>
      <c r="G22" s="492" t="s">
        <v>78</v>
      </c>
      <c r="H22" s="177" t="s">
        <v>94</v>
      </c>
      <c r="I22" s="212" t="s">
        <v>214</v>
      </c>
      <c r="J22" s="493">
        <v>32</v>
      </c>
      <c r="K22" s="214">
        <v>65.7</v>
      </c>
      <c r="L22" s="235">
        <v>0.7</v>
      </c>
      <c r="M22" s="181">
        <f t="shared" si="0"/>
        <v>1471.68</v>
      </c>
      <c r="N22" s="182">
        <f t="shared" si="1"/>
        <v>1471.68</v>
      </c>
      <c r="O22" s="135"/>
    </row>
    <row r="23" spans="1:15" s="137" customFormat="1" ht="18.75" customHeight="1" x14ac:dyDescent="0.3">
      <c r="A23" s="132"/>
      <c r="B23" s="133"/>
      <c r="C23" s="377">
        <v>46085</v>
      </c>
      <c r="D23" s="490" t="s">
        <v>227</v>
      </c>
      <c r="E23" s="209" t="s">
        <v>163</v>
      </c>
      <c r="F23" s="491" t="s">
        <v>85</v>
      </c>
      <c r="G23" s="492" t="s">
        <v>78</v>
      </c>
      <c r="H23" s="177" t="s">
        <v>94</v>
      </c>
      <c r="I23" s="212" t="s">
        <v>214</v>
      </c>
      <c r="J23" s="493">
        <v>20.95</v>
      </c>
      <c r="K23" s="214">
        <v>66.3</v>
      </c>
      <c r="L23" s="235">
        <v>0.7</v>
      </c>
      <c r="M23" s="181">
        <f t="shared" si="0"/>
        <v>972.28949999999986</v>
      </c>
      <c r="N23" s="182">
        <f t="shared" si="1"/>
        <v>972.28949999999986</v>
      </c>
      <c r="O23" s="135"/>
    </row>
    <row r="24" spans="1:15" s="137" customFormat="1" ht="18.75" customHeight="1" x14ac:dyDescent="0.3">
      <c r="A24" s="132"/>
      <c r="B24" s="133"/>
      <c r="C24" s="377">
        <v>46085</v>
      </c>
      <c r="D24" s="490" t="s">
        <v>228</v>
      </c>
      <c r="E24" s="209" t="s">
        <v>163</v>
      </c>
      <c r="F24" s="491" t="s">
        <v>77</v>
      </c>
      <c r="G24" s="492" t="s">
        <v>78</v>
      </c>
      <c r="H24" s="177" t="s">
        <v>94</v>
      </c>
      <c r="I24" s="212" t="s">
        <v>214</v>
      </c>
      <c r="J24" s="493">
        <v>21.8</v>
      </c>
      <c r="K24" s="214">
        <v>36.4</v>
      </c>
      <c r="L24" s="235">
        <v>0.7</v>
      </c>
      <c r="M24" s="181">
        <f t="shared" si="0"/>
        <v>555.46399999999994</v>
      </c>
      <c r="N24" s="182">
        <f t="shared" si="1"/>
        <v>555.46399999999994</v>
      </c>
      <c r="O24" s="135"/>
    </row>
    <row r="25" spans="1:15" s="137" customFormat="1" ht="18.75" customHeight="1" x14ac:dyDescent="0.3">
      <c r="A25" s="132"/>
      <c r="B25" s="133"/>
      <c r="C25" s="377">
        <v>46085</v>
      </c>
      <c r="D25" s="490" t="s">
        <v>229</v>
      </c>
      <c r="E25" s="209" t="s">
        <v>163</v>
      </c>
      <c r="F25" s="491" t="s">
        <v>77</v>
      </c>
      <c r="G25" s="492" t="s">
        <v>78</v>
      </c>
      <c r="H25" s="177" t="s">
        <v>94</v>
      </c>
      <c r="I25" s="212" t="s">
        <v>214</v>
      </c>
      <c r="J25" s="493">
        <v>22.3</v>
      </c>
      <c r="K25" s="214">
        <v>36.4</v>
      </c>
      <c r="L25" s="235">
        <v>0.7</v>
      </c>
      <c r="M25" s="181">
        <f t="shared" si="0"/>
        <v>568.20399999999995</v>
      </c>
      <c r="N25" s="182">
        <f t="shared" si="1"/>
        <v>568.20399999999995</v>
      </c>
      <c r="O25" s="135"/>
    </row>
    <row r="26" spans="1:15" s="137" customFormat="1" ht="18.75" customHeight="1" x14ac:dyDescent="0.3">
      <c r="A26" s="132"/>
      <c r="B26" s="133"/>
      <c r="C26" s="377">
        <v>46085</v>
      </c>
      <c r="D26" s="490" t="s">
        <v>230</v>
      </c>
      <c r="E26" s="209" t="s">
        <v>163</v>
      </c>
      <c r="F26" s="491" t="s">
        <v>122</v>
      </c>
      <c r="G26" s="492" t="s">
        <v>78</v>
      </c>
      <c r="H26" s="177" t="s">
        <v>94</v>
      </c>
      <c r="I26" s="212" t="s">
        <v>214</v>
      </c>
      <c r="J26" s="493">
        <v>22.65</v>
      </c>
      <c r="K26" s="214">
        <v>66.3</v>
      </c>
      <c r="L26" s="235">
        <v>0.7</v>
      </c>
      <c r="M26" s="181">
        <f t="shared" si="0"/>
        <v>1051.1864999999998</v>
      </c>
      <c r="N26" s="182">
        <f t="shared" si="1"/>
        <v>1051.1864999999998</v>
      </c>
      <c r="O26" s="135"/>
    </row>
    <row r="27" spans="1:15" s="137" customFormat="1" ht="18.75" customHeight="1" x14ac:dyDescent="0.3">
      <c r="A27" s="132"/>
      <c r="B27" s="133"/>
      <c r="C27" s="377">
        <v>46085</v>
      </c>
      <c r="D27" s="490" t="s">
        <v>231</v>
      </c>
      <c r="E27" s="209" t="s">
        <v>163</v>
      </c>
      <c r="F27" s="491" t="s">
        <v>122</v>
      </c>
      <c r="G27" s="492" t="s">
        <v>78</v>
      </c>
      <c r="H27" s="177" t="s">
        <v>94</v>
      </c>
      <c r="I27" s="212" t="s">
        <v>214</v>
      </c>
      <c r="J27" s="493">
        <v>23.15</v>
      </c>
      <c r="K27" s="214">
        <v>36.4</v>
      </c>
      <c r="L27" s="235">
        <v>0.7</v>
      </c>
      <c r="M27" s="181">
        <f t="shared" si="0"/>
        <v>589.86199999999997</v>
      </c>
      <c r="N27" s="182">
        <f t="shared" si="1"/>
        <v>589.86199999999997</v>
      </c>
      <c r="O27" s="135"/>
    </row>
    <row r="28" spans="1:15" s="137" customFormat="1" ht="18.75" customHeight="1" x14ac:dyDescent="0.3">
      <c r="A28" s="132"/>
      <c r="B28" s="133"/>
      <c r="C28" s="377">
        <v>46085</v>
      </c>
      <c r="D28" s="490" t="s">
        <v>232</v>
      </c>
      <c r="E28" s="209" t="s">
        <v>163</v>
      </c>
      <c r="F28" s="491" t="s">
        <v>120</v>
      </c>
      <c r="G28" s="492" t="s">
        <v>78</v>
      </c>
      <c r="H28" s="177" t="s">
        <v>94</v>
      </c>
      <c r="I28" s="212" t="s">
        <v>214</v>
      </c>
      <c r="J28" s="493">
        <v>25.35</v>
      </c>
      <c r="K28" s="214">
        <v>66.3</v>
      </c>
      <c r="L28" s="235">
        <v>0.7</v>
      </c>
      <c r="M28" s="181">
        <f t="shared" si="0"/>
        <v>1176.4934999999998</v>
      </c>
      <c r="N28" s="182">
        <f t="shared" si="1"/>
        <v>1176.4934999999998</v>
      </c>
      <c r="O28" s="135"/>
    </row>
    <row r="29" spans="1:15" s="137" customFormat="1" ht="18.75" customHeight="1" x14ac:dyDescent="0.3">
      <c r="A29" s="132"/>
      <c r="B29" s="133"/>
      <c r="C29" s="377">
        <v>46086</v>
      </c>
      <c r="D29" s="490" t="s">
        <v>233</v>
      </c>
      <c r="E29" s="209" t="s">
        <v>163</v>
      </c>
      <c r="F29" s="373" t="s">
        <v>117</v>
      </c>
      <c r="G29" s="492" t="s">
        <v>78</v>
      </c>
      <c r="H29" s="177" t="s">
        <v>94</v>
      </c>
      <c r="I29" s="212" t="s">
        <v>214</v>
      </c>
      <c r="J29" s="493">
        <v>21.55</v>
      </c>
      <c r="K29" s="214">
        <v>36.9</v>
      </c>
      <c r="L29" s="235">
        <v>0.7</v>
      </c>
      <c r="M29" s="181">
        <f t="shared" si="0"/>
        <v>556.63649999999996</v>
      </c>
      <c r="N29" s="182">
        <f t="shared" si="1"/>
        <v>556.63649999999996</v>
      </c>
      <c r="O29" s="135"/>
    </row>
    <row r="30" spans="1:15" s="137" customFormat="1" ht="18.75" customHeight="1" x14ac:dyDescent="0.3">
      <c r="A30" s="132"/>
      <c r="B30" s="133"/>
      <c r="C30" s="377">
        <v>46086</v>
      </c>
      <c r="D30" s="490" t="s">
        <v>234</v>
      </c>
      <c r="E30" s="209" t="s">
        <v>163</v>
      </c>
      <c r="F30" s="491" t="s">
        <v>127</v>
      </c>
      <c r="G30" s="492" t="s">
        <v>78</v>
      </c>
      <c r="H30" s="177" t="s">
        <v>94</v>
      </c>
      <c r="I30" s="212" t="s">
        <v>214</v>
      </c>
      <c r="J30" s="493">
        <v>21.95</v>
      </c>
      <c r="K30" s="214">
        <v>67.8</v>
      </c>
      <c r="L30" s="235">
        <v>0.7</v>
      </c>
      <c r="M30" s="181">
        <f t="shared" si="0"/>
        <v>1041.7469999999998</v>
      </c>
      <c r="N30" s="182">
        <f t="shared" si="1"/>
        <v>1041.7469999999998</v>
      </c>
      <c r="O30" s="135"/>
    </row>
    <row r="31" spans="1:15" s="137" customFormat="1" ht="18.75" customHeight="1" x14ac:dyDescent="0.3">
      <c r="A31" s="132"/>
      <c r="B31" s="133"/>
      <c r="C31" s="377">
        <v>46086</v>
      </c>
      <c r="D31" s="490" t="s">
        <v>235</v>
      </c>
      <c r="E31" s="209" t="s">
        <v>163</v>
      </c>
      <c r="F31" s="491" t="s">
        <v>131</v>
      </c>
      <c r="G31" s="492" t="s">
        <v>78</v>
      </c>
      <c r="H31" s="177" t="s">
        <v>94</v>
      </c>
      <c r="I31" s="212" t="s">
        <v>214</v>
      </c>
      <c r="J31" s="493">
        <v>27.76</v>
      </c>
      <c r="K31" s="214">
        <v>36.9</v>
      </c>
      <c r="L31" s="235">
        <v>0.7</v>
      </c>
      <c r="M31" s="181">
        <f t="shared" si="0"/>
        <v>717.04079999999999</v>
      </c>
      <c r="N31" s="182">
        <f t="shared" si="1"/>
        <v>717.04079999999999</v>
      </c>
      <c r="O31" s="135"/>
    </row>
    <row r="32" spans="1:15" s="137" customFormat="1" ht="18.75" customHeight="1" x14ac:dyDescent="0.3">
      <c r="A32" s="132"/>
      <c r="B32" s="133"/>
      <c r="C32" s="377">
        <v>46086</v>
      </c>
      <c r="D32" s="490" t="s">
        <v>236</v>
      </c>
      <c r="E32" s="209" t="s">
        <v>163</v>
      </c>
      <c r="F32" s="491" t="s">
        <v>127</v>
      </c>
      <c r="G32" s="492" t="s">
        <v>78</v>
      </c>
      <c r="H32" s="177" t="s">
        <v>94</v>
      </c>
      <c r="I32" s="212" t="s">
        <v>214</v>
      </c>
      <c r="J32" s="493">
        <v>21.75</v>
      </c>
      <c r="K32" s="214">
        <v>67.8</v>
      </c>
      <c r="L32" s="235">
        <v>0.7</v>
      </c>
      <c r="M32" s="181">
        <f t="shared" si="0"/>
        <v>1032.2549999999999</v>
      </c>
      <c r="N32" s="182">
        <f t="shared" si="1"/>
        <v>1032.2549999999999</v>
      </c>
      <c r="O32" s="135"/>
    </row>
    <row r="33" spans="1:15" s="137" customFormat="1" ht="18.75" customHeight="1" x14ac:dyDescent="0.3">
      <c r="A33" s="132"/>
      <c r="B33" s="133"/>
      <c r="C33" s="377">
        <v>46086</v>
      </c>
      <c r="D33" s="490" t="s">
        <v>237</v>
      </c>
      <c r="E33" s="209" t="s">
        <v>163</v>
      </c>
      <c r="F33" s="491" t="s">
        <v>117</v>
      </c>
      <c r="G33" s="492" t="s">
        <v>78</v>
      </c>
      <c r="H33" s="177" t="s">
        <v>94</v>
      </c>
      <c r="I33" s="212" t="s">
        <v>214</v>
      </c>
      <c r="J33" s="493">
        <v>22.1</v>
      </c>
      <c r="K33" s="214">
        <v>67.8</v>
      </c>
      <c r="L33" s="235">
        <v>0.7</v>
      </c>
      <c r="M33" s="181">
        <f t="shared" si="0"/>
        <v>1048.866</v>
      </c>
      <c r="N33" s="182">
        <f t="shared" si="1"/>
        <v>1048.866</v>
      </c>
      <c r="O33" s="135"/>
    </row>
    <row r="34" spans="1:15" s="137" customFormat="1" ht="18.75" customHeight="1" x14ac:dyDescent="0.3">
      <c r="A34" s="132"/>
      <c r="B34" s="133"/>
      <c r="C34" s="377">
        <v>46086</v>
      </c>
      <c r="D34" s="490" t="s">
        <v>238</v>
      </c>
      <c r="E34" s="209" t="s">
        <v>163</v>
      </c>
      <c r="F34" s="491" t="s">
        <v>239</v>
      </c>
      <c r="G34" s="492" t="s">
        <v>78</v>
      </c>
      <c r="H34" s="177" t="s">
        <v>94</v>
      </c>
      <c r="I34" s="212" t="s">
        <v>214</v>
      </c>
      <c r="J34" s="493">
        <v>23.1</v>
      </c>
      <c r="K34" s="214">
        <v>67.8</v>
      </c>
      <c r="L34" s="235">
        <v>0.7</v>
      </c>
      <c r="M34" s="181">
        <f t="shared" si="0"/>
        <v>1096.326</v>
      </c>
      <c r="N34" s="182">
        <f t="shared" si="1"/>
        <v>1096.326</v>
      </c>
      <c r="O34" s="135"/>
    </row>
    <row r="35" spans="1:15" s="137" customFormat="1" ht="18.75" customHeight="1" x14ac:dyDescent="0.3">
      <c r="A35" s="132"/>
      <c r="B35" s="133"/>
      <c r="C35" s="377">
        <v>46086</v>
      </c>
      <c r="D35" s="490" t="s">
        <v>240</v>
      </c>
      <c r="E35" s="209" t="s">
        <v>163</v>
      </c>
      <c r="F35" s="491" t="s">
        <v>131</v>
      </c>
      <c r="G35" s="492" t="s">
        <v>78</v>
      </c>
      <c r="H35" s="177" t="s">
        <v>94</v>
      </c>
      <c r="I35" s="212" t="s">
        <v>214</v>
      </c>
      <c r="J35" s="493">
        <v>26.73</v>
      </c>
      <c r="K35" s="214">
        <v>36.9</v>
      </c>
      <c r="L35" s="235">
        <v>0.7</v>
      </c>
      <c r="M35" s="181">
        <f t="shared" si="0"/>
        <v>690.43589999999995</v>
      </c>
      <c r="N35" s="182">
        <f t="shared" si="1"/>
        <v>690.43589999999995</v>
      </c>
      <c r="O35" s="135"/>
    </row>
    <row r="36" spans="1:15" s="137" customFormat="1" ht="18.75" customHeight="1" x14ac:dyDescent="0.3">
      <c r="A36" s="132"/>
      <c r="B36" s="133"/>
      <c r="C36" s="377">
        <v>46087</v>
      </c>
      <c r="D36" s="490" t="s">
        <v>241</v>
      </c>
      <c r="E36" s="209" t="s">
        <v>163</v>
      </c>
      <c r="F36" s="491" t="s">
        <v>77</v>
      </c>
      <c r="G36" s="492" t="s">
        <v>78</v>
      </c>
      <c r="H36" s="177" t="s">
        <v>94</v>
      </c>
      <c r="I36" s="212" t="s">
        <v>214</v>
      </c>
      <c r="J36" s="493">
        <v>22.9</v>
      </c>
      <c r="K36" s="214">
        <v>40.5</v>
      </c>
      <c r="L36" s="235">
        <v>0.7</v>
      </c>
      <c r="M36" s="181">
        <f t="shared" si="0"/>
        <v>649.21499999999992</v>
      </c>
      <c r="N36" s="182">
        <f t="shared" si="1"/>
        <v>649.21499999999992</v>
      </c>
      <c r="O36" s="135"/>
    </row>
    <row r="37" spans="1:15" s="137" customFormat="1" ht="18.75" customHeight="1" x14ac:dyDescent="0.3">
      <c r="A37" s="132"/>
      <c r="B37" s="133"/>
      <c r="C37" s="377">
        <v>46087</v>
      </c>
      <c r="D37" s="490" t="s">
        <v>242</v>
      </c>
      <c r="E37" s="209" t="s">
        <v>163</v>
      </c>
      <c r="F37" s="491" t="s">
        <v>101</v>
      </c>
      <c r="G37" s="492" t="s">
        <v>78</v>
      </c>
      <c r="H37" s="177" t="s">
        <v>94</v>
      </c>
      <c r="I37" s="212" t="s">
        <v>214</v>
      </c>
      <c r="J37" s="493">
        <v>29.15</v>
      </c>
      <c r="K37" s="214">
        <v>68.5</v>
      </c>
      <c r="L37" s="235">
        <v>0.7</v>
      </c>
      <c r="M37" s="181">
        <f t="shared" si="0"/>
        <v>1397.7424999999998</v>
      </c>
      <c r="N37" s="182">
        <f t="shared" si="1"/>
        <v>1397.7424999999998</v>
      </c>
      <c r="O37" s="135"/>
    </row>
    <row r="38" spans="1:15" s="137" customFormat="1" ht="18.75" customHeight="1" x14ac:dyDescent="0.3">
      <c r="A38" s="132"/>
      <c r="B38" s="133"/>
      <c r="C38" s="377">
        <v>46087</v>
      </c>
      <c r="D38" s="490" t="s">
        <v>243</v>
      </c>
      <c r="E38" s="209" t="s">
        <v>163</v>
      </c>
      <c r="F38" s="491" t="s">
        <v>133</v>
      </c>
      <c r="G38" s="492" t="s">
        <v>78</v>
      </c>
      <c r="H38" s="177" t="s">
        <v>94</v>
      </c>
      <c r="I38" s="212" t="s">
        <v>214</v>
      </c>
      <c r="J38" s="493">
        <v>21.3</v>
      </c>
      <c r="K38" s="214">
        <v>68.5</v>
      </c>
      <c r="L38" s="235">
        <v>0.7</v>
      </c>
      <c r="M38" s="181">
        <f t="shared" si="0"/>
        <v>1021.3349999999999</v>
      </c>
      <c r="N38" s="182">
        <f t="shared" si="1"/>
        <v>1021.3349999999999</v>
      </c>
      <c r="O38" s="135"/>
    </row>
    <row r="39" spans="1:15" s="137" customFormat="1" ht="18.75" customHeight="1" x14ac:dyDescent="0.3">
      <c r="A39" s="132"/>
      <c r="B39" s="133"/>
      <c r="C39" s="377">
        <v>46087</v>
      </c>
      <c r="D39" s="490" t="s">
        <v>244</v>
      </c>
      <c r="E39" s="209" t="s">
        <v>163</v>
      </c>
      <c r="F39" s="491" t="s">
        <v>77</v>
      </c>
      <c r="G39" s="492" t="s">
        <v>78</v>
      </c>
      <c r="H39" s="177" t="s">
        <v>94</v>
      </c>
      <c r="I39" s="212" t="s">
        <v>214</v>
      </c>
      <c r="J39" s="493">
        <v>21.45</v>
      </c>
      <c r="K39" s="214">
        <v>40.5</v>
      </c>
      <c r="L39" s="235">
        <v>0.7</v>
      </c>
      <c r="M39" s="181">
        <f t="shared" si="0"/>
        <v>608.10749999999996</v>
      </c>
      <c r="N39" s="182">
        <f t="shared" si="1"/>
        <v>608.10749999999996</v>
      </c>
      <c r="O39" s="135"/>
    </row>
    <row r="40" spans="1:15" s="137" customFormat="1" ht="18.75" customHeight="1" x14ac:dyDescent="0.3">
      <c r="A40" s="132"/>
      <c r="B40" s="133"/>
      <c r="C40" s="494">
        <v>46087</v>
      </c>
      <c r="D40" s="495" t="s">
        <v>245</v>
      </c>
      <c r="E40" s="209" t="s">
        <v>163</v>
      </c>
      <c r="F40" s="496" t="s">
        <v>99</v>
      </c>
      <c r="G40" s="492" t="s">
        <v>78</v>
      </c>
      <c r="H40" s="177" t="s">
        <v>94</v>
      </c>
      <c r="I40" s="212" t="s">
        <v>214</v>
      </c>
      <c r="J40" s="497">
        <v>23.55</v>
      </c>
      <c r="K40" s="214">
        <v>68.5</v>
      </c>
      <c r="L40" s="235">
        <v>0.7</v>
      </c>
      <c r="M40" s="181">
        <f t="shared" si="0"/>
        <v>1129.2224999999999</v>
      </c>
      <c r="N40" s="182">
        <f t="shared" si="1"/>
        <v>1129.2224999999999</v>
      </c>
      <c r="O40" s="135"/>
    </row>
    <row r="41" spans="1:15" s="137" customFormat="1" ht="18.75" customHeight="1" x14ac:dyDescent="0.3">
      <c r="A41" s="132"/>
      <c r="B41" s="133"/>
      <c r="C41" s="494">
        <v>46087</v>
      </c>
      <c r="D41" s="495" t="s">
        <v>246</v>
      </c>
      <c r="E41" s="209" t="s">
        <v>163</v>
      </c>
      <c r="F41" s="496" t="s">
        <v>99</v>
      </c>
      <c r="G41" s="492" t="s">
        <v>78</v>
      </c>
      <c r="H41" s="177" t="s">
        <v>94</v>
      </c>
      <c r="I41" s="212" t="s">
        <v>214</v>
      </c>
      <c r="J41" s="497">
        <v>23.75</v>
      </c>
      <c r="K41" s="214">
        <v>40.5</v>
      </c>
      <c r="L41" s="235">
        <v>0.7</v>
      </c>
      <c r="M41" s="181">
        <f t="shared" si="0"/>
        <v>673.3125</v>
      </c>
      <c r="N41" s="182">
        <f t="shared" si="1"/>
        <v>673.3125</v>
      </c>
      <c r="O41" s="135"/>
    </row>
    <row r="42" spans="1:15" s="137" customFormat="1" ht="18.75" customHeight="1" x14ac:dyDescent="0.3">
      <c r="A42" s="132"/>
      <c r="B42" s="133"/>
      <c r="C42" s="494">
        <v>46088</v>
      </c>
      <c r="D42" s="495" t="s">
        <v>247</v>
      </c>
      <c r="E42" s="209" t="s">
        <v>163</v>
      </c>
      <c r="F42" s="496" t="s">
        <v>248</v>
      </c>
      <c r="G42" s="492" t="s">
        <v>78</v>
      </c>
      <c r="H42" s="177" t="s">
        <v>94</v>
      </c>
      <c r="I42" s="212" t="s">
        <v>214</v>
      </c>
      <c r="J42" s="497">
        <v>21.1</v>
      </c>
      <c r="K42" s="214">
        <v>41</v>
      </c>
      <c r="L42" s="235">
        <v>0.7</v>
      </c>
      <c r="M42" s="181">
        <f t="shared" si="0"/>
        <v>605.56999999999994</v>
      </c>
      <c r="N42" s="182">
        <f t="shared" si="1"/>
        <v>605.56999999999994</v>
      </c>
      <c r="O42" s="135"/>
    </row>
    <row r="43" spans="1:15" s="137" customFormat="1" ht="18.75" customHeight="1" x14ac:dyDescent="0.3">
      <c r="A43" s="132"/>
      <c r="B43" s="133"/>
      <c r="C43" s="494">
        <v>46088</v>
      </c>
      <c r="D43" s="495" t="s">
        <v>249</v>
      </c>
      <c r="E43" s="209" t="s">
        <v>163</v>
      </c>
      <c r="F43" s="496" t="s">
        <v>250</v>
      </c>
      <c r="G43" s="492" t="s">
        <v>78</v>
      </c>
      <c r="H43" s="177" t="s">
        <v>94</v>
      </c>
      <c r="I43" s="212" t="s">
        <v>214</v>
      </c>
      <c r="J43" s="497">
        <v>21.95</v>
      </c>
      <c r="K43" s="214">
        <v>41</v>
      </c>
      <c r="L43" s="235">
        <v>0.7</v>
      </c>
      <c r="M43" s="181">
        <f t="shared" si="0"/>
        <v>629.96499999999992</v>
      </c>
      <c r="N43" s="182">
        <f t="shared" si="1"/>
        <v>629.96499999999992</v>
      </c>
      <c r="O43" s="135"/>
    </row>
    <row r="44" spans="1:15" s="137" customFormat="1" ht="18.75" customHeight="1" x14ac:dyDescent="0.3">
      <c r="A44" s="132"/>
      <c r="B44" s="133"/>
      <c r="C44" s="494">
        <v>46088</v>
      </c>
      <c r="D44" s="495" t="s">
        <v>251</v>
      </c>
      <c r="E44" s="209" t="s">
        <v>163</v>
      </c>
      <c r="F44" s="496" t="s">
        <v>77</v>
      </c>
      <c r="G44" s="492" t="s">
        <v>78</v>
      </c>
      <c r="H44" s="177" t="s">
        <v>94</v>
      </c>
      <c r="I44" s="212" t="s">
        <v>214</v>
      </c>
      <c r="J44" s="497">
        <v>22.7</v>
      </c>
      <c r="K44" s="214">
        <v>41</v>
      </c>
      <c r="L44" s="235">
        <v>0.7</v>
      </c>
      <c r="M44" s="181">
        <f t="shared" si="0"/>
        <v>651.4899999999999</v>
      </c>
      <c r="N44" s="182">
        <f t="shared" si="1"/>
        <v>651.4899999999999</v>
      </c>
      <c r="O44" s="135"/>
    </row>
    <row r="45" spans="1:15" s="137" customFormat="1" ht="18.75" customHeight="1" x14ac:dyDescent="0.3">
      <c r="A45" s="132"/>
      <c r="B45" s="133"/>
      <c r="C45" s="494">
        <v>46088</v>
      </c>
      <c r="D45" s="495" t="s">
        <v>252</v>
      </c>
      <c r="E45" s="209" t="s">
        <v>163</v>
      </c>
      <c r="F45" s="496" t="s">
        <v>122</v>
      </c>
      <c r="G45" s="492" t="s">
        <v>78</v>
      </c>
      <c r="H45" s="177" t="s">
        <v>94</v>
      </c>
      <c r="I45" s="212" t="s">
        <v>214</v>
      </c>
      <c r="J45" s="497">
        <v>23.62</v>
      </c>
      <c r="K45" s="214">
        <v>41</v>
      </c>
      <c r="L45" s="235">
        <v>0.7</v>
      </c>
      <c r="M45" s="181">
        <f t="shared" si="0"/>
        <v>677.89400000000001</v>
      </c>
      <c r="N45" s="182">
        <f t="shared" si="1"/>
        <v>677.89400000000001</v>
      </c>
      <c r="O45" s="135"/>
    </row>
    <row r="46" spans="1:15" s="137" customFormat="1" ht="18.75" customHeight="1" x14ac:dyDescent="0.3">
      <c r="A46" s="132"/>
      <c r="B46" s="133"/>
      <c r="C46" s="494">
        <v>46088</v>
      </c>
      <c r="D46" s="495" t="s">
        <v>253</v>
      </c>
      <c r="E46" s="209" t="s">
        <v>163</v>
      </c>
      <c r="F46" s="496" t="s">
        <v>254</v>
      </c>
      <c r="G46" s="492" t="s">
        <v>78</v>
      </c>
      <c r="H46" s="177" t="s">
        <v>94</v>
      </c>
      <c r="I46" s="212" t="s">
        <v>214</v>
      </c>
      <c r="J46" s="497">
        <v>26.4</v>
      </c>
      <c r="K46" s="214">
        <v>41</v>
      </c>
      <c r="L46" s="235">
        <v>0.7</v>
      </c>
      <c r="M46" s="181">
        <f t="shared" si="0"/>
        <v>757.67999999999984</v>
      </c>
      <c r="N46" s="182">
        <f t="shared" si="1"/>
        <v>757.67999999999984</v>
      </c>
      <c r="O46" s="135"/>
    </row>
    <row r="47" spans="1:15" s="137" customFormat="1" ht="18.75" customHeight="1" x14ac:dyDescent="0.3">
      <c r="A47" s="132"/>
      <c r="B47" s="133"/>
      <c r="C47" s="494">
        <v>46088</v>
      </c>
      <c r="D47" s="495" t="s">
        <v>255</v>
      </c>
      <c r="E47" s="209" t="s">
        <v>163</v>
      </c>
      <c r="F47" s="496" t="s">
        <v>131</v>
      </c>
      <c r="G47" s="492" t="s">
        <v>78</v>
      </c>
      <c r="H47" s="177" t="s">
        <v>94</v>
      </c>
      <c r="I47" s="212" t="s">
        <v>214</v>
      </c>
      <c r="J47" s="497">
        <v>29.35</v>
      </c>
      <c r="K47" s="214">
        <v>41</v>
      </c>
      <c r="L47" s="235">
        <v>0.7</v>
      </c>
      <c r="M47" s="181">
        <f t="shared" si="0"/>
        <v>842.34500000000003</v>
      </c>
      <c r="N47" s="182">
        <f t="shared" si="1"/>
        <v>842.34500000000003</v>
      </c>
      <c r="O47" s="135"/>
    </row>
    <row r="48" spans="1:15" s="137" customFormat="1" ht="18.75" customHeight="1" x14ac:dyDescent="0.3">
      <c r="A48" s="132"/>
      <c r="B48" s="133"/>
      <c r="C48" s="494">
        <v>46092</v>
      </c>
      <c r="D48" s="495" t="s">
        <v>256</v>
      </c>
      <c r="E48" s="209" t="s">
        <v>163</v>
      </c>
      <c r="F48" s="496" t="s">
        <v>124</v>
      </c>
      <c r="G48" s="492" t="s">
        <v>78</v>
      </c>
      <c r="H48" s="177" t="s">
        <v>94</v>
      </c>
      <c r="I48" s="212" t="s">
        <v>214</v>
      </c>
      <c r="J48" s="497">
        <v>20.59</v>
      </c>
      <c r="K48" s="214">
        <v>41</v>
      </c>
      <c r="L48" s="235">
        <v>0.7</v>
      </c>
      <c r="M48" s="181">
        <f t="shared" si="0"/>
        <v>590.93299999999988</v>
      </c>
      <c r="N48" s="182">
        <f t="shared" si="1"/>
        <v>590.93299999999988</v>
      </c>
      <c r="O48" s="135"/>
    </row>
    <row r="49" spans="1:15" s="137" customFormat="1" ht="18.75" customHeight="1" x14ac:dyDescent="0.3">
      <c r="A49" s="132"/>
      <c r="B49" s="133"/>
      <c r="C49" s="494">
        <v>46092</v>
      </c>
      <c r="D49" s="495" t="s">
        <v>257</v>
      </c>
      <c r="E49" s="209" t="s">
        <v>163</v>
      </c>
      <c r="F49" s="496" t="s">
        <v>77</v>
      </c>
      <c r="G49" s="492" t="s">
        <v>78</v>
      </c>
      <c r="H49" s="177" t="s">
        <v>94</v>
      </c>
      <c r="I49" s="212" t="s">
        <v>214</v>
      </c>
      <c r="J49" s="497">
        <v>22.2</v>
      </c>
      <c r="K49" s="214">
        <v>41.5</v>
      </c>
      <c r="L49" s="235">
        <v>0.7</v>
      </c>
      <c r="M49" s="181">
        <f t="shared" si="0"/>
        <v>644.91</v>
      </c>
      <c r="N49" s="182">
        <f t="shared" si="1"/>
        <v>644.91</v>
      </c>
      <c r="O49" s="135"/>
    </row>
    <row r="50" spans="1:15" s="137" customFormat="1" ht="18.75" customHeight="1" x14ac:dyDescent="0.3">
      <c r="A50" s="132"/>
      <c r="B50" s="133"/>
      <c r="C50" s="494">
        <v>46092</v>
      </c>
      <c r="D50" s="495" t="s">
        <v>258</v>
      </c>
      <c r="E50" s="209" t="s">
        <v>163</v>
      </c>
      <c r="F50" s="496" t="s">
        <v>259</v>
      </c>
      <c r="G50" s="492" t="s">
        <v>78</v>
      </c>
      <c r="H50" s="177" t="s">
        <v>94</v>
      </c>
      <c r="I50" s="212" t="s">
        <v>214</v>
      </c>
      <c r="J50" s="497">
        <v>24.46</v>
      </c>
      <c r="K50" s="214">
        <v>41.5</v>
      </c>
      <c r="L50" s="235">
        <v>0.7</v>
      </c>
      <c r="M50" s="181">
        <f t="shared" si="0"/>
        <v>710.56299999999999</v>
      </c>
      <c r="N50" s="182">
        <f t="shared" si="1"/>
        <v>710.56299999999999</v>
      </c>
      <c r="O50" s="135"/>
    </row>
    <row r="51" spans="1:15" s="137" customFormat="1" ht="18.75" customHeight="1" x14ac:dyDescent="0.3">
      <c r="A51" s="132"/>
      <c r="B51" s="133"/>
      <c r="C51" s="494">
        <v>46092</v>
      </c>
      <c r="D51" s="495" t="s">
        <v>260</v>
      </c>
      <c r="E51" s="209" t="s">
        <v>163</v>
      </c>
      <c r="F51" s="496" t="s">
        <v>131</v>
      </c>
      <c r="G51" s="492" t="s">
        <v>78</v>
      </c>
      <c r="H51" s="177" t="s">
        <v>94</v>
      </c>
      <c r="I51" s="212" t="s">
        <v>214</v>
      </c>
      <c r="J51" s="497">
        <v>25.89</v>
      </c>
      <c r="K51" s="214">
        <v>41.5</v>
      </c>
      <c r="L51" s="235">
        <v>0.7</v>
      </c>
      <c r="M51" s="181">
        <f t="shared" si="0"/>
        <v>752.10449999999992</v>
      </c>
      <c r="N51" s="182">
        <f t="shared" si="1"/>
        <v>752.10449999999992</v>
      </c>
      <c r="O51" s="135"/>
    </row>
    <row r="52" spans="1:15" s="137" customFormat="1" ht="18.75" customHeight="1" x14ac:dyDescent="0.3">
      <c r="A52" s="132"/>
      <c r="B52" s="133"/>
      <c r="C52" s="494">
        <v>46092</v>
      </c>
      <c r="D52" s="495" t="s">
        <v>261</v>
      </c>
      <c r="E52" s="209" t="s">
        <v>163</v>
      </c>
      <c r="F52" s="496" t="s">
        <v>262</v>
      </c>
      <c r="G52" s="492" t="s">
        <v>78</v>
      </c>
      <c r="H52" s="177" t="s">
        <v>94</v>
      </c>
      <c r="I52" s="212" t="s">
        <v>214</v>
      </c>
      <c r="J52" s="497">
        <v>30.82</v>
      </c>
      <c r="K52" s="214">
        <v>41.5</v>
      </c>
      <c r="L52" s="235">
        <v>0.7</v>
      </c>
      <c r="M52" s="181">
        <f t="shared" si="0"/>
        <v>895.32099999999991</v>
      </c>
      <c r="N52" s="182">
        <f t="shared" si="1"/>
        <v>895.32099999999991</v>
      </c>
      <c r="O52" s="135"/>
    </row>
    <row r="53" spans="1:15" s="137" customFormat="1" ht="18.75" customHeight="1" x14ac:dyDescent="0.3">
      <c r="A53" s="132"/>
      <c r="B53" s="133"/>
      <c r="C53" s="494">
        <v>46092</v>
      </c>
      <c r="D53" s="495" t="s">
        <v>263</v>
      </c>
      <c r="E53" s="209" t="s">
        <v>163</v>
      </c>
      <c r="F53" s="496" t="s">
        <v>264</v>
      </c>
      <c r="G53" s="492" t="s">
        <v>78</v>
      </c>
      <c r="H53" s="177" t="s">
        <v>94</v>
      </c>
      <c r="I53" s="212" t="s">
        <v>214</v>
      </c>
      <c r="J53" s="497">
        <v>37.799999999999997</v>
      </c>
      <c r="K53" s="214">
        <v>41.5</v>
      </c>
      <c r="L53" s="235">
        <v>0.7</v>
      </c>
      <c r="M53" s="181">
        <f t="shared" si="0"/>
        <v>1098.0899999999997</v>
      </c>
      <c r="N53" s="182">
        <f t="shared" si="1"/>
        <v>1098.0899999999997</v>
      </c>
      <c r="O53" s="135"/>
    </row>
    <row r="54" spans="1:15" s="137" customFormat="1" ht="18.75" customHeight="1" x14ac:dyDescent="0.3">
      <c r="A54" s="132"/>
      <c r="B54" s="133"/>
      <c r="C54" s="494">
        <v>46094</v>
      </c>
      <c r="D54" s="495" t="s">
        <v>265</v>
      </c>
      <c r="E54" s="209" t="s">
        <v>163</v>
      </c>
      <c r="F54" s="496" t="s">
        <v>250</v>
      </c>
      <c r="G54" s="492" t="s">
        <v>78</v>
      </c>
      <c r="H54" s="177" t="s">
        <v>94</v>
      </c>
      <c r="I54" s="212" t="s">
        <v>214</v>
      </c>
      <c r="J54" s="497">
        <v>21.25</v>
      </c>
      <c r="K54" s="214">
        <v>68.2</v>
      </c>
      <c r="L54" s="235">
        <v>0.7</v>
      </c>
      <c r="M54" s="181">
        <f t="shared" si="0"/>
        <v>1014.4749999999999</v>
      </c>
      <c r="N54" s="182">
        <f t="shared" si="1"/>
        <v>1014.4749999999999</v>
      </c>
      <c r="O54" s="135"/>
    </row>
    <row r="55" spans="1:15" s="137" customFormat="1" ht="18.75" customHeight="1" x14ac:dyDescent="0.3">
      <c r="A55" s="132"/>
      <c r="B55" s="133"/>
      <c r="C55" s="494">
        <v>46094</v>
      </c>
      <c r="D55" s="495" t="s">
        <v>266</v>
      </c>
      <c r="E55" s="209" t="s">
        <v>163</v>
      </c>
      <c r="F55" s="496" t="s">
        <v>248</v>
      </c>
      <c r="G55" s="492" t="s">
        <v>78</v>
      </c>
      <c r="H55" s="177" t="s">
        <v>94</v>
      </c>
      <c r="I55" s="212" t="s">
        <v>214</v>
      </c>
      <c r="J55" s="497">
        <v>21.55</v>
      </c>
      <c r="K55" s="214">
        <v>41.7</v>
      </c>
      <c r="L55" s="235">
        <v>0.7</v>
      </c>
      <c r="M55" s="181">
        <f t="shared" si="0"/>
        <v>629.04450000000008</v>
      </c>
      <c r="N55" s="182">
        <f t="shared" si="1"/>
        <v>629.04450000000008</v>
      </c>
      <c r="O55" s="135"/>
    </row>
    <row r="56" spans="1:15" s="137" customFormat="1" ht="18.75" customHeight="1" x14ac:dyDescent="0.3">
      <c r="A56" s="132"/>
      <c r="B56" s="133"/>
      <c r="C56" s="494">
        <v>46094</v>
      </c>
      <c r="D56" s="495" t="s">
        <v>267</v>
      </c>
      <c r="E56" s="209" t="s">
        <v>163</v>
      </c>
      <c r="F56" s="496" t="s">
        <v>77</v>
      </c>
      <c r="G56" s="492" t="s">
        <v>78</v>
      </c>
      <c r="H56" s="177" t="s">
        <v>94</v>
      </c>
      <c r="I56" s="212" t="s">
        <v>214</v>
      </c>
      <c r="J56" s="497">
        <v>22.03</v>
      </c>
      <c r="K56" s="214">
        <v>41.7</v>
      </c>
      <c r="L56" s="235">
        <v>0.7</v>
      </c>
      <c r="M56" s="181">
        <f t="shared" si="0"/>
        <v>643.0557</v>
      </c>
      <c r="N56" s="182">
        <f t="shared" si="1"/>
        <v>643.0557</v>
      </c>
      <c r="O56" s="135"/>
    </row>
    <row r="57" spans="1:15" s="137" customFormat="1" ht="18.75" customHeight="1" x14ac:dyDescent="0.3">
      <c r="A57" s="132"/>
      <c r="B57" s="133"/>
      <c r="C57" s="494">
        <v>46094</v>
      </c>
      <c r="D57" s="495" t="s">
        <v>268</v>
      </c>
      <c r="E57" s="209" t="s">
        <v>163</v>
      </c>
      <c r="F57" s="496" t="s">
        <v>131</v>
      </c>
      <c r="G57" s="492" t="s">
        <v>78</v>
      </c>
      <c r="H57" s="177" t="s">
        <v>94</v>
      </c>
      <c r="I57" s="212" t="s">
        <v>214</v>
      </c>
      <c r="J57" s="497">
        <v>26.74</v>
      </c>
      <c r="K57" s="214">
        <v>41.7</v>
      </c>
      <c r="L57" s="235">
        <v>0.7</v>
      </c>
      <c r="M57" s="181">
        <f t="shared" si="0"/>
        <v>780.54059999999993</v>
      </c>
      <c r="N57" s="182">
        <f t="shared" si="1"/>
        <v>780.54059999999993</v>
      </c>
      <c r="O57" s="135"/>
    </row>
    <row r="58" spans="1:15" s="137" customFormat="1" ht="18.75" customHeight="1" x14ac:dyDescent="0.3">
      <c r="A58" s="132"/>
      <c r="B58" s="133"/>
      <c r="C58" s="494">
        <v>46094</v>
      </c>
      <c r="D58" s="495" t="s">
        <v>269</v>
      </c>
      <c r="E58" s="209" t="s">
        <v>163</v>
      </c>
      <c r="F58" s="496" t="s">
        <v>254</v>
      </c>
      <c r="G58" s="492" t="s">
        <v>78</v>
      </c>
      <c r="H58" s="177" t="s">
        <v>94</v>
      </c>
      <c r="I58" s="212" t="s">
        <v>214</v>
      </c>
      <c r="J58" s="497">
        <v>27.62</v>
      </c>
      <c r="K58" s="214">
        <v>68.2</v>
      </c>
      <c r="L58" s="235">
        <v>0.7</v>
      </c>
      <c r="M58" s="181">
        <f t="shared" si="0"/>
        <v>1318.5788</v>
      </c>
      <c r="N58" s="182">
        <f t="shared" si="1"/>
        <v>1318.5788</v>
      </c>
      <c r="O58" s="135"/>
    </row>
    <row r="59" spans="1:15" s="137" customFormat="1" ht="18.75" customHeight="1" x14ac:dyDescent="0.3">
      <c r="A59" s="132"/>
      <c r="B59" s="133"/>
      <c r="C59" s="494">
        <v>46094</v>
      </c>
      <c r="D59" s="495" t="s">
        <v>270</v>
      </c>
      <c r="E59" s="209" t="s">
        <v>163</v>
      </c>
      <c r="F59" s="496" t="s">
        <v>248</v>
      </c>
      <c r="G59" s="492" t="s">
        <v>78</v>
      </c>
      <c r="H59" s="177" t="s">
        <v>94</v>
      </c>
      <c r="I59" s="212" t="s">
        <v>214</v>
      </c>
      <c r="J59" s="497">
        <v>21.9</v>
      </c>
      <c r="K59" s="214">
        <v>68.2</v>
      </c>
      <c r="L59" s="235">
        <v>0.7</v>
      </c>
      <c r="M59" s="181">
        <f t="shared" si="0"/>
        <v>1045.5059999999999</v>
      </c>
      <c r="N59" s="182">
        <f t="shared" si="1"/>
        <v>1045.5059999999999</v>
      </c>
      <c r="O59" s="135"/>
    </row>
    <row r="60" spans="1:15" s="137" customFormat="1" ht="18.75" customHeight="1" x14ac:dyDescent="0.3">
      <c r="A60" s="132"/>
      <c r="B60" s="133"/>
      <c r="C60" s="494">
        <v>46094</v>
      </c>
      <c r="D60" s="495" t="s">
        <v>271</v>
      </c>
      <c r="E60" s="209" t="s">
        <v>163</v>
      </c>
      <c r="F60" s="496" t="s">
        <v>77</v>
      </c>
      <c r="G60" s="492" t="s">
        <v>78</v>
      </c>
      <c r="H60" s="177" t="s">
        <v>94</v>
      </c>
      <c r="I60" s="212" t="s">
        <v>214</v>
      </c>
      <c r="J60" s="497">
        <v>22.2</v>
      </c>
      <c r="K60" s="214">
        <v>41.7</v>
      </c>
      <c r="L60" s="235">
        <v>0.7</v>
      </c>
      <c r="M60" s="181">
        <f t="shared" si="0"/>
        <v>648.01799999999992</v>
      </c>
      <c r="N60" s="182">
        <f t="shared" si="1"/>
        <v>648.01799999999992</v>
      </c>
      <c r="O60" s="135"/>
    </row>
    <row r="61" spans="1:15" s="137" customFormat="1" ht="18.75" customHeight="1" x14ac:dyDescent="0.3">
      <c r="A61" s="132"/>
      <c r="B61" s="133"/>
      <c r="C61" s="494">
        <v>46094</v>
      </c>
      <c r="D61" s="495" t="s">
        <v>272</v>
      </c>
      <c r="E61" s="209" t="s">
        <v>163</v>
      </c>
      <c r="F61" s="496" t="s">
        <v>77</v>
      </c>
      <c r="G61" s="492" t="s">
        <v>78</v>
      </c>
      <c r="H61" s="177" t="s">
        <v>94</v>
      </c>
      <c r="I61" s="212" t="s">
        <v>214</v>
      </c>
      <c r="J61" s="497">
        <v>23.3</v>
      </c>
      <c r="K61" s="214">
        <v>41.7</v>
      </c>
      <c r="L61" s="235">
        <v>0.7</v>
      </c>
      <c r="M61" s="181">
        <f t="shared" si="0"/>
        <v>680.12700000000007</v>
      </c>
      <c r="N61" s="182">
        <f t="shared" si="1"/>
        <v>680.12700000000007</v>
      </c>
      <c r="O61" s="135"/>
    </row>
    <row r="62" spans="1:15" s="137" customFormat="1" ht="18.75" customHeight="1" x14ac:dyDescent="0.3">
      <c r="A62" s="132"/>
      <c r="B62" s="133"/>
      <c r="C62" s="494">
        <v>46094</v>
      </c>
      <c r="D62" s="495" t="s">
        <v>273</v>
      </c>
      <c r="E62" s="209" t="s">
        <v>163</v>
      </c>
      <c r="F62" s="496" t="s">
        <v>131</v>
      </c>
      <c r="G62" s="492" t="s">
        <v>78</v>
      </c>
      <c r="H62" s="177" t="s">
        <v>94</v>
      </c>
      <c r="I62" s="212" t="s">
        <v>214</v>
      </c>
      <c r="J62" s="497">
        <v>27.1</v>
      </c>
      <c r="K62" s="214">
        <v>68.2</v>
      </c>
      <c r="L62" s="235">
        <v>0.7</v>
      </c>
      <c r="M62" s="181">
        <f t="shared" si="0"/>
        <v>1293.7540000000001</v>
      </c>
      <c r="N62" s="182">
        <f t="shared" si="1"/>
        <v>1293.7540000000001</v>
      </c>
      <c r="O62" s="135"/>
    </row>
    <row r="63" spans="1:15" s="137" customFormat="1" ht="18.75" customHeight="1" x14ac:dyDescent="0.3">
      <c r="A63" s="132"/>
      <c r="B63" s="133"/>
      <c r="C63" s="494">
        <v>46095</v>
      </c>
      <c r="D63" s="495" t="s">
        <v>274</v>
      </c>
      <c r="E63" s="209" t="s">
        <v>163</v>
      </c>
      <c r="F63" s="496" t="s">
        <v>248</v>
      </c>
      <c r="G63" s="492" t="s">
        <v>78</v>
      </c>
      <c r="H63" s="177" t="s">
        <v>94</v>
      </c>
      <c r="I63" s="212" t="s">
        <v>214</v>
      </c>
      <c r="J63" s="497">
        <v>21.55</v>
      </c>
      <c r="K63" s="214">
        <v>41.8</v>
      </c>
      <c r="L63" s="235">
        <v>0.7</v>
      </c>
      <c r="M63" s="181">
        <f t="shared" si="0"/>
        <v>630.55299999999988</v>
      </c>
      <c r="N63" s="182">
        <f t="shared" si="1"/>
        <v>630.55299999999988</v>
      </c>
      <c r="O63" s="135"/>
    </row>
    <row r="64" spans="1:15" s="137" customFormat="1" ht="18.75" customHeight="1" x14ac:dyDescent="0.3">
      <c r="A64" s="132"/>
      <c r="B64" s="133"/>
      <c r="C64" s="494">
        <v>46095</v>
      </c>
      <c r="D64" s="495" t="s">
        <v>275</v>
      </c>
      <c r="E64" s="209" t="s">
        <v>163</v>
      </c>
      <c r="F64" s="496" t="s">
        <v>254</v>
      </c>
      <c r="G64" s="492" t="s">
        <v>78</v>
      </c>
      <c r="H64" s="177" t="s">
        <v>94</v>
      </c>
      <c r="I64" s="212" t="s">
        <v>214</v>
      </c>
      <c r="J64" s="497">
        <v>24.24</v>
      </c>
      <c r="K64" s="214">
        <v>68.2</v>
      </c>
      <c r="L64" s="235">
        <v>0.7</v>
      </c>
      <c r="M64" s="181">
        <f t="shared" si="0"/>
        <v>1157.2175999999999</v>
      </c>
      <c r="N64" s="182">
        <f t="shared" si="1"/>
        <v>1157.2175999999999</v>
      </c>
      <c r="O64" s="135"/>
    </row>
    <row r="65" spans="1:15" s="137" customFormat="1" ht="18.75" customHeight="1" x14ac:dyDescent="0.3">
      <c r="A65" s="132"/>
      <c r="B65" s="133"/>
      <c r="C65" s="494">
        <v>46095</v>
      </c>
      <c r="D65" s="495" t="s">
        <v>276</v>
      </c>
      <c r="E65" s="209" t="s">
        <v>163</v>
      </c>
      <c r="F65" s="496" t="s">
        <v>250</v>
      </c>
      <c r="G65" s="492" t="s">
        <v>78</v>
      </c>
      <c r="H65" s="177" t="s">
        <v>94</v>
      </c>
      <c r="I65" s="212" t="s">
        <v>214</v>
      </c>
      <c r="J65" s="497">
        <v>20.3</v>
      </c>
      <c r="K65" s="214">
        <v>41.8</v>
      </c>
      <c r="L65" s="235">
        <v>0.7</v>
      </c>
      <c r="M65" s="181">
        <f t="shared" si="0"/>
        <v>593.97799999999995</v>
      </c>
      <c r="N65" s="182">
        <f t="shared" si="1"/>
        <v>593.97799999999995</v>
      </c>
      <c r="O65" s="135"/>
    </row>
    <row r="66" spans="1:15" s="137" customFormat="1" ht="18.75" customHeight="1" x14ac:dyDescent="0.3">
      <c r="A66" s="132"/>
      <c r="B66" s="133"/>
      <c r="C66" s="494">
        <v>46095</v>
      </c>
      <c r="D66" s="495" t="s">
        <v>277</v>
      </c>
      <c r="E66" s="209" t="s">
        <v>163</v>
      </c>
      <c r="F66" s="496" t="s">
        <v>131</v>
      </c>
      <c r="G66" s="492" t="s">
        <v>78</v>
      </c>
      <c r="H66" s="177" t="s">
        <v>94</v>
      </c>
      <c r="I66" s="212" t="s">
        <v>214</v>
      </c>
      <c r="J66" s="497">
        <v>26.33</v>
      </c>
      <c r="K66" s="214">
        <v>68.2</v>
      </c>
      <c r="L66" s="235">
        <v>0.7</v>
      </c>
      <c r="M66" s="181">
        <f t="shared" si="0"/>
        <v>1256.9941999999999</v>
      </c>
      <c r="N66" s="182">
        <f t="shared" si="1"/>
        <v>1256.9941999999999</v>
      </c>
      <c r="O66" s="135"/>
    </row>
    <row r="67" spans="1:15" s="137" customFormat="1" ht="18.75" customHeight="1" x14ac:dyDescent="0.3">
      <c r="A67" s="132"/>
      <c r="B67" s="133"/>
      <c r="C67" s="494">
        <v>46097</v>
      </c>
      <c r="D67" s="495" t="s">
        <v>278</v>
      </c>
      <c r="E67" s="209" t="s">
        <v>163</v>
      </c>
      <c r="F67" s="496" t="s">
        <v>279</v>
      </c>
      <c r="G67" s="492" t="s">
        <v>78</v>
      </c>
      <c r="H67" s="177" t="s">
        <v>94</v>
      </c>
      <c r="I67" s="212" t="s">
        <v>214</v>
      </c>
      <c r="J67" s="497">
        <v>21</v>
      </c>
      <c r="K67" s="214">
        <v>42.3</v>
      </c>
      <c r="L67" s="235">
        <v>0.7</v>
      </c>
      <c r="M67" s="181">
        <f t="shared" si="0"/>
        <v>621.80999999999995</v>
      </c>
      <c r="N67" s="182">
        <f t="shared" si="1"/>
        <v>621.80999999999995</v>
      </c>
      <c r="O67" s="135"/>
    </row>
    <row r="68" spans="1:15" s="137" customFormat="1" ht="18.75" customHeight="1" x14ac:dyDescent="0.3">
      <c r="A68" s="132"/>
      <c r="B68" s="133"/>
      <c r="C68" s="494">
        <v>46097</v>
      </c>
      <c r="D68" s="495" t="s">
        <v>280</v>
      </c>
      <c r="E68" s="209" t="s">
        <v>163</v>
      </c>
      <c r="F68" s="496" t="s">
        <v>117</v>
      </c>
      <c r="G68" s="492" t="s">
        <v>78</v>
      </c>
      <c r="H68" s="177" t="s">
        <v>94</v>
      </c>
      <c r="I68" s="212" t="s">
        <v>214</v>
      </c>
      <c r="J68" s="497">
        <v>21.75</v>
      </c>
      <c r="K68" s="214">
        <v>68.2</v>
      </c>
      <c r="L68" s="235">
        <v>0.7</v>
      </c>
      <c r="M68" s="181">
        <f t="shared" si="0"/>
        <v>1038.345</v>
      </c>
      <c r="N68" s="182">
        <f t="shared" si="1"/>
        <v>1038.345</v>
      </c>
      <c r="O68" s="135"/>
    </row>
    <row r="69" spans="1:15" s="137" customFormat="1" ht="18.75" customHeight="1" x14ac:dyDescent="0.3">
      <c r="A69" s="132"/>
      <c r="B69" s="133"/>
      <c r="C69" s="494">
        <v>46097</v>
      </c>
      <c r="D69" s="495" t="s">
        <v>281</v>
      </c>
      <c r="E69" s="209" t="s">
        <v>163</v>
      </c>
      <c r="F69" s="496" t="s">
        <v>279</v>
      </c>
      <c r="G69" s="492" t="s">
        <v>78</v>
      </c>
      <c r="H69" s="177" t="s">
        <v>94</v>
      </c>
      <c r="I69" s="212" t="s">
        <v>214</v>
      </c>
      <c r="J69" s="497">
        <v>22.8</v>
      </c>
      <c r="K69" s="214">
        <v>42.3</v>
      </c>
      <c r="L69" s="235">
        <v>0.7</v>
      </c>
      <c r="M69" s="181">
        <f t="shared" si="0"/>
        <v>675.10799999999995</v>
      </c>
      <c r="N69" s="182">
        <f t="shared" si="1"/>
        <v>675.10799999999995</v>
      </c>
      <c r="O69" s="135"/>
    </row>
    <row r="70" spans="1:15" s="137" customFormat="1" ht="18.75" customHeight="1" x14ac:dyDescent="0.3">
      <c r="A70" s="132"/>
      <c r="B70" s="133"/>
      <c r="C70" s="494">
        <v>46097</v>
      </c>
      <c r="D70" s="495" t="s">
        <v>282</v>
      </c>
      <c r="E70" s="209" t="s">
        <v>163</v>
      </c>
      <c r="F70" s="496" t="s">
        <v>127</v>
      </c>
      <c r="G70" s="492" t="s">
        <v>78</v>
      </c>
      <c r="H70" s="177" t="s">
        <v>94</v>
      </c>
      <c r="I70" s="212" t="s">
        <v>214</v>
      </c>
      <c r="J70" s="497">
        <v>22.9</v>
      </c>
      <c r="K70" s="214">
        <v>42.3</v>
      </c>
      <c r="L70" s="235">
        <v>0.7</v>
      </c>
      <c r="M70" s="181">
        <f t="shared" ref="M70:M126" si="2">J70*K70*L70</f>
        <v>678.06899999999985</v>
      </c>
      <c r="N70" s="182">
        <f t="shared" si="1"/>
        <v>678.06899999999985</v>
      </c>
      <c r="O70" s="135"/>
    </row>
    <row r="71" spans="1:15" s="137" customFormat="1" ht="18.75" customHeight="1" x14ac:dyDescent="0.3">
      <c r="A71" s="132"/>
      <c r="B71" s="133"/>
      <c r="C71" s="494">
        <v>46097</v>
      </c>
      <c r="D71" s="495" t="s">
        <v>283</v>
      </c>
      <c r="E71" s="209" t="s">
        <v>163</v>
      </c>
      <c r="F71" s="496" t="s">
        <v>127</v>
      </c>
      <c r="G71" s="492" t="s">
        <v>78</v>
      </c>
      <c r="H71" s="177" t="s">
        <v>94</v>
      </c>
      <c r="I71" s="212" t="s">
        <v>214</v>
      </c>
      <c r="J71" s="497">
        <v>24.3</v>
      </c>
      <c r="K71" s="214">
        <v>42.3</v>
      </c>
      <c r="L71" s="235">
        <v>0.7</v>
      </c>
      <c r="M71" s="181">
        <f t="shared" si="2"/>
        <v>719.52299999999991</v>
      </c>
      <c r="N71" s="182">
        <f t="shared" ref="N71:N126" si="3">M71</f>
        <v>719.52299999999991</v>
      </c>
      <c r="O71" s="135"/>
    </row>
    <row r="72" spans="1:15" s="137" customFormat="1" ht="18.75" customHeight="1" x14ac:dyDescent="0.3">
      <c r="A72" s="132"/>
      <c r="B72" s="133"/>
      <c r="C72" s="494">
        <v>46097</v>
      </c>
      <c r="D72" s="495" t="s">
        <v>284</v>
      </c>
      <c r="E72" s="209" t="s">
        <v>163</v>
      </c>
      <c r="F72" s="496" t="s">
        <v>99</v>
      </c>
      <c r="G72" s="492" t="s">
        <v>78</v>
      </c>
      <c r="H72" s="177" t="s">
        <v>94</v>
      </c>
      <c r="I72" s="212" t="s">
        <v>214</v>
      </c>
      <c r="J72" s="497">
        <v>24.85</v>
      </c>
      <c r="K72" s="214">
        <v>42.3</v>
      </c>
      <c r="L72" s="235">
        <v>0.7</v>
      </c>
      <c r="M72" s="181">
        <f t="shared" si="2"/>
        <v>735.80849999999998</v>
      </c>
      <c r="N72" s="182">
        <f t="shared" si="3"/>
        <v>735.80849999999998</v>
      </c>
      <c r="O72" s="135"/>
    </row>
    <row r="73" spans="1:15" s="137" customFormat="1" ht="18.75" customHeight="1" x14ac:dyDescent="0.3">
      <c r="A73" s="132"/>
      <c r="B73" s="133"/>
      <c r="C73" s="494">
        <v>46097</v>
      </c>
      <c r="D73" s="495" t="s">
        <v>285</v>
      </c>
      <c r="E73" s="209" t="s">
        <v>163</v>
      </c>
      <c r="F73" s="496" t="s">
        <v>99</v>
      </c>
      <c r="G73" s="492" t="s">
        <v>78</v>
      </c>
      <c r="H73" s="177" t="s">
        <v>94</v>
      </c>
      <c r="I73" s="212" t="s">
        <v>214</v>
      </c>
      <c r="J73" s="497">
        <v>25.55</v>
      </c>
      <c r="K73" s="214">
        <v>68.2</v>
      </c>
      <c r="L73" s="235">
        <v>0.7</v>
      </c>
      <c r="M73" s="181">
        <f t="shared" si="2"/>
        <v>1219.7570000000001</v>
      </c>
      <c r="N73" s="182">
        <f t="shared" si="3"/>
        <v>1219.7570000000001</v>
      </c>
      <c r="O73" s="135"/>
    </row>
    <row r="74" spans="1:15" s="137" customFormat="1" ht="18.75" customHeight="1" x14ac:dyDescent="0.3">
      <c r="A74" s="132"/>
      <c r="B74" s="133"/>
      <c r="C74" s="494">
        <v>46097</v>
      </c>
      <c r="D74" s="495" t="s">
        <v>286</v>
      </c>
      <c r="E74" s="209" t="s">
        <v>163</v>
      </c>
      <c r="F74" s="496" t="s">
        <v>101</v>
      </c>
      <c r="G74" s="492" t="s">
        <v>78</v>
      </c>
      <c r="H74" s="177" t="s">
        <v>94</v>
      </c>
      <c r="I74" s="212" t="s">
        <v>214</v>
      </c>
      <c r="J74" s="497">
        <v>30.2</v>
      </c>
      <c r="K74" s="214">
        <v>42.3</v>
      </c>
      <c r="L74" s="235">
        <v>0.7</v>
      </c>
      <c r="M74" s="181">
        <f t="shared" si="2"/>
        <v>894.22199999999987</v>
      </c>
      <c r="N74" s="182">
        <f t="shared" si="3"/>
        <v>894.22199999999987</v>
      </c>
      <c r="O74" s="135"/>
    </row>
    <row r="75" spans="1:15" s="137" customFormat="1" ht="18.75" customHeight="1" x14ac:dyDescent="0.3">
      <c r="A75" s="132"/>
      <c r="B75" s="133"/>
      <c r="C75" s="494">
        <v>46097</v>
      </c>
      <c r="D75" s="495" t="s">
        <v>287</v>
      </c>
      <c r="E75" s="209" t="s">
        <v>163</v>
      </c>
      <c r="F75" s="496" t="s">
        <v>101</v>
      </c>
      <c r="G75" s="492" t="s">
        <v>78</v>
      </c>
      <c r="H75" s="177" t="s">
        <v>94</v>
      </c>
      <c r="I75" s="212" t="s">
        <v>214</v>
      </c>
      <c r="J75" s="497">
        <v>31.9</v>
      </c>
      <c r="K75" s="214">
        <v>90</v>
      </c>
      <c r="L75" s="235">
        <v>0.7</v>
      </c>
      <c r="M75" s="181">
        <f t="shared" si="2"/>
        <v>2009.6999999999998</v>
      </c>
      <c r="N75" s="182">
        <f t="shared" si="3"/>
        <v>2009.6999999999998</v>
      </c>
      <c r="O75" s="135"/>
    </row>
    <row r="76" spans="1:15" s="137" customFormat="1" ht="18.75" customHeight="1" x14ac:dyDescent="0.3">
      <c r="A76" s="132"/>
      <c r="B76" s="133"/>
      <c r="C76" s="494">
        <v>46098</v>
      </c>
      <c r="D76" s="495" t="s">
        <v>288</v>
      </c>
      <c r="E76" s="209" t="s">
        <v>163</v>
      </c>
      <c r="F76" s="496" t="s">
        <v>83</v>
      </c>
      <c r="G76" s="492" t="s">
        <v>78</v>
      </c>
      <c r="H76" s="177" t="s">
        <v>94</v>
      </c>
      <c r="I76" s="212" t="s">
        <v>214</v>
      </c>
      <c r="J76" s="497">
        <v>20.9</v>
      </c>
      <c r="K76" s="214">
        <v>66.7</v>
      </c>
      <c r="L76" s="235">
        <v>0.7</v>
      </c>
      <c r="M76" s="181">
        <f t="shared" si="2"/>
        <v>975.82099999999991</v>
      </c>
      <c r="N76" s="182">
        <f t="shared" si="3"/>
        <v>975.82099999999991</v>
      </c>
      <c r="O76" s="135"/>
    </row>
    <row r="77" spans="1:15" s="137" customFormat="1" ht="18.75" customHeight="1" x14ac:dyDescent="0.3">
      <c r="A77" s="132"/>
      <c r="B77" s="133"/>
      <c r="C77" s="494">
        <v>46098</v>
      </c>
      <c r="D77" s="495" t="s">
        <v>289</v>
      </c>
      <c r="E77" s="209" t="s">
        <v>163</v>
      </c>
      <c r="F77" s="496" t="s">
        <v>85</v>
      </c>
      <c r="G77" s="492" t="s">
        <v>78</v>
      </c>
      <c r="H77" s="177" t="s">
        <v>94</v>
      </c>
      <c r="I77" s="212" t="s">
        <v>214</v>
      </c>
      <c r="J77" s="497">
        <v>21.5</v>
      </c>
      <c r="K77" s="214">
        <v>66.7</v>
      </c>
      <c r="L77" s="235">
        <v>0.7</v>
      </c>
      <c r="M77" s="181">
        <f t="shared" si="2"/>
        <v>1003.8349999999999</v>
      </c>
      <c r="N77" s="182">
        <f t="shared" si="3"/>
        <v>1003.8349999999999</v>
      </c>
      <c r="O77" s="135"/>
    </row>
    <row r="78" spans="1:15" s="137" customFormat="1" ht="18.75" customHeight="1" x14ac:dyDescent="0.3">
      <c r="A78" s="132"/>
      <c r="B78" s="133"/>
      <c r="C78" s="494">
        <v>46098</v>
      </c>
      <c r="D78" s="495" t="s">
        <v>290</v>
      </c>
      <c r="E78" s="209" t="s">
        <v>163</v>
      </c>
      <c r="F78" s="496" t="s">
        <v>77</v>
      </c>
      <c r="G78" s="492" t="s">
        <v>78</v>
      </c>
      <c r="H78" s="177" t="s">
        <v>94</v>
      </c>
      <c r="I78" s="212" t="s">
        <v>214</v>
      </c>
      <c r="J78" s="497">
        <v>22.8</v>
      </c>
      <c r="K78" s="214">
        <v>66.7</v>
      </c>
      <c r="L78" s="235">
        <v>0.7</v>
      </c>
      <c r="M78" s="181">
        <f t="shared" si="2"/>
        <v>1064.5320000000002</v>
      </c>
      <c r="N78" s="182">
        <f t="shared" si="3"/>
        <v>1064.5320000000002</v>
      </c>
      <c r="O78" s="135"/>
    </row>
    <row r="79" spans="1:15" s="137" customFormat="1" ht="18.75" customHeight="1" x14ac:dyDescent="0.3">
      <c r="A79" s="132"/>
      <c r="B79" s="133"/>
      <c r="C79" s="494">
        <v>46098</v>
      </c>
      <c r="D79" s="495" t="s">
        <v>291</v>
      </c>
      <c r="E79" s="209" t="s">
        <v>163</v>
      </c>
      <c r="F79" s="496" t="s">
        <v>77</v>
      </c>
      <c r="G79" s="492" t="s">
        <v>78</v>
      </c>
      <c r="H79" s="177" t="s">
        <v>94</v>
      </c>
      <c r="I79" s="212" t="s">
        <v>214</v>
      </c>
      <c r="J79" s="497">
        <v>23.7</v>
      </c>
      <c r="K79" s="214">
        <v>42.3</v>
      </c>
      <c r="L79" s="235">
        <v>0.7</v>
      </c>
      <c r="M79" s="181">
        <f>J79*K79*L79</f>
        <v>701.75699999999983</v>
      </c>
      <c r="N79" s="182">
        <f t="shared" si="3"/>
        <v>701.75699999999983</v>
      </c>
      <c r="O79" s="135"/>
    </row>
    <row r="80" spans="1:15" s="137" customFormat="1" ht="18.75" customHeight="1" x14ac:dyDescent="0.3">
      <c r="A80" s="132"/>
      <c r="B80" s="133"/>
      <c r="C80" s="494">
        <v>46099</v>
      </c>
      <c r="D80" s="495" t="s">
        <v>292</v>
      </c>
      <c r="E80" s="209" t="s">
        <v>163</v>
      </c>
      <c r="F80" s="496" t="s">
        <v>138</v>
      </c>
      <c r="G80" s="492" t="s">
        <v>78</v>
      </c>
      <c r="H80" s="177" t="s">
        <v>94</v>
      </c>
      <c r="I80" s="212" t="s">
        <v>214</v>
      </c>
      <c r="J80" s="497">
        <v>21.39</v>
      </c>
      <c r="K80" s="214">
        <v>42.3</v>
      </c>
      <c r="L80" s="498">
        <v>0.98</v>
      </c>
      <c r="M80" s="181">
        <f t="shared" si="2"/>
        <v>886.70105999999987</v>
      </c>
      <c r="N80" s="182">
        <f t="shared" si="3"/>
        <v>886.70105999999987</v>
      </c>
      <c r="O80" s="135"/>
    </row>
    <row r="81" spans="1:15" s="137" customFormat="1" ht="18.75" customHeight="1" x14ac:dyDescent="0.3">
      <c r="A81" s="132"/>
      <c r="B81" s="133"/>
      <c r="C81" s="494">
        <v>46099</v>
      </c>
      <c r="D81" s="495" t="s">
        <v>293</v>
      </c>
      <c r="E81" s="209" t="s">
        <v>163</v>
      </c>
      <c r="F81" s="496" t="s">
        <v>77</v>
      </c>
      <c r="G81" s="492" t="s">
        <v>78</v>
      </c>
      <c r="H81" s="177" t="s">
        <v>94</v>
      </c>
      <c r="I81" s="212" t="s">
        <v>214</v>
      </c>
      <c r="J81" s="497">
        <v>21.95</v>
      </c>
      <c r="K81" s="214">
        <v>42.3</v>
      </c>
      <c r="L81" s="498">
        <v>0.98</v>
      </c>
      <c r="M81" s="181">
        <f t="shared" si="2"/>
        <v>909.91529999999989</v>
      </c>
      <c r="N81" s="182">
        <f t="shared" si="3"/>
        <v>909.91529999999989</v>
      </c>
      <c r="O81" s="135"/>
    </row>
    <row r="82" spans="1:15" s="137" customFormat="1" ht="18.75" customHeight="1" x14ac:dyDescent="0.3">
      <c r="A82" s="132"/>
      <c r="B82" s="133"/>
      <c r="C82" s="494">
        <v>46099</v>
      </c>
      <c r="D82" s="495" t="s">
        <v>294</v>
      </c>
      <c r="E82" s="209" t="s">
        <v>163</v>
      </c>
      <c r="F82" s="496" t="s">
        <v>77</v>
      </c>
      <c r="G82" s="492" t="s">
        <v>78</v>
      </c>
      <c r="H82" s="177" t="s">
        <v>94</v>
      </c>
      <c r="I82" s="212" t="s">
        <v>214</v>
      </c>
      <c r="J82" s="497">
        <v>22.65</v>
      </c>
      <c r="K82" s="214">
        <v>42.3</v>
      </c>
      <c r="L82" s="498">
        <v>0.98</v>
      </c>
      <c r="M82" s="181">
        <f t="shared" si="2"/>
        <v>938.93309999999985</v>
      </c>
      <c r="N82" s="182">
        <f t="shared" si="3"/>
        <v>938.93309999999985</v>
      </c>
      <c r="O82" s="135"/>
    </row>
    <row r="83" spans="1:15" s="137" customFormat="1" ht="18.75" customHeight="1" x14ac:dyDescent="0.3">
      <c r="A83" s="132"/>
      <c r="B83" s="133"/>
      <c r="C83" s="494">
        <v>46099</v>
      </c>
      <c r="D83" s="495" t="s">
        <v>295</v>
      </c>
      <c r="E83" s="209" t="s">
        <v>163</v>
      </c>
      <c r="F83" s="496" t="s">
        <v>131</v>
      </c>
      <c r="G83" s="492" t="s">
        <v>78</v>
      </c>
      <c r="H83" s="177" t="s">
        <v>94</v>
      </c>
      <c r="I83" s="212" t="s">
        <v>214</v>
      </c>
      <c r="J83" s="497">
        <v>26.3</v>
      </c>
      <c r="K83" s="214">
        <v>42.3</v>
      </c>
      <c r="L83" s="498">
        <v>0.98</v>
      </c>
      <c r="M83" s="181">
        <f t="shared" si="2"/>
        <v>1090.2402</v>
      </c>
      <c r="N83" s="182">
        <f t="shared" si="3"/>
        <v>1090.2402</v>
      </c>
      <c r="O83" s="135"/>
    </row>
    <row r="84" spans="1:15" s="137" customFormat="1" ht="18.75" customHeight="1" x14ac:dyDescent="0.3">
      <c r="A84" s="132"/>
      <c r="B84" s="133"/>
      <c r="C84" s="494">
        <v>46099</v>
      </c>
      <c r="D84" s="495" t="s">
        <v>296</v>
      </c>
      <c r="E84" s="209" t="s">
        <v>163</v>
      </c>
      <c r="F84" s="496" t="s">
        <v>131</v>
      </c>
      <c r="G84" s="492" t="s">
        <v>78</v>
      </c>
      <c r="H84" s="177" t="s">
        <v>94</v>
      </c>
      <c r="I84" s="212" t="s">
        <v>214</v>
      </c>
      <c r="J84" s="497">
        <v>26.43</v>
      </c>
      <c r="K84" s="214">
        <v>42.3</v>
      </c>
      <c r="L84" s="498">
        <v>0.98</v>
      </c>
      <c r="M84" s="181">
        <f t="shared" si="2"/>
        <v>1095.6292199999998</v>
      </c>
      <c r="N84" s="182">
        <f t="shared" si="3"/>
        <v>1095.6292199999998</v>
      </c>
      <c r="O84" s="135"/>
    </row>
    <row r="85" spans="1:15" s="137" customFormat="1" ht="18.75" customHeight="1" x14ac:dyDescent="0.3">
      <c r="A85" s="132"/>
      <c r="B85" s="133"/>
      <c r="C85" s="494">
        <v>46100</v>
      </c>
      <c r="D85" s="495" t="s">
        <v>297</v>
      </c>
      <c r="E85" s="209" t="s">
        <v>163</v>
      </c>
      <c r="F85" s="496" t="s">
        <v>117</v>
      </c>
      <c r="G85" s="492" t="s">
        <v>78</v>
      </c>
      <c r="H85" s="177" t="s">
        <v>94</v>
      </c>
      <c r="I85" s="212" t="s">
        <v>214</v>
      </c>
      <c r="J85" s="497">
        <v>20.62</v>
      </c>
      <c r="K85" s="214">
        <v>69.2</v>
      </c>
      <c r="L85" s="498">
        <v>0.98</v>
      </c>
      <c r="M85" s="181">
        <f t="shared" si="2"/>
        <v>1398.3659200000002</v>
      </c>
      <c r="N85" s="182">
        <f t="shared" si="3"/>
        <v>1398.3659200000002</v>
      </c>
      <c r="O85" s="135"/>
    </row>
    <row r="86" spans="1:15" s="137" customFormat="1" ht="18.75" customHeight="1" x14ac:dyDescent="0.3">
      <c r="A86" s="132"/>
      <c r="B86" s="133"/>
      <c r="C86" s="494">
        <v>46100</v>
      </c>
      <c r="D86" s="495" t="s">
        <v>298</v>
      </c>
      <c r="E86" s="209" t="s">
        <v>163</v>
      </c>
      <c r="F86" s="496" t="s">
        <v>279</v>
      </c>
      <c r="G86" s="492" t="s">
        <v>78</v>
      </c>
      <c r="H86" s="177" t="s">
        <v>94</v>
      </c>
      <c r="I86" s="212" t="s">
        <v>214</v>
      </c>
      <c r="J86" s="497">
        <v>21.01</v>
      </c>
      <c r="K86" s="499">
        <v>69.2</v>
      </c>
      <c r="L86" s="498">
        <v>0.98</v>
      </c>
      <c r="M86" s="181">
        <f t="shared" si="2"/>
        <v>1424.8141600000004</v>
      </c>
      <c r="N86" s="182">
        <f t="shared" si="3"/>
        <v>1424.8141600000004</v>
      </c>
      <c r="O86" s="135"/>
    </row>
    <row r="87" spans="1:15" s="137" customFormat="1" ht="18.75" customHeight="1" x14ac:dyDescent="0.3">
      <c r="A87" s="132"/>
      <c r="B87" s="133"/>
      <c r="C87" s="494">
        <v>46100</v>
      </c>
      <c r="D87" s="495" t="s">
        <v>299</v>
      </c>
      <c r="E87" s="209" t="s">
        <v>163</v>
      </c>
      <c r="F87" s="496" t="s">
        <v>117</v>
      </c>
      <c r="G87" s="492" t="s">
        <v>78</v>
      </c>
      <c r="H87" s="177" t="s">
        <v>94</v>
      </c>
      <c r="I87" s="212" t="s">
        <v>214</v>
      </c>
      <c r="J87" s="497">
        <v>21.03</v>
      </c>
      <c r="K87" s="499">
        <v>42.8</v>
      </c>
      <c r="L87" s="498">
        <v>0.98</v>
      </c>
      <c r="M87" s="181">
        <f t="shared" si="2"/>
        <v>882.08231999999998</v>
      </c>
      <c r="N87" s="182">
        <f t="shared" si="3"/>
        <v>882.08231999999998</v>
      </c>
      <c r="O87" s="135"/>
    </row>
    <row r="88" spans="1:15" s="137" customFormat="1" ht="18.75" customHeight="1" x14ac:dyDescent="0.3">
      <c r="A88" s="132"/>
      <c r="B88" s="133"/>
      <c r="C88" s="494">
        <v>46100</v>
      </c>
      <c r="D88" s="495" t="s">
        <v>300</v>
      </c>
      <c r="E88" s="209" t="s">
        <v>163</v>
      </c>
      <c r="F88" s="496" t="s">
        <v>77</v>
      </c>
      <c r="G88" s="492" t="s">
        <v>78</v>
      </c>
      <c r="H88" s="177" t="s">
        <v>94</v>
      </c>
      <c r="I88" s="212" t="s">
        <v>214</v>
      </c>
      <c r="J88" s="497">
        <v>22.5</v>
      </c>
      <c r="K88" s="499">
        <v>42.8</v>
      </c>
      <c r="L88" s="498">
        <v>0.98</v>
      </c>
      <c r="M88" s="181">
        <f t="shared" si="2"/>
        <v>943.7399999999999</v>
      </c>
      <c r="N88" s="182">
        <f t="shared" si="3"/>
        <v>943.7399999999999</v>
      </c>
      <c r="O88" s="135"/>
    </row>
    <row r="89" spans="1:15" s="137" customFormat="1" ht="18.75" customHeight="1" x14ac:dyDescent="0.3">
      <c r="A89" s="132"/>
      <c r="B89" s="133"/>
      <c r="C89" s="494">
        <v>46100</v>
      </c>
      <c r="D89" s="495" t="s">
        <v>301</v>
      </c>
      <c r="E89" s="209" t="s">
        <v>163</v>
      </c>
      <c r="F89" s="496" t="s">
        <v>77</v>
      </c>
      <c r="G89" s="492" t="s">
        <v>78</v>
      </c>
      <c r="H89" s="177" t="s">
        <v>94</v>
      </c>
      <c r="I89" s="212" t="s">
        <v>214</v>
      </c>
      <c r="J89" s="497">
        <v>22.9</v>
      </c>
      <c r="K89" s="499">
        <v>42.8</v>
      </c>
      <c r="L89" s="498">
        <v>0.98</v>
      </c>
      <c r="M89" s="181">
        <f t="shared" si="2"/>
        <v>960.5175999999999</v>
      </c>
      <c r="N89" s="182">
        <f t="shared" si="3"/>
        <v>960.5175999999999</v>
      </c>
      <c r="O89" s="135"/>
    </row>
    <row r="90" spans="1:15" s="137" customFormat="1" ht="18.75" customHeight="1" x14ac:dyDescent="0.3">
      <c r="A90" s="132"/>
      <c r="B90" s="133"/>
      <c r="C90" s="494">
        <v>46100</v>
      </c>
      <c r="D90" s="495" t="s">
        <v>302</v>
      </c>
      <c r="E90" s="209" t="s">
        <v>163</v>
      </c>
      <c r="F90" s="496" t="s">
        <v>127</v>
      </c>
      <c r="G90" s="492" t="s">
        <v>78</v>
      </c>
      <c r="H90" s="177" t="s">
        <v>94</v>
      </c>
      <c r="I90" s="212" t="s">
        <v>214</v>
      </c>
      <c r="J90" s="497">
        <v>23.5</v>
      </c>
      <c r="K90" s="499">
        <v>69.2</v>
      </c>
      <c r="L90" s="498">
        <v>0.98</v>
      </c>
      <c r="M90" s="181">
        <f t="shared" si="2"/>
        <v>1593.6759999999999</v>
      </c>
      <c r="N90" s="182">
        <f t="shared" si="3"/>
        <v>1593.6759999999999</v>
      </c>
      <c r="O90" s="135"/>
    </row>
    <row r="91" spans="1:15" s="137" customFormat="1" ht="18.75" customHeight="1" x14ac:dyDescent="0.3">
      <c r="A91" s="132"/>
      <c r="B91" s="133"/>
      <c r="C91" s="494">
        <v>46101</v>
      </c>
      <c r="D91" s="495" t="s">
        <v>303</v>
      </c>
      <c r="E91" s="209" t="s">
        <v>163</v>
      </c>
      <c r="F91" s="496" t="s">
        <v>250</v>
      </c>
      <c r="G91" s="492" t="s">
        <v>78</v>
      </c>
      <c r="H91" s="177" t="s">
        <v>94</v>
      </c>
      <c r="I91" s="212" t="s">
        <v>214</v>
      </c>
      <c r="J91" s="497">
        <v>20.3</v>
      </c>
      <c r="K91" s="499">
        <v>69.2</v>
      </c>
      <c r="L91" s="498">
        <v>0.98</v>
      </c>
      <c r="M91" s="181">
        <f t="shared" si="2"/>
        <v>1376.6648000000002</v>
      </c>
      <c r="N91" s="182">
        <f t="shared" si="3"/>
        <v>1376.6648000000002</v>
      </c>
      <c r="O91" s="135"/>
    </row>
    <row r="92" spans="1:15" s="137" customFormat="1" ht="18.75" customHeight="1" x14ac:dyDescent="0.3">
      <c r="A92" s="132"/>
      <c r="B92" s="133"/>
      <c r="C92" s="494">
        <v>46101</v>
      </c>
      <c r="D92" s="495" t="s">
        <v>304</v>
      </c>
      <c r="E92" s="209" t="s">
        <v>163</v>
      </c>
      <c r="F92" s="496" t="s">
        <v>77</v>
      </c>
      <c r="G92" s="492" t="s">
        <v>78</v>
      </c>
      <c r="H92" s="177" t="s">
        <v>94</v>
      </c>
      <c r="I92" s="212" t="s">
        <v>214</v>
      </c>
      <c r="J92" s="497">
        <v>21.7</v>
      </c>
      <c r="K92" s="499">
        <v>43</v>
      </c>
      <c r="L92" s="498">
        <v>0.98</v>
      </c>
      <c r="M92" s="181">
        <f t="shared" si="2"/>
        <v>914.43799999999999</v>
      </c>
      <c r="N92" s="182">
        <f t="shared" si="3"/>
        <v>914.43799999999999</v>
      </c>
      <c r="O92" s="135"/>
    </row>
    <row r="93" spans="1:15" s="137" customFormat="1" ht="18.75" customHeight="1" x14ac:dyDescent="0.3">
      <c r="A93" s="132"/>
      <c r="B93" s="133"/>
      <c r="C93" s="494">
        <v>46101</v>
      </c>
      <c r="D93" s="495" t="s">
        <v>305</v>
      </c>
      <c r="E93" s="209" t="s">
        <v>163</v>
      </c>
      <c r="F93" s="496" t="s">
        <v>127</v>
      </c>
      <c r="G93" s="492" t="s">
        <v>78</v>
      </c>
      <c r="H93" s="177" t="s">
        <v>94</v>
      </c>
      <c r="I93" s="212" t="s">
        <v>214</v>
      </c>
      <c r="J93" s="497">
        <v>22</v>
      </c>
      <c r="K93" s="499">
        <v>69.900000000000006</v>
      </c>
      <c r="L93" s="498">
        <v>0.98</v>
      </c>
      <c r="M93" s="181">
        <f t="shared" si="2"/>
        <v>1507.0440000000001</v>
      </c>
      <c r="N93" s="182">
        <f t="shared" si="3"/>
        <v>1507.0440000000001</v>
      </c>
      <c r="O93" s="135"/>
    </row>
    <row r="94" spans="1:15" s="137" customFormat="1" ht="18.75" customHeight="1" x14ac:dyDescent="0.3">
      <c r="A94" s="132"/>
      <c r="B94" s="133"/>
      <c r="C94" s="494">
        <v>46101</v>
      </c>
      <c r="D94" s="495" t="s">
        <v>306</v>
      </c>
      <c r="E94" s="209" t="s">
        <v>163</v>
      </c>
      <c r="F94" s="496" t="s">
        <v>254</v>
      </c>
      <c r="G94" s="492" t="s">
        <v>78</v>
      </c>
      <c r="H94" s="177" t="s">
        <v>94</v>
      </c>
      <c r="I94" s="212" t="s">
        <v>214</v>
      </c>
      <c r="J94" s="497">
        <v>22.45</v>
      </c>
      <c r="K94" s="499">
        <v>43</v>
      </c>
      <c r="L94" s="498">
        <v>0.98</v>
      </c>
      <c r="M94" s="181">
        <f t="shared" si="2"/>
        <v>946.04300000000001</v>
      </c>
      <c r="N94" s="182">
        <f t="shared" si="3"/>
        <v>946.04300000000001</v>
      </c>
      <c r="O94" s="135"/>
    </row>
    <row r="95" spans="1:15" s="137" customFormat="1" ht="18.75" customHeight="1" x14ac:dyDescent="0.3">
      <c r="A95" s="132"/>
      <c r="B95" s="133"/>
      <c r="C95" s="494">
        <v>46101</v>
      </c>
      <c r="D95" s="495" t="s">
        <v>307</v>
      </c>
      <c r="E95" s="209" t="s">
        <v>163</v>
      </c>
      <c r="F95" s="496" t="s">
        <v>101</v>
      </c>
      <c r="G95" s="492" t="s">
        <v>78</v>
      </c>
      <c r="H95" s="177" t="s">
        <v>94</v>
      </c>
      <c r="I95" s="212" t="s">
        <v>214</v>
      </c>
      <c r="J95" s="497">
        <v>30.35</v>
      </c>
      <c r="K95" s="499">
        <v>69.900000000000006</v>
      </c>
      <c r="L95" s="498">
        <v>0.98</v>
      </c>
      <c r="M95" s="181">
        <f t="shared" si="2"/>
        <v>2079.0356999999999</v>
      </c>
      <c r="N95" s="182">
        <f t="shared" si="3"/>
        <v>2079.0356999999999</v>
      </c>
      <c r="O95" s="135"/>
    </row>
    <row r="96" spans="1:15" s="137" customFormat="1" ht="18.75" customHeight="1" x14ac:dyDescent="0.3">
      <c r="A96" s="132"/>
      <c r="B96" s="133"/>
      <c r="C96" s="494">
        <v>46101</v>
      </c>
      <c r="D96" s="495" t="s">
        <v>308</v>
      </c>
      <c r="E96" s="209" t="s">
        <v>163</v>
      </c>
      <c r="F96" s="496" t="s">
        <v>279</v>
      </c>
      <c r="G96" s="492" t="s">
        <v>78</v>
      </c>
      <c r="H96" s="177" t="s">
        <v>94</v>
      </c>
      <c r="I96" s="212" t="s">
        <v>214</v>
      </c>
      <c r="J96" s="497">
        <v>21.05</v>
      </c>
      <c r="K96" s="499">
        <v>43</v>
      </c>
      <c r="L96" s="498">
        <v>0.98</v>
      </c>
      <c r="M96" s="181">
        <f t="shared" si="2"/>
        <v>887.04699999999991</v>
      </c>
      <c r="N96" s="182">
        <f t="shared" si="3"/>
        <v>887.04699999999991</v>
      </c>
      <c r="O96" s="135"/>
    </row>
    <row r="97" spans="1:15" s="137" customFormat="1" ht="18.75" customHeight="1" x14ac:dyDescent="0.3">
      <c r="A97" s="132"/>
      <c r="B97" s="133"/>
      <c r="C97" s="494">
        <v>46101</v>
      </c>
      <c r="D97" s="495" t="s">
        <v>309</v>
      </c>
      <c r="E97" s="209" t="s">
        <v>163</v>
      </c>
      <c r="F97" s="496" t="s">
        <v>248</v>
      </c>
      <c r="G97" s="492" t="s">
        <v>78</v>
      </c>
      <c r="H97" s="177" t="s">
        <v>94</v>
      </c>
      <c r="I97" s="212" t="s">
        <v>214</v>
      </c>
      <c r="J97" s="497">
        <v>21.3</v>
      </c>
      <c r="K97" s="499">
        <v>43</v>
      </c>
      <c r="L97" s="498">
        <v>0.98</v>
      </c>
      <c r="M97" s="181">
        <f t="shared" si="2"/>
        <v>897.58199999999999</v>
      </c>
      <c r="N97" s="182">
        <f t="shared" si="3"/>
        <v>897.58199999999999</v>
      </c>
      <c r="O97" s="135"/>
    </row>
    <row r="98" spans="1:15" s="137" customFormat="1" ht="18.75" customHeight="1" x14ac:dyDescent="0.3">
      <c r="A98" s="132"/>
      <c r="B98" s="133"/>
      <c r="C98" s="494">
        <v>46101</v>
      </c>
      <c r="D98" s="495" t="s">
        <v>310</v>
      </c>
      <c r="E98" s="209" t="s">
        <v>163</v>
      </c>
      <c r="F98" s="496" t="s">
        <v>77</v>
      </c>
      <c r="G98" s="492" t="s">
        <v>78</v>
      </c>
      <c r="H98" s="177" t="s">
        <v>94</v>
      </c>
      <c r="I98" s="212" t="s">
        <v>214</v>
      </c>
      <c r="J98" s="497">
        <v>23.3</v>
      </c>
      <c r="K98" s="499">
        <v>43</v>
      </c>
      <c r="L98" s="498">
        <v>0.98</v>
      </c>
      <c r="M98" s="181">
        <f t="shared" si="2"/>
        <v>981.86199999999997</v>
      </c>
      <c r="N98" s="182">
        <f t="shared" si="3"/>
        <v>981.86199999999997</v>
      </c>
      <c r="O98" s="135"/>
    </row>
    <row r="99" spans="1:15" s="137" customFormat="1" ht="18.75" customHeight="1" x14ac:dyDescent="0.3">
      <c r="A99" s="132"/>
      <c r="B99" s="133"/>
      <c r="C99" s="494">
        <v>46101</v>
      </c>
      <c r="D99" s="495" t="s">
        <v>311</v>
      </c>
      <c r="E99" s="209" t="s">
        <v>163</v>
      </c>
      <c r="F99" s="496" t="s">
        <v>99</v>
      </c>
      <c r="G99" s="492" t="s">
        <v>78</v>
      </c>
      <c r="H99" s="177" t="s">
        <v>94</v>
      </c>
      <c r="I99" s="212" t="s">
        <v>214</v>
      </c>
      <c r="J99" s="497">
        <v>23.95</v>
      </c>
      <c r="K99" s="499">
        <v>43</v>
      </c>
      <c r="L99" s="498">
        <v>0.98</v>
      </c>
      <c r="M99" s="181">
        <f t="shared" si="2"/>
        <v>1009.2529999999999</v>
      </c>
      <c r="N99" s="182">
        <f t="shared" si="3"/>
        <v>1009.2529999999999</v>
      </c>
      <c r="O99" s="135"/>
    </row>
    <row r="100" spans="1:15" s="137" customFormat="1" ht="18.75" customHeight="1" x14ac:dyDescent="0.3">
      <c r="A100" s="132"/>
      <c r="B100" s="133"/>
      <c r="C100" s="494">
        <v>46102</v>
      </c>
      <c r="D100" s="495" t="s">
        <v>312</v>
      </c>
      <c r="E100" s="209" t="s">
        <v>163</v>
      </c>
      <c r="F100" s="496" t="s">
        <v>77</v>
      </c>
      <c r="G100" s="492" t="s">
        <v>78</v>
      </c>
      <c r="H100" s="177" t="s">
        <v>94</v>
      </c>
      <c r="I100" s="212" t="s">
        <v>214</v>
      </c>
      <c r="J100" s="497">
        <v>22.7</v>
      </c>
      <c r="K100" s="499">
        <v>43</v>
      </c>
      <c r="L100" s="498">
        <v>0.98</v>
      </c>
      <c r="M100" s="181">
        <f t="shared" si="2"/>
        <v>956.57799999999997</v>
      </c>
      <c r="N100" s="182">
        <f t="shared" si="3"/>
        <v>956.57799999999997</v>
      </c>
      <c r="O100" s="135"/>
    </row>
    <row r="101" spans="1:15" s="137" customFormat="1" ht="18.75" customHeight="1" x14ac:dyDescent="0.3">
      <c r="A101" s="132"/>
      <c r="B101" s="133"/>
      <c r="C101" s="494">
        <v>46102</v>
      </c>
      <c r="D101" s="495" t="s">
        <v>313</v>
      </c>
      <c r="E101" s="209" t="s">
        <v>163</v>
      </c>
      <c r="F101" s="496" t="s">
        <v>279</v>
      </c>
      <c r="G101" s="492" t="s">
        <v>78</v>
      </c>
      <c r="H101" s="177" t="s">
        <v>94</v>
      </c>
      <c r="I101" s="212" t="s">
        <v>214</v>
      </c>
      <c r="J101" s="497">
        <v>20.100000000000001</v>
      </c>
      <c r="K101" s="499">
        <v>43</v>
      </c>
      <c r="L101" s="498">
        <v>0.98</v>
      </c>
      <c r="M101" s="181">
        <f t="shared" si="2"/>
        <v>847.01400000000001</v>
      </c>
      <c r="N101" s="182">
        <f t="shared" si="3"/>
        <v>847.01400000000001</v>
      </c>
      <c r="O101" s="135"/>
    </row>
    <row r="102" spans="1:15" s="137" customFormat="1" ht="18.75" customHeight="1" x14ac:dyDescent="0.3">
      <c r="A102" s="132"/>
      <c r="B102" s="133"/>
      <c r="C102" s="494">
        <v>46102</v>
      </c>
      <c r="D102" s="495" t="s">
        <v>314</v>
      </c>
      <c r="E102" s="209" t="s">
        <v>163</v>
      </c>
      <c r="F102" s="496" t="s">
        <v>250</v>
      </c>
      <c r="G102" s="492" t="s">
        <v>78</v>
      </c>
      <c r="H102" s="177" t="s">
        <v>94</v>
      </c>
      <c r="I102" s="212" t="s">
        <v>214</v>
      </c>
      <c r="J102" s="497">
        <v>20.8</v>
      </c>
      <c r="K102" s="499">
        <v>43</v>
      </c>
      <c r="L102" s="498">
        <v>0.98</v>
      </c>
      <c r="M102" s="181">
        <f t="shared" si="2"/>
        <v>876.51199999999994</v>
      </c>
      <c r="N102" s="182">
        <f t="shared" si="3"/>
        <v>876.51199999999994</v>
      </c>
      <c r="O102" s="135"/>
    </row>
    <row r="103" spans="1:15" s="137" customFormat="1" ht="18.75" customHeight="1" x14ac:dyDescent="0.3">
      <c r="A103" s="132"/>
      <c r="B103" s="133"/>
      <c r="C103" s="494">
        <v>46102</v>
      </c>
      <c r="D103" s="495" t="s">
        <v>315</v>
      </c>
      <c r="E103" s="209" t="s">
        <v>163</v>
      </c>
      <c r="F103" s="496" t="s">
        <v>248</v>
      </c>
      <c r="G103" s="492" t="s">
        <v>78</v>
      </c>
      <c r="H103" s="177" t="s">
        <v>94</v>
      </c>
      <c r="I103" s="212" t="s">
        <v>214</v>
      </c>
      <c r="J103" s="497">
        <v>20.8</v>
      </c>
      <c r="K103" s="499">
        <v>43</v>
      </c>
      <c r="L103" s="498">
        <v>0.98</v>
      </c>
      <c r="M103" s="181">
        <f t="shared" si="2"/>
        <v>876.51199999999994</v>
      </c>
      <c r="N103" s="182">
        <f t="shared" si="3"/>
        <v>876.51199999999994</v>
      </c>
      <c r="O103" s="135"/>
    </row>
    <row r="104" spans="1:15" s="137" customFormat="1" ht="18.75" customHeight="1" x14ac:dyDescent="0.3">
      <c r="A104" s="132"/>
      <c r="B104" s="133"/>
      <c r="C104" s="494">
        <v>46102</v>
      </c>
      <c r="D104" s="495" t="s">
        <v>316</v>
      </c>
      <c r="E104" s="209" t="s">
        <v>163</v>
      </c>
      <c r="F104" s="496" t="s">
        <v>254</v>
      </c>
      <c r="G104" s="492" t="s">
        <v>78</v>
      </c>
      <c r="H104" s="177" t="s">
        <v>94</v>
      </c>
      <c r="I104" s="212" t="s">
        <v>214</v>
      </c>
      <c r="J104" s="497">
        <v>21.27</v>
      </c>
      <c r="K104" s="499">
        <v>43</v>
      </c>
      <c r="L104" s="498">
        <v>0.98</v>
      </c>
      <c r="M104" s="181">
        <f t="shared" si="2"/>
        <v>896.31780000000003</v>
      </c>
      <c r="N104" s="182">
        <f t="shared" si="3"/>
        <v>896.31780000000003</v>
      </c>
      <c r="O104" s="135"/>
    </row>
    <row r="105" spans="1:15" s="137" customFormat="1" ht="18.75" customHeight="1" x14ac:dyDescent="0.3">
      <c r="A105" s="132"/>
      <c r="B105" s="133"/>
      <c r="C105" s="494">
        <v>46102</v>
      </c>
      <c r="D105" s="495" t="s">
        <v>317</v>
      </c>
      <c r="E105" s="209" t="s">
        <v>163</v>
      </c>
      <c r="F105" s="496" t="s">
        <v>127</v>
      </c>
      <c r="G105" s="492" t="s">
        <v>78</v>
      </c>
      <c r="H105" s="177" t="s">
        <v>94</v>
      </c>
      <c r="I105" s="212" t="s">
        <v>214</v>
      </c>
      <c r="J105" s="497">
        <v>22.55</v>
      </c>
      <c r="K105" s="499">
        <v>43</v>
      </c>
      <c r="L105" s="498">
        <v>0.98</v>
      </c>
      <c r="M105" s="181">
        <f t="shared" si="2"/>
        <v>950.25699999999995</v>
      </c>
      <c r="N105" s="182">
        <f t="shared" si="3"/>
        <v>950.25699999999995</v>
      </c>
      <c r="O105" s="135"/>
    </row>
    <row r="106" spans="1:15" s="137" customFormat="1" ht="18.75" customHeight="1" x14ac:dyDescent="0.3">
      <c r="A106" s="132"/>
      <c r="B106" s="133"/>
      <c r="C106" s="494">
        <v>46104</v>
      </c>
      <c r="D106" s="495" t="s">
        <v>318</v>
      </c>
      <c r="E106" s="209" t="s">
        <v>163</v>
      </c>
      <c r="F106" s="496" t="s">
        <v>279</v>
      </c>
      <c r="G106" s="492" t="s">
        <v>78</v>
      </c>
      <c r="H106" s="177" t="s">
        <v>94</v>
      </c>
      <c r="I106" s="212" t="s">
        <v>214</v>
      </c>
      <c r="J106" s="497">
        <v>20.98</v>
      </c>
      <c r="K106" s="499">
        <v>43</v>
      </c>
      <c r="L106" s="498">
        <v>0.98</v>
      </c>
      <c r="M106" s="181">
        <f t="shared" si="2"/>
        <v>884.09719999999993</v>
      </c>
      <c r="N106" s="182">
        <f t="shared" si="3"/>
        <v>884.09719999999993</v>
      </c>
      <c r="O106" s="135"/>
    </row>
    <row r="107" spans="1:15" s="137" customFormat="1" ht="18.75" customHeight="1" x14ac:dyDescent="0.3">
      <c r="A107" s="132"/>
      <c r="B107" s="133"/>
      <c r="C107" s="494">
        <v>46104</v>
      </c>
      <c r="D107" s="495" t="s">
        <v>319</v>
      </c>
      <c r="E107" s="209" t="s">
        <v>163</v>
      </c>
      <c r="F107" s="496" t="s">
        <v>248</v>
      </c>
      <c r="G107" s="492" t="s">
        <v>78</v>
      </c>
      <c r="H107" s="177" t="s">
        <v>94</v>
      </c>
      <c r="I107" s="212" t="s">
        <v>214</v>
      </c>
      <c r="J107" s="497">
        <v>21.5</v>
      </c>
      <c r="K107" s="499">
        <v>43</v>
      </c>
      <c r="L107" s="498">
        <v>0.98</v>
      </c>
      <c r="M107" s="181">
        <f t="shared" si="2"/>
        <v>906.01</v>
      </c>
      <c r="N107" s="182">
        <f t="shared" si="3"/>
        <v>906.01</v>
      </c>
      <c r="O107" s="135"/>
    </row>
    <row r="108" spans="1:15" s="137" customFormat="1" ht="18.75" customHeight="1" x14ac:dyDescent="0.3">
      <c r="A108" s="132"/>
      <c r="B108" s="133"/>
      <c r="C108" s="494">
        <v>46104</v>
      </c>
      <c r="D108" s="495" t="s">
        <v>320</v>
      </c>
      <c r="E108" s="209" t="s">
        <v>163</v>
      </c>
      <c r="F108" s="496" t="s">
        <v>248</v>
      </c>
      <c r="G108" s="492" t="s">
        <v>78</v>
      </c>
      <c r="H108" s="177" t="s">
        <v>94</v>
      </c>
      <c r="I108" s="212" t="s">
        <v>214</v>
      </c>
      <c r="J108" s="497">
        <v>21.53</v>
      </c>
      <c r="K108" s="499">
        <v>43</v>
      </c>
      <c r="L108" s="498">
        <v>0.98</v>
      </c>
      <c r="M108" s="181">
        <f t="shared" si="2"/>
        <v>907.27420000000006</v>
      </c>
      <c r="N108" s="182">
        <f t="shared" si="3"/>
        <v>907.27420000000006</v>
      </c>
      <c r="O108" s="135"/>
    </row>
    <row r="109" spans="1:15" s="137" customFormat="1" ht="18.75" customHeight="1" x14ac:dyDescent="0.3">
      <c r="A109" s="132"/>
      <c r="B109" s="133"/>
      <c r="C109" s="494">
        <v>46104</v>
      </c>
      <c r="D109" s="495" t="s">
        <v>321</v>
      </c>
      <c r="E109" s="209" t="s">
        <v>163</v>
      </c>
      <c r="F109" s="496" t="s">
        <v>117</v>
      </c>
      <c r="G109" s="492" t="s">
        <v>78</v>
      </c>
      <c r="H109" s="177" t="s">
        <v>94</v>
      </c>
      <c r="I109" s="212" t="s">
        <v>214</v>
      </c>
      <c r="J109" s="497">
        <v>21.8</v>
      </c>
      <c r="K109" s="499">
        <v>43</v>
      </c>
      <c r="L109" s="498">
        <v>0.98</v>
      </c>
      <c r="M109" s="181">
        <f t="shared" si="2"/>
        <v>918.65199999999993</v>
      </c>
      <c r="N109" s="182">
        <f t="shared" si="3"/>
        <v>918.65199999999993</v>
      </c>
      <c r="O109" s="135"/>
    </row>
    <row r="110" spans="1:15" s="137" customFormat="1" ht="18.75" customHeight="1" x14ac:dyDescent="0.3">
      <c r="A110" s="132"/>
      <c r="B110" s="133"/>
      <c r="C110" s="494">
        <v>46104</v>
      </c>
      <c r="D110" s="495" t="s">
        <v>322</v>
      </c>
      <c r="E110" s="209" t="s">
        <v>163</v>
      </c>
      <c r="F110" s="496" t="s">
        <v>117</v>
      </c>
      <c r="G110" s="492" t="s">
        <v>78</v>
      </c>
      <c r="H110" s="177" t="s">
        <v>94</v>
      </c>
      <c r="I110" s="212" t="s">
        <v>214</v>
      </c>
      <c r="J110" s="497">
        <v>22.6</v>
      </c>
      <c r="K110" s="499">
        <v>43</v>
      </c>
      <c r="L110" s="498">
        <v>0.98</v>
      </c>
      <c r="M110" s="181">
        <f t="shared" si="2"/>
        <v>952.36400000000003</v>
      </c>
      <c r="N110" s="182">
        <f t="shared" si="3"/>
        <v>952.36400000000003</v>
      </c>
      <c r="O110" s="135"/>
    </row>
    <row r="111" spans="1:15" s="137" customFormat="1" ht="18.75" customHeight="1" x14ac:dyDescent="0.3">
      <c r="A111" s="132"/>
      <c r="B111" s="133"/>
      <c r="C111" s="494">
        <v>46104</v>
      </c>
      <c r="D111" s="495" t="s">
        <v>323</v>
      </c>
      <c r="E111" s="209" t="s">
        <v>163</v>
      </c>
      <c r="F111" s="496" t="s">
        <v>77</v>
      </c>
      <c r="G111" s="492" t="s">
        <v>78</v>
      </c>
      <c r="H111" s="177" t="s">
        <v>94</v>
      </c>
      <c r="I111" s="212" t="s">
        <v>214</v>
      </c>
      <c r="J111" s="497">
        <v>23.12</v>
      </c>
      <c r="K111" s="499">
        <v>43</v>
      </c>
      <c r="L111" s="498">
        <v>0.98</v>
      </c>
      <c r="M111" s="181">
        <f t="shared" si="2"/>
        <v>974.27680000000009</v>
      </c>
      <c r="N111" s="182">
        <f t="shared" si="3"/>
        <v>974.27680000000009</v>
      </c>
      <c r="O111" s="135"/>
    </row>
    <row r="112" spans="1:15" s="137" customFormat="1" ht="18.75" customHeight="1" x14ac:dyDescent="0.3">
      <c r="A112" s="132"/>
      <c r="B112" s="133"/>
      <c r="C112" s="494">
        <v>46104</v>
      </c>
      <c r="D112" s="495" t="s">
        <v>324</v>
      </c>
      <c r="E112" s="209" t="s">
        <v>163</v>
      </c>
      <c r="F112" s="496" t="s">
        <v>77</v>
      </c>
      <c r="G112" s="492" t="s">
        <v>78</v>
      </c>
      <c r="H112" s="177" t="s">
        <v>94</v>
      </c>
      <c r="I112" s="212" t="s">
        <v>214</v>
      </c>
      <c r="J112" s="497">
        <v>23.52</v>
      </c>
      <c r="K112" s="499">
        <v>43</v>
      </c>
      <c r="L112" s="498">
        <v>0.98</v>
      </c>
      <c r="M112" s="181">
        <f t="shared" si="2"/>
        <v>991.13279999999997</v>
      </c>
      <c r="N112" s="182">
        <f t="shared" si="3"/>
        <v>991.13279999999997</v>
      </c>
      <c r="O112" s="135"/>
    </row>
    <row r="113" spans="1:15" s="137" customFormat="1" ht="18.75" customHeight="1" x14ac:dyDescent="0.3">
      <c r="A113" s="132"/>
      <c r="B113" s="133"/>
      <c r="C113" s="494">
        <v>46104</v>
      </c>
      <c r="D113" s="495" t="s">
        <v>325</v>
      </c>
      <c r="E113" s="209" t="s">
        <v>163</v>
      </c>
      <c r="F113" s="496" t="s">
        <v>254</v>
      </c>
      <c r="G113" s="492" t="s">
        <v>78</v>
      </c>
      <c r="H113" s="177" t="s">
        <v>94</v>
      </c>
      <c r="I113" s="212" t="s">
        <v>214</v>
      </c>
      <c r="J113" s="497">
        <v>23.86</v>
      </c>
      <c r="K113" s="499">
        <v>43</v>
      </c>
      <c r="L113" s="498">
        <v>0.98</v>
      </c>
      <c r="M113" s="181">
        <f t="shared" si="2"/>
        <v>1005.4604</v>
      </c>
      <c r="N113" s="182">
        <f t="shared" si="3"/>
        <v>1005.4604</v>
      </c>
      <c r="O113" s="135"/>
    </row>
    <row r="114" spans="1:15" s="137" customFormat="1" ht="18.75" customHeight="1" x14ac:dyDescent="0.3">
      <c r="A114" s="132"/>
      <c r="B114" s="133"/>
      <c r="C114" s="494">
        <v>46105</v>
      </c>
      <c r="D114" s="495" t="s">
        <v>326</v>
      </c>
      <c r="E114" s="209" t="s">
        <v>163</v>
      </c>
      <c r="F114" s="496" t="s">
        <v>117</v>
      </c>
      <c r="G114" s="492" t="s">
        <v>78</v>
      </c>
      <c r="H114" s="177" t="s">
        <v>94</v>
      </c>
      <c r="I114" s="212" t="s">
        <v>214</v>
      </c>
      <c r="J114" s="497">
        <v>20.6</v>
      </c>
      <c r="K114" s="499">
        <v>44</v>
      </c>
      <c r="L114" s="498">
        <v>0.98</v>
      </c>
      <c r="M114" s="181">
        <f t="shared" si="2"/>
        <v>888.27200000000005</v>
      </c>
      <c r="N114" s="182">
        <f t="shared" si="3"/>
        <v>888.27200000000005</v>
      </c>
      <c r="O114" s="135"/>
    </row>
    <row r="115" spans="1:15" s="137" customFormat="1" ht="18.75" customHeight="1" x14ac:dyDescent="0.3">
      <c r="A115" s="132"/>
      <c r="B115" s="133"/>
      <c r="C115" s="494">
        <v>46105</v>
      </c>
      <c r="D115" s="495" t="s">
        <v>327</v>
      </c>
      <c r="E115" s="209" t="s">
        <v>163</v>
      </c>
      <c r="F115" s="496" t="s">
        <v>279</v>
      </c>
      <c r="G115" s="492" t="s">
        <v>78</v>
      </c>
      <c r="H115" s="177" t="s">
        <v>94</v>
      </c>
      <c r="I115" s="212" t="s">
        <v>214</v>
      </c>
      <c r="J115" s="497">
        <v>21</v>
      </c>
      <c r="K115" s="499">
        <v>44</v>
      </c>
      <c r="L115" s="498">
        <v>0.98</v>
      </c>
      <c r="M115" s="181">
        <f t="shared" si="2"/>
        <v>905.52</v>
      </c>
      <c r="N115" s="182">
        <f t="shared" si="3"/>
        <v>905.52</v>
      </c>
      <c r="O115" s="135"/>
    </row>
    <row r="116" spans="1:15" s="137" customFormat="1" ht="18.75" customHeight="1" x14ac:dyDescent="0.3">
      <c r="A116" s="132"/>
      <c r="B116" s="133"/>
      <c r="C116" s="494">
        <v>46105</v>
      </c>
      <c r="D116" s="495" t="s">
        <v>328</v>
      </c>
      <c r="E116" s="209" t="s">
        <v>163</v>
      </c>
      <c r="F116" s="496" t="s">
        <v>117</v>
      </c>
      <c r="G116" s="492" t="s">
        <v>78</v>
      </c>
      <c r="H116" s="177" t="s">
        <v>94</v>
      </c>
      <c r="I116" s="212" t="s">
        <v>214</v>
      </c>
      <c r="J116" s="497">
        <v>21.67</v>
      </c>
      <c r="K116" s="499">
        <v>66</v>
      </c>
      <c r="L116" s="498">
        <v>0.98</v>
      </c>
      <c r="M116" s="181">
        <f t="shared" si="2"/>
        <v>1401.6156000000001</v>
      </c>
      <c r="N116" s="182">
        <f t="shared" si="3"/>
        <v>1401.6156000000001</v>
      </c>
      <c r="O116" s="135"/>
    </row>
    <row r="117" spans="1:15" s="137" customFormat="1" ht="18.75" customHeight="1" x14ac:dyDescent="0.3">
      <c r="A117" s="132"/>
      <c r="B117" s="133"/>
      <c r="C117" s="494">
        <v>46105</v>
      </c>
      <c r="D117" s="495" t="s">
        <v>329</v>
      </c>
      <c r="E117" s="209" t="s">
        <v>163</v>
      </c>
      <c r="F117" s="496" t="s">
        <v>248</v>
      </c>
      <c r="G117" s="492" t="s">
        <v>78</v>
      </c>
      <c r="H117" s="177" t="s">
        <v>94</v>
      </c>
      <c r="I117" s="212" t="s">
        <v>214</v>
      </c>
      <c r="J117" s="497">
        <v>21.8</v>
      </c>
      <c r="K117" s="499">
        <v>44</v>
      </c>
      <c r="L117" s="498">
        <v>0.98</v>
      </c>
      <c r="M117" s="181">
        <f t="shared" si="2"/>
        <v>940.01600000000008</v>
      </c>
      <c r="N117" s="182">
        <f t="shared" si="3"/>
        <v>940.01600000000008</v>
      </c>
      <c r="O117" s="135"/>
    </row>
    <row r="118" spans="1:15" s="137" customFormat="1" ht="18.75" customHeight="1" x14ac:dyDescent="0.3">
      <c r="A118" s="132"/>
      <c r="B118" s="133"/>
      <c r="C118" s="494">
        <v>46105</v>
      </c>
      <c r="D118" s="495" t="s">
        <v>330</v>
      </c>
      <c r="E118" s="209" t="s">
        <v>163</v>
      </c>
      <c r="F118" s="496" t="s">
        <v>77</v>
      </c>
      <c r="G118" s="492" t="s">
        <v>78</v>
      </c>
      <c r="H118" s="177" t="s">
        <v>94</v>
      </c>
      <c r="I118" s="212" t="s">
        <v>214</v>
      </c>
      <c r="J118" s="497">
        <v>24.07</v>
      </c>
      <c r="K118" s="499">
        <v>44</v>
      </c>
      <c r="L118" s="498">
        <v>0.98</v>
      </c>
      <c r="M118" s="181">
        <f t="shared" si="2"/>
        <v>1037.8983999999998</v>
      </c>
      <c r="N118" s="182">
        <f t="shared" si="3"/>
        <v>1037.8983999999998</v>
      </c>
      <c r="O118" s="135"/>
    </row>
    <row r="119" spans="1:15" s="137" customFormat="1" ht="18.75" customHeight="1" x14ac:dyDescent="0.3">
      <c r="A119" s="132"/>
      <c r="B119" s="133"/>
      <c r="C119" s="494">
        <v>46105</v>
      </c>
      <c r="D119" s="495" t="s">
        <v>331</v>
      </c>
      <c r="E119" s="209" t="s">
        <v>163</v>
      </c>
      <c r="F119" s="496" t="s">
        <v>332</v>
      </c>
      <c r="G119" s="492" t="s">
        <v>78</v>
      </c>
      <c r="H119" s="177" t="s">
        <v>94</v>
      </c>
      <c r="I119" s="212" t="s">
        <v>214</v>
      </c>
      <c r="J119" s="497">
        <v>40.450000000000003</v>
      </c>
      <c r="K119" s="499">
        <v>44</v>
      </c>
      <c r="L119" s="498">
        <v>0.98</v>
      </c>
      <c r="M119" s="181">
        <f t="shared" si="2"/>
        <v>1744.2040000000002</v>
      </c>
      <c r="N119" s="182">
        <f t="shared" si="3"/>
        <v>1744.2040000000002</v>
      </c>
      <c r="O119" s="135"/>
    </row>
    <row r="120" spans="1:15" s="137" customFormat="1" ht="18.75" customHeight="1" x14ac:dyDescent="0.3">
      <c r="A120" s="132"/>
      <c r="B120" s="133"/>
      <c r="C120" s="494">
        <v>46105</v>
      </c>
      <c r="D120" s="495" t="s">
        <v>333</v>
      </c>
      <c r="E120" s="209" t="s">
        <v>163</v>
      </c>
      <c r="F120" s="496" t="s">
        <v>250</v>
      </c>
      <c r="G120" s="492" t="s">
        <v>78</v>
      </c>
      <c r="H120" s="177" t="s">
        <v>94</v>
      </c>
      <c r="I120" s="212" t="s">
        <v>214</v>
      </c>
      <c r="J120" s="497">
        <v>20.350000000000001</v>
      </c>
      <c r="K120" s="499">
        <v>66</v>
      </c>
      <c r="L120" s="498">
        <v>0.98</v>
      </c>
      <c r="M120" s="181">
        <f t="shared" si="2"/>
        <v>1316.2380000000001</v>
      </c>
      <c r="N120" s="182">
        <f t="shared" si="3"/>
        <v>1316.2380000000001</v>
      </c>
      <c r="O120" s="135"/>
    </row>
    <row r="121" spans="1:15" s="137" customFormat="1" ht="18.75" customHeight="1" x14ac:dyDescent="0.3">
      <c r="A121" s="132"/>
      <c r="B121" s="133"/>
      <c r="C121" s="494">
        <v>46105</v>
      </c>
      <c r="D121" s="495" t="s">
        <v>334</v>
      </c>
      <c r="E121" s="209" t="s">
        <v>163</v>
      </c>
      <c r="F121" s="496" t="s">
        <v>254</v>
      </c>
      <c r="G121" s="492" t="s">
        <v>78</v>
      </c>
      <c r="H121" s="177" t="s">
        <v>94</v>
      </c>
      <c r="I121" s="212" t="s">
        <v>214</v>
      </c>
      <c r="J121" s="497">
        <v>22.75</v>
      </c>
      <c r="K121" s="499">
        <v>66</v>
      </c>
      <c r="L121" s="498">
        <v>0.98</v>
      </c>
      <c r="M121" s="181">
        <f t="shared" si="2"/>
        <v>1471.47</v>
      </c>
      <c r="N121" s="182">
        <f t="shared" si="3"/>
        <v>1471.47</v>
      </c>
      <c r="O121" s="135"/>
    </row>
    <row r="122" spans="1:15" s="137" customFormat="1" ht="18.75" customHeight="1" x14ac:dyDescent="0.3">
      <c r="A122" s="132"/>
      <c r="B122" s="133"/>
      <c r="C122" s="494">
        <v>46106</v>
      </c>
      <c r="D122" s="495" t="s">
        <v>335</v>
      </c>
      <c r="E122" s="209" t="s">
        <v>163</v>
      </c>
      <c r="F122" s="496" t="s">
        <v>250</v>
      </c>
      <c r="G122" s="492" t="s">
        <v>78</v>
      </c>
      <c r="H122" s="177" t="s">
        <v>94</v>
      </c>
      <c r="I122" s="212" t="s">
        <v>214</v>
      </c>
      <c r="J122" s="497">
        <v>19.5</v>
      </c>
      <c r="K122" s="499">
        <v>66</v>
      </c>
      <c r="L122" s="498">
        <v>0.98</v>
      </c>
      <c r="M122" s="181">
        <f t="shared" si="2"/>
        <v>1261.26</v>
      </c>
      <c r="N122" s="182">
        <f t="shared" si="3"/>
        <v>1261.26</v>
      </c>
      <c r="O122" s="135"/>
    </row>
    <row r="123" spans="1:15" s="137" customFormat="1" ht="18.75" customHeight="1" x14ac:dyDescent="0.3">
      <c r="A123" s="132"/>
      <c r="B123" s="133"/>
      <c r="C123" s="494">
        <v>46106</v>
      </c>
      <c r="D123" s="495" t="s">
        <v>336</v>
      </c>
      <c r="E123" s="209" t="s">
        <v>163</v>
      </c>
      <c r="F123" s="496" t="s">
        <v>337</v>
      </c>
      <c r="G123" s="492" t="s">
        <v>78</v>
      </c>
      <c r="H123" s="177" t="s">
        <v>94</v>
      </c>
      <c r="I123" s="212" t="s">
        <v>214</v>
      </c>
      <c r="J123" s="497">
        <v>20.399999999999999</v>
      </c>
      <c r="K123" s="499">
        <v>65.8</v>
      </c>
      <c r="L123" s="498">
        <v>0.98</v>
      </c>
      <c r="M123" s="181">
        <f t="shared" si="2"/>
        <v>1315.4735999999998</v>
      </c>
      <c r="N123" s="182">
        <f t="shared" si="3"/>
        <v>1315.4735999999998</v>
      </c>
      <c r="O123" s="135"/>
    </row>
    <row r="124" spans="1:15" s="137" customFormat="1" ht="18.75" customHeight="1" x14ac:dyDescent="0.3">
      <c r="A124" s="132"/>
      <c r="B124" s="133"/>
      <c r="C124" s="494">
        <v>46106</v>
      </c>
      <c r="D124" s="495" t="s">
        <v>338</v>
      </c>
      <c r="E124" s="209" t="s">
        <v>163</v>
      </c>
      <c r="F124" s="496" t="s">
        <v>248</v>
      </c>
      <c r="G124" s="492" t="s">
        <v>78</v>
      </c>
      <c r="H124" s="177" t="s">
        <v>94</v>
      </c>
      <c r="I124" s="212" t="s">
        <v>214</v>
      </c>
      <c r="J124" s="497">
        <v>20.85</v>
      </c>
      <c r="K124" s="499">
        <v>44.2</v>
      </c>
      <c r="L124" s="498">
        <v>0.98</v>
      </c>
      <c r="M124" s="181">
        <f t="shared" si="2"/>
        <v>903.13860000000011</v>
      </c>
      <c r="N124" s="182">
        <f t="shared" si="3"/>
        <v>903.13860000000011</v>
      </c>
      <c r="O124" s="135"/>
    </row>
    <row r="125" spans="1:15" s="137" customFormat="1" ht="18.75" customHeight="1" x14ac:dyDescent="0.3">
      <c r="A125" s="132"/>
      <c r="B125" s="133"/>
      <c r="C125" s="494">
        <v>46106</v>
      </c>
      <c r="D125" s="495" t="s">
        <v>339</v>
      </c>
      <c r="E125" s="209" t="s">
        <v>163</v>
      </c>
      <c r="F125" s="496" t="s">
        <v>117</v>
      </c>
      <c r="G125" s="492" t="s">
        <v>78</v>
      </c>
      <c r="H125" s="177" t="s">
        <v>94</v>
      </c>
      <c r="I125" s="212" t="s">
        <v>214</v>
      </c>
      <c r="J125" s="497">
        <v>21.7</v>
      </c>
      <c r="K125" s="499">
        <v>44.2</v>
      </c>
      <c r="L125" s="498">
        <v>0.98</v>
      </c>
      <c r="M125" s="181">
        <f t="shared" si="2"/>
        <v>939.95719999999994</v>
      </c>
      <c r="N125" s="182">
        <f t="shared" si="3"/>
        <v>939.95719999999994</v>
      </c>
      <c r="O125" s="135"/>
    </row>
    <row r="126" spans="1:15" s="137" customFormat="1" ht="18.75" customHeight="1" x14ac:dyDescent="0.3">
      <c r="A126" s="132"/>
      <c r="B126" s="133"/>
      <c r="C126" s="494">
        <v>46106</v>
      </c>
      <c r="D126" s="495" t="s">
        <v>340</v>
      </c>
      <c r="E126" s="209" t="s">
        <v>163</v>
      </c>
      <c r="F126" s="496" t="s">
        <v>77</v>
      </c>
      <c r="G126" s="492" t="s">
        <v>78</v>
      </c>
      <c r="H126" s="177" t="s">
        <v>94</v>
      </c>
      <c r="I126" s="212" t="s">
        <v>214</v>
      </c>
      <c r="J126" s="497">
        <v>23.18</v>
      </c>
      <c r="K126" s="499">
        <v>44.2</v>
      </c>
      <c r="L126" s="498">
        <v>0.98</v>
      </c>
      <c r="M126" s="181">
        <f t="shared" si="2"/>
        <v>1004.06488</v>
      </c>
      <c r="N126" s="182">
        <f t="shared" si="3"/>
        <v>1004.06488</v>
      </c>
      <c r="O126" s="135"/>
    </row>
    <row r="127" spans="1:15" s="137" customFormat="1" ht="18.75" customHeight="1" x14ac:dyDescent="0.3">
      <c r="A127" s="132"/>
      <c r="B127" s="133"/>
      <c r="C127" s="494">
        <v>46106</v>
      </c>
      <c r="D127" s="495" t="s">
        <v>341</v>
      </c>
      <c r="E127" s="209" t="s">
        <v>163</v>
      </c>
      <c r="F127" s="496" t="s">
        <v>254</v>
      </c>
      <c r="G127" s="492" t="s">
        <v>78</v>
      </c>
      <c r="H127" s="177" t="s">
        <v>94</v>
      </c>
      <c r="I127" s="212" t="s">
        <v>214</v>
      </c>
      <c r="J127" s="497">
        <v>24.11</v>
      </c>
      <c r="K127" s="499">
        <v>65.8</v>
      </c>
      <c r="L127" s="498">
        <v>0.98</v>
      </c>
      <c r="M127" s="181">
        <f t="shared" ref="M127:M163" si="4">J127*K127*L127</f>
        <v>1554.7092399999999</v>
      </c>
      <c r="N127" s="182">
        <f t="shared" ref="N127:N163" si="5">M127</f>
        <v>1554.7092399999999</v>
      </c>
      <c r="O127" s="135"/>
    </row>
    <row r="128" spans="1:15" s="137" customFormat="1" ht="18.75" customHeight="1" x14ac:dyDescent="0.3">
      <c r="A128" s="132"/>
      <c r="B128" s="133"/>
      <c r="C128" s="494">
        <v>46106</v>
      </c>
      <c r="D128" s="495" t="s">
        <v>342</v>
      </c>
      <c r="E128" s="209" t="s">
        <v>163</v>
      </c>
      <c r="F128" s="496" t="s">
        <v>332</v>
      </c>
      <c r="G128" s="492" t="s">
        <v>78</v>
      </c>
      <c r="H128" s="177" t="s">
        <v>94</v>
      </c>
      <c r="I128" s="212" t="s">
        <v>214</v>
      </c>
      <c r="J128" s="497">
        <v>39</v>
      </c>
      <c r="K128" s="499">
        <v>44.2</v>
      </c>
      <c r="L128" s="498">
        <v>0.98</v>
      </c>
      <c r="M128" s="181">
        <f t="shared" si="4"/>
        <v>1689.3240000000001</v>
      </c>
      <c r="N128" s="182">
        <f t="shared" si="5"/>
        <v>1689.3240000000001</v>
      </c>
      <c r="O128" s="135"/>
    </row>
    <row r="129" spans="1:15" s="137" customFormat="1" ht="18.75" customHeight="1" x14ac:dyDescent="0.3">
      <c r="A129" s="132"/>
      <c r="B129" s="133"/>
      <c r="C129" s="494">
        <v>46107</v>
      </c>
      <c r="D129" s="495" t="s">
        <v>343</v>
      </c>
      <c r="E129" s="209" t="s">
        <v>163</v>
      </c>
      <c r="F129" s="496" t="s">
        <v>250</v>
      </c>
      <c r="G129" s="492" t="s">
        <v>78</v>
      </c>
      <c r="H129" s="177" t="s">
        <v>94</v>
      </c>
      <c r="I129" s="212" t="s">
        <v>214</v>
      </c>
      <c r="J129" s="497">
        <v>20.55</v>
      </c>
      <c r="K129" s="499">
        <v>43.4</v>
      </c>
      <c r="L129" s="498">
        <v>0.98</v>
      </c>
      <c r="M129" s="181">
        <f t="shared" si="4"/>
        <v>874.0326</v>
      </c>
      <c r="N129" s="182">
        <f t="shared" si="5"/>
        <v>874.0326</v>
      </c>
      <c r="O129" s="135"/>
    </row>
    <row r="130" spans="1:15" s="137" customFormat="1" ht="18.75" customHeight="1" x14ac:dyDescent="0.3">
      <c r="A130" s="132"/>
      <c r="B130" s="133"/>
      <c r="C130" s="494">
        <v>46107</v>
      </c>
      <c r="D130" s="495" t="s">
        <v>344</v>
      </c>
      <c r="E130" s="209" t="s">
        <v>163</v>
      </c>
      <c r="F130" s="496" t="s">
        <v>85</v>
      </c>
      <c r="G130" s="492" t="s">
        <v>78</v>
      </c>
      <c r="H130" s="177" t="s">
        <v>94</v>
      </c>
      <c r="I130" s="212" t="s">
        <v>214</v>
      </c>
      <c r="J130" s="497">
        <v>21.85</v>
      </c>
      <c r="K130" s="499">
        <v>44.9</v>
      </c>
      <c r="L130" s="498">
        <v>0.98</v>
      </c>
      <c r="M130" s="181">
        <f t="shared" si="4"/>
        <v>961.44370000000004</v>
      </c>
      <c r="N130" s="182">
        <f t="shared" si="5"/>
        <v>961.44370000000004</v>
      </c>
      <c r="O130" s="135"/>
    </row>
    <row r="131" spans="1:15" s="137" customFormat="1" ht="18.75" customHeight="1" x14ac:dyDescent="0.3">
      <c r="A131" s="132"/>
      <c r="B131" s="133"/>
      <c r="C131" s="494">
        <v>46107</v>
      </c>
      <c r="D131" s="495" t="s">
        <v>345</v>
      </c>
      <c r="E131" s="209" t="s">
        <v>163</v>
      </c>
      <c r="F131" s="496" t="s">
        <v>117</v>
      </c>
      <c r="G131" s="492" t="s">
        <v>78</v>
      </c>
      <c r="H131" s="177" t="s">
        <v>94</v>
      </c>
      <c r="I131" s="212" t="s">
        <v>214</v>
      </c>
      <c r="J131" s="497">
        <v>21.9</v>
      </c>
      <c r="K131" s="499">
        <v>64.7</v>
      </c>
      <c r="L131" s="498">
        <v>0.98</v>
      </c>
      <c r="M131" s="181">
        <f t="shared" si="4"/>
        <v>1388.5914</v>
      </c>
      <c r="N131" s="182">
        <f t="shared" si="5"/>
        <v>1388.5914</v>
      </c>
      <c r="O131" s="135"/>
    </row>
    <row r="132" spans="1:15" s="137" customFormat="1" ht="18.75" customHeight="1" x14ac:dyDescent="0.3">
      <c r="A132" s="132"/>
      <c r="B132" s="133"/>
      <c r="C132" s="494">
        <v>46107</v>
      </c>
      <c r="D132" s="495" t="s">
        <v>346</v>
      </c>
      <c r="E132" s="209" t="s">
        <v>163</v>
      </c>
      <c r="F132" s="496" t="s">
        <v>248</v>
      </c>
      <c r="G132" s="492" t="s">
        <v>78</v>
      </c>
      <c r="H132" s="177" t="s">
        <v>94</v>
      </c>
      <c r="I132" s="212" t="s">
        <v>214</v>
      </c>
      <c r="J132" s="497">
        <v>22.75</v>
      </c>
      <c r="K132" s="499">
        <v>64.7</v>
      </c>
      <c r="L132" s="498">
        <v>0.98</v>
      </c>
      <c r="M132" s="181">
        <f t="shared" si="4"/>
        <v>1442.4865</v>
      </c>
      <c r="N132" s="182">
        <f t="shared" si="5"/>
        <v>1442.4865</v>
      </c>
      <c r="O132" s="135"/>
    </row>
    <row r="133" spans="1:15" s="137" customFormat="1" ht="18.75" customHeight="1" x14ac:dyDescent="0.3">
      <c r="A133" s="132"/>
      <c r="B133" s="133"/>
      <c r="C133" s="494">
        <v>46107</v>
      </c>
      <c r="D133" s="495" t="s">
        <v>347</v>
      </c>
      <c r="E133" s="209" t="s">
        <v>163</v>
      </c>
      <c r="F133" s="496" t="s">
        <v>77</v>
      </c>
      <c r="G133" s="492" t="s">
        <v>78</v>
      </c>
      <c r="H133" s="177" t="s">
        <v>94</v>
      </c>
      <c r="I133" s="212" t="s">
        <v>214</v>
      </c>
      <c r="J133" s="497">
        <v>23.73</v>
      </c>
      <c r="K133" s="499">
        <v>64.7</v>
      </c>
      <c r="L133" s="498">
        <v>0.98</v>
      </c>
      <c r="M133" s="181">
        <f t="shared" si="4"/>
        <v>1504.6243800000002</v>
      </c>
      <c r="N133" s="182">
        <f t="shared" si="5"/>
        <v>1504.6243800000002</v>
      </c>
      <c r="O133" s="135"/>
    </row>
    <row r="134" spans="1:15" s="137" customFormat="1" ht="18.75" customHeight="1" x14ac:dyDescent="0.3">
      <c r="A134" s="132"/>
      <c r="B134" s="133"/>
      <c r="C134" s="494">
        <v>46107</v>
      </c>
      <c r="D134" s="495" t="s">
        <v>348</v>
      </c>
      <c r="E134" s="209" t="s">
        <v>163</v>
      </c>
      <c r="F134" s="496" t="s">
        <v>332</v>
      </c>
      <c r="G134" s="492" t="s">
        <v>78</v>
      </c>
      <c r="H134" s="177" t="s">
        <v>94</v>
      </c>
      <c r="I134" s="212" t="s">
        <v>214</v>
      </c>
      <c r="J134" s="497">
        <v>42</v>
      </c>
      <c r="K134" s="499">
        <v>44.9</v>
      </c>
      <c r="L134" s="498">
        <v>0.98</v>
      </c>
      <c r="M134" s="181">
        <f t="shared" si="4"/>
        <v>1848.0839999999998</v>
      </c>
      <c r="N134" s="182">
        <f t="shared" si="5"/>
        <v>1848.0839999999998</v>
      </c>
      <c r="O134" s="135"/>
    </row>
    <row r="135" spans="1:15" s="137" customFormat="1" ht="18.75" customHeight="1" x14ac:dyDescent="0.3">
      <c r="A135" s="132"/>
      <c r="B135" s="133"/>
      <c r="C135" s="494">
        <v>46107</v>
      </c>
      <c r="D135" s="495" t="s">
        <v>349</v>
      </c>
      <c r="E135" s="209" t="s">
        <v>163</v>
      </c>
      <c r="F135" s="496" t="s">
        <v>254</v>
      </c>
      <c r="G135" s="492" t="s">
        <v>78</v>
      </c>
      <c r="H135" s="177" t="s">
        <v>94</v>
      </c>
      <c r="I135" s="212" t="s">
        <v>214</v>
      </c>
      <c r="J135" s="497">
        <v>24.65</v>
      </c>
      <c r="K135" s="499">
        <v>44.9</v>
      </c>
      <c r="L135" s="498">
        <v>0.98</v>
      </c>
      <c r="M135" s="181">
        <f t="shared" si="4"/>
        <v>1084.6492999999998</v>
      </c>
      <c r="N135" s="182">
        <f t="shared" si="5"/>
        <v>1084.6492999999998</v>
      </c>
      <c r="O135" s="135"/>
    </row>
    <row r="136" spans="1:15" s="137" customFormat="1" ht="18.75" customHeight="1" x14ac:dyDescent="0.3">
      <c r="A136" s="132"/>
      <c r="B136" s="133"/>
      <c r="C136" s="494">
        <v>46108</v>
      </c>
      <c r="D136" s="495" t="s">
        <v>350</v>
      </c>
      <c r="E136" s="209" t="s">
        <v>163</v>
      </c>
      <c r="F136" s="496" t="s">
        <v>250</v>
      </c>
      <c r="G136" s="492" t="s">
        <v>78</v>
      </c>
      <c r="H136" s="177" t="s">
        <v>94</v>
      </c>
      <c r="I136" s="212" t="s">
        <v>214</v>
      </c>
      <c r="J136" s="497">
        <v>21.2</v>
      </c>
      <c r="K136" s="499">
        <v>44.9</v>
      </c>
      <c r="L136" s="498">
        <v>0.98</v>
      </c>
      <c r="M136" s="181">
        <f t="shared" si="4"/>
        <v>932.84239999999988</v>
      </c>
      <c r="N136" s="182">
        <f t="shared" si="5"/>
        <v>932.84239999999988</v>
      </c>
      <c r="O136" s="135"/>
    </row>
    <row r="137" spans="1:15" s="137" customFormat="1" ht="18.75" customHeight="1" x14ac:dyDescent="0.3">
      <c r="A137" s="132"/>
      <c r="B137" s="133"/>
      <c r="C137" s="494">
        <v>46108</v>
      </c>
      <c r="D137" s="495" t="s">
        <v>351</v>
      </c>
      <c r="E137" s="209" t="s">
        <v>163</v>
      </c>
      <c r="F137" s="496" t="s">
        <v>77</v>
      </c>
      <c r="G137" s="492" t="s">
        <v>78</v>
      </c>
      <c r="H137" s="177" t="s">
        <v>94</v>
      </c>
      <c r="I137" s="212" t="s">
        <v>214</v>
      </c>
      <c r="J137" s="497">
        <v>23.52</v>
      </c>
      <c r="K137" s="499">
        <v>44.9</v>
      </c>
      <c r="L137" s="498">
        <v>0.98</v>
      </c>
      <c r="M137" s="181">
        <f t="shared" si="4"/>
        <v>1034.92704</v>
      </c>
      <c r="N137" s="182">
        <f t="shared" si="5"/>
        <v>1034.92704</v>
      </c>
      <c r="O137" s="135"/>
    </row>
    <row r="138" spans="1:15" s="137" customFormat="1" ht="18.75" customHeight="1" x14ac:dyDescent="0.3">
      <c r="A138" s="132"/>
      <c r="B138" s="133"/>
      <c r="C138" s="494">
        <v>46108</v>
      </c>
      <c r="D138" s="495" t="s">
        <v>352</v>
      </c>
      <c r="E138" s="209" t="s">
        <v>163</v>
      </c>
      <c r="F138" s="496" t="s">
        <v>332</v>
      </c>
      <c r="G138" s="492" t="s">
        <v>78</v>
      </c>
      <c r="H138" s="177" t="s">
        <v>94</v>
      </c>
      <c r="I138" s="212" t="s">
        <v>214</v>
      </c>
      <c r="J138" s="497">
        <v>41.63</v>
      </c>
      <c r="K138" s="499">
        <v>44.9</v>
      </c>
      <c r="L138" s="498">
        <v>0.98</v>
      </c>
      <c r="M138" s="181">
        <f t="shared" si="4"/>
        <v>1831.8032600000001</v>
      </c>
      <c r="N138" s="182">
        <f t="shared" si="5"/>
        <v>1831.8032600000001</v>
      </c>
      <c r="O138" s="135"/>
    </row>
    <row r="139" spans="1:15" s="137" customFormat="1" ht="18.75" customHeight="1" x14ac:dyDescent="0.3">
      <c r="A139" s="132"/>
      <c r="B139" s="133"/>
      <c r="C139" s="494">
        <v>46108</v>
      </c>
      <c r="D139" s="495" t="s">
        <v>353</v>
      </c>
      <c r="E139" s="209" t="s">
        <v>163</v>
      </c>
      <c r="F139" s="496" t="s">
        <v>250</v>
      </c>
      <c r="G139" s="492" t="s">
        <v>78</v>
      </c>
      <c r="H139" s="177" t="s">
        <v>94</v>
      </c>
      <c r="I139" s="212" t="s">
        <v>214</v>
      </c>
      <c r="J139" s="497">
        <v>21.25</v>
      </c>
      <c r="K139" s="499">
        <v>44.9</v>
      </c>
      <c r="L139" s="498">
        <v>0.98</v>
      </c>
      <c r="M139" s="181">
        <f t="shared" si="4"/>
        <v>935.04250000000002</v>
      </c>
      <c r="N139" s="182">
        <f t="shared" si="5"/>
        <v>935.04250000000002</v>
      </c>
      <c r="O139" s="135"/>
    </row>
    <row r="140" spans="1:15" s="137" customFormat="1" ht="18.75" customHeight="1" x14ac:dyDescent="0.3">
      <c r="A140" s="132"/>
      <c r="B140" s="133"/>
      <c r="C140" s="494">
        <v>46108</v>
      </c>
      <c r="D140" s="495" t="s">
        <v>354</v>
      </c>
      <c r="E140" s="209" t="s">
        <v>163</v>
      </c>
      <c r="F140" s="496" t="s">
        <v>279</v>
      </c>
      <c r="G140" s="492" t="s">
        <v>78</v>
      </c>
      <c r="H140" s="177" t="s">
        <v>94</v>
      </c>
      <c r="I140" s="212" t="s">
        <v>214</v>
      </c>
      <c r="J140" s="497">
        <v>21.4</v>
      </c>
      <c r="K140" s="499">
        <v>44.9</v>
      </c>
      <c r="L140" s="498">
        <v>0.98</v>
      </c>
      <c r="M140" s="181">
        <f t="shared" si="4"/>
        <v>941.64279999999985</v>
      </c>
      <c r="N140" s="182">
        <f t="shared" si="5"/>
        <v>941.64279999999985</v>
      </c>
      <c r="O140" s="135"/>
    </row>
    <row r="141" spans="1:15" s="137" customFormat="1" ht="18.75" customHeight="1" x14ac:dyDescent="0.3">
      <c r="A141" s="132"/>
      <c r="B141" s="133"/>
      <c r="C141" s="494">
        <v>46108</v>
      </c>
      <c r="D141" s="495" t="s">
        <v>355</v>
      </c>
      <c r="E141" s="209" t="s">
        <v>163</v>
      </c>
      <c r="F141" s="496" t="s">
        <v>77</v>
      </c>
      <c r="G141" s="492" t="s">
        <v>78</v>
      </c>
      <c r="H141" s="177" t="s">
        <v>94</v>
      </c>
      <c r="I141" s="212" t="s">
        <v>214</v>
      </c>
      <c r="J141" s="497">
        <v>23.25</v>
      </c>
      <c r="K141" s="499">
        <v>44.9</v>
      </c>
      <c r="L141" s="498">
        <v>0.98</v>
      </c>
      <c r="M141" s="181">
        <f t="shared" si="4"/>
        <v>1023.0464999999999</v>
      </c>
      <c r="N141" s="182">
        <f t="shared" si="5"/>
        <v>1023.0464999999999</v>
      </c>
      <c r="O141" s="135"/>
    </row>
    <row r="142" spans="1:15" s="137" customFormat="1" ht="18.75" customHeight="1" x14ac:dyDescent="0.3">
      <c r="A142" s="132"/>
      <c r="B142" s="133"/>
      <c r="C142" s="494">
        <v>46108</v>
      </c>
      <c r="D142" s="495" t="s">
        <v>356</v>
      </c>
      <c r="E142" s="209" t="s">
        <v>163</v>
      </c>
      <c r="F142" s="496" t="s">
        <v>97</v>
      </c>
      <c r="G142" s="492" t="s">
        <v>78</v>
      </c>
      <c r="H142" s="177" t="s">
        <v>94</v>
      </c>
      <c r="I142" s="212" t="s">
        <v>214</v>
      </c>
      <c r="J142" s="497">
        <v>24.25</v>
      </c>
      <c r="K142" s="499">
        <v>44.9</v>
      </c>
      <c r="L142" s="498">
        <v>0.98</v>
      </c>
      <c r="M142" s="181">
        <f t="shared" si="4"/>
        <v>1067.0485000000001</v>
      </c>
      <c r="N142" s="182">
        <f t="shared" si="5"/>
        <v>1067.0485000000001</v>
      </c>
      <c r="O142" s="135"/>
    </row>
    <row r="143" spans="1:15" s="137" customFormat="1" ht="18.75" customHeight="1" x14ac:dyDescent="0.3">
      <c r="A143" s="132"/>
      <c r="B143" s="133"/>
      <c r="C143" s="494">
        <v>46108</v>
      </c>
      <c r="D143" s="495" t="s">
        <v>357</v>
      </c>
      <c r="E143" s="209" t="s">
        <v>163</v>
      </c>
      <c r="F143" s="496" t="s">
        <v>254</v>
      </c>
      <c r="G143" s="492" t="s">
        <v>78</v>
      </c>
      <c r="H143" s="177" t="s">
        <v>94</v>
      </c>
      <c r="I143" s="212" t="s">
        <v>214</v>
      </c>
      <c r="J143" s="497">
        <v>24.5</v>
      </c>
      <c r="K143" s="499">
        <v>44.9</v>
      </c>
      <c r="L143" s="498">
        <v>0.98</v>
      </c>
      <c r="M143" s="181">
        <f t="shared" si="4"/>
        <v>1078.049</v>
      </c>
      <c r="N143" s="182">
        <f t="shared" si="5"/>
        <v>1078.049</v>
      </c>
      <c r="O143" s="135"/>
    </row>
    <row r="144" spans="1:15" s="137" customFormat="1" ht="18.75" customHeight="1" x14ac:dyDescent="0.3">
      <c r="A144" s="132"/>
      <c r="B144" s="133"/>
      <c r="C144" s="494">
        <v>46108</v>
      </c>
      <c r="D144" s="495" t="s">
        <v>358</v>
      </c>
      <c r="E144" s="209" t="s">
        <v>163</v>
      </c>
      <c r="F144" s="496" t="s">
        <v>99</v>
      </c>
      <c r="G144" s="492" t="s">
        <v>78</v>
      </c>
      <c r="H144" s="177" t="s">
        <v>94</v>
      </c>
      <c r="I144" s="212" t="s">
        <v>214</v>
      </c>
      <c r="J144" s="497">
        <v>25.3</v>
      </c>
      <c r="K144" s="499">
        <v>44.9</v>
      </c>
      <c r="L144" s="498">
        <v>0.98</v>
      </c>
      <c r="M144" s="181">
        <f t="shared" si="4"/>
        <v>1113.2506000000001</v>
      </c>
      <c r="N144" s="182">
        <f t="shared" si="5"/>
        <v>1113.2506000000001</v>
      </c>
      <c r="O144" s="135"/>
    </row>
    <row r="145" spans="1:15" s="137" customFormat="1" ht="18.75" customHeight="1" x14ac:dyDescent="0.3">
      <c r="A145" s="132"/>
      <c r="B145" s="133"/>
      <c r="C145" s="494">
        <v>46108</v>
      </c>
      <c r="D145" s="495" t="s">
        <v>359</v>
      </c>
      <c r="E145" s="209" t="s">
        <v>163</v>
      </c>
      <c r="F145" s="496" t="s">
        <v>254</v>
      </c>
      <c r="G145" s="492" t="s">
        <v>78</v>
      </c>
      <c r="H145" s="177" t="s">
        <v>94</v>
      </c>
      <c r="I145" s="212" t="s">
        <v>214</v>
      </c>
      <c r="J145" s="497">
        <v>25.52</v>
      </c>
      <c r="K145" s="499">
        <v>44.9</v>
      </c>
      <c r="L145" s="498">
        <v>0.98</v>
      </c>
      <c r="M145" s="181">
        <f t="shared" si="4"/>
        <v>1122.9310399999999</v>
      </c>
      <c r="N145" s="182">
        <f t="shared" si="5"/>
        <v>1122.9310399999999</v>
      </c>
      <c r="O145" s="135"/>
    </row>
    <row r="146" spans="1:15" s="137" customFormat="1" ht="18.75" customHeight="1" x14ac:dyDescent="0.3">
      <c r="A146" s="132"/>
      <c r="B146" s="133"/>
      <c r="C146" s="494">
        <v>46108</v>
      </c>
      <c r="D146" s="495" t="s">
        <v>360</v>
      </c>
      <c r="E146" s="209" t="s">
        <v>163</v>
      </c>
      <c r="F146" s="496" t="s">
        <v>101</v>
      </c>
      <c r="G146" s="492" t="s">
        <v>78</v>
      </c>
      <c r="H146" s="177" t="s">
        <v>94</v>
      </c>
      <c r="I146" s="212" t="s">
        <v>214</v>
      </c>
      <c r="J146" s="497">
        <v>30.75</v>
      </c>
      <c r="K146" s="499">
        <v>44.9</v>
      </c>
      <c r="L146" s="498">
        <v>0.98</v>
      </c>
      <c r="M146" s="181">
        <f t="shared" si="4"/>
        <v>1353.0615</v>
      </c>
      <c r="N146" s="182">
        <f t="shared" si="5"/>
        <v>1353.0615</v>
      </c>
      <c r="O146" s="135"/>
    </row>
    <row r="147" spans="1:15" s="137" customFormat="1" ht="18.75" customHeight="1" x14ac:dyDescent="0.3">
      <c r="A147" s="132"/>
      <c r="B147" s="133"/>
      <c r="C147" s="494">
        <v>46108</v>
      </c>
      <c r="D147" s="495" t="s">
        <v>361</v>
      </c>
      <c r="E147" s="209" t="s">
        <v>163</v>
      </c>
      <c r="F147" s="496" t="s">
        <v>362</v>
      </c>
      <c r="G147" s="492" t="s">
        <v>78</v>
      </c>
      <c r="H147" s="177" t="s">
        <v>94</v>
      </c>
      <c r="I147" s="212" t="s">
        <v>214</v>
      </c>
      <c r="J147" s="497">
        <v>39.299999999999997</v>
      </c>
      <c r="K147" s="499">
        <v>44.9</v>
      </c>
      <c r="L147" s="498">
        <v>0.98</v>
      </c>
      <c r="M147" s="181">
        <f t="shared" si="4"/>
        <v>1729.2785999999996</v>
      </c>
      <c r="N147" s="182">
        <f t="shared" si="5"/>
        <v>1729.2785999999996</v>
      </c>
      <c r="O147" s="135"/>
    </row>
    <row r="148" spans="1:15" s="137" customFormat="1" ht="18.75" customHeight="1" x14ac:dyDescent="0.3">
      <c r="A148" s="132"/>
      <c r="B148" s="133"/>
      <c r="C148" s="494">
        <v>46109</v>
      </c>
      <c r="D148" s="495" t="s">
        <v>363</v>
      </c>
      <c r="E148" s="209" t="s">
        <v>163</v>
      </c>
      <c r="F148" s="496" t="s">
        <v>250</v>
      </c>
      <c r="G148" s="492" t="s">
        <v>78</v>
      </c>
      <c r="H148" s="177" t="s">
        <v>94</v>
      </c>
      <c r="I148" s="212" t="s">
        <v>214</v>
      </c>
      <c r="J148" s="497">
        <v>21</v>
      </c>
      <c r="K148" s="499">
        <v>46.2</v>
      </c>
      <c r="L148" s="498">
        <v>0.98</v>
      </c>
      <c r="M148" s="181">
        <f t="shared" si="4"/>
        <v>950.79600000000005</v>
      </c>
      <c r="N148" s="182">
        <f t="shared" si="5"/>
        <v>950.79600000000005</v>
      </c>
      <c r="O148" s="135"/>
    </row>
    <row r="149" spans="1:15" s="137" customFormat="1" ht="18.75" customHeight="1" x14ac:dyDescent="0.3">
      <c r="A149" s="132"/>
      <c r="B149" s="133"/>
      <c r="C149" s="494">
        <v>46109</v>
      </c>
      <c r="D149" s="495" t="s">
        <v>364</v>
      </c>
      <c r="E149" s="209" t="s">
        <v>163</v>
      </c>
      <c r="F149" s="496" t="s">
        <v>83</v>
      </c>
      <c r="G149" s="492" t="s">
        <v>78</v>
      </c>
      <c r="H149" s="177" t="s">
        <v>94</v>
      </c>
      <c r="I149" s="212" t="s">
        <v>214</v>
      </c>
      <c r="J149" s="497">
        <v>21.57</v>
      </c>
      <c r="K149" s="499">
        <v>46.2</v>
      </c>
      <c r="L149" s="498">
        <v>0.98</v>
      </c>
      <c r="M149" s="181">
        <f t="shared" si="4"/>
        <v>976.60332000000005</v>
      </c>
      <c r="N149" s="182">
        <f t="shared" si="5"/>
        <v>976.60332000000005</v>
      </c>
      <c r="O149" s="135"/>
    </row>
    <row r="150" spans="1:15" s="137" customFormat="1" ht="18.75" customHeight="1" x14ac:dyDescent="0.3">
      <c r="A150" s="132"/>
      <c r="B150" s="133"/>
      <c r="C150" s="494">
        <v>46109</v>
      </c>
      <c r="D150" s="495" t="s">
        <v>365</v>
      </c>
      <c r="E150" s="209" t="s">
        <v>163</v>
      </c>
      <c r="F150" s="496" t="s">
        <v>77</v>
      </c>
      <c r="G150" s="492" t="s">
        <v>78</v>
      </c>
      <c r="H150" s="177" t="s">
        <v>94</v>
      </c>
      <c r="I150" s="212" t="s">
        <v>214</v>
      </c>
      <c r="J150" s="497">
        <v>23.25</v>
      </c>
      <c r="K150" s="499">
        <v>46.2</v>
      </c>
      <c r="L150" s="498">
        <v>0.98</v>
      </c>
      <c r="M150" s="181">
        <f t="shared" si="4"/>
        <v>1052.6670000000001</v>
      </c>
      <c r="N150" s="182">
        <f t="shared" si="5"/>
        <v>1052.6670000000001</v>
      </c>
      <c r="O150" s="135"/>
    </row>
    <row r="151" spans="1:15" s="137" customFormat="1" ht="18.75" customHeight="1" x14ac:dyDescent="0.3">
      <c r="A151" s="132"/>
      <c r="B151" s="133"/>
      <c r="C151" s="494">
        <v>46109</v>
      </c>
      <c r="D151" s="495" t="s">
        <v>366</v>
      </c>
      <c r="E151" s="209" t="s">
        <v>163</v>
      </c>
      <c r="F151" s="496" t="s">
        <v>85</v>
      </c>
      <c r="G151" s="492" t="s">
        <v>78</v>
      </c>
      <c r="H151" s="177" t="s">
        <v>94</v>
      </c>
      <c r="I151" s="212" t="s">
        <v>214</v>
      </c>
      <c r="J151" s="497">
        <v>23.76</v>
      </c>
      <c r="K151" s="499">
        <v>46.2</v>
      </c>
      <c r="L151" s="498">
        <v>0.98</v>
      </c>
      <c r="M151" s="181">
        <f t="shared" si="4"/>
        <v>1075.7577600000002</v>
      </c>
      <c r="N151" s="182">
        <f t="shared" si="5"/>
        <v>1075.7577600000002</v>
      </c>
      <c r="O151" s="135"/>
    </row>
    <row r="152" spans="1:15" s="137" customFormat="1" ht="18.75" customHeight="1" x14ac:dyDescent="0.3">
      <c r="A152" s="132"/>
      <c r="B152" s="133"/>
      <c r="C152" s="494">
        <v>46109</v>
      </c>
      <c r="D152" s="495" t="s">
        <v>367</v>
      </c>
      <c r="E152" s="209" t="s">
        <v>163</v>
      </c>
      <c r="F152" s="496" t="s">
        <v>131</v>
      </c>
      <c r="G152" s="492" t="s">
        <v>78</v>
      </c>
      <c r="H152" s="177" t="s">
        <v>94</v>
      </c>
      <c r="I152" s="212" t="s">
        <v>214</v>
      </c>
      <c r="J152" s="497">
        <v>26.3</v>
      </c>
      <c r="K152" s="499">
        <v>46.2</v>
      </c>
      <c r="L152" s="498">
        <v>0.98</v>
      </c>
      <c r="M152" s="181">
        <f t="shared" si="4"/>
        <v>1190.7588000000001</v>
      </c>
      <c r="N152" s="182">
        <f t="shared" si="5"/>
        <v>1190.7588000000001</v>
      </c>
      <c r="O152" s="135"/>
    </row>
    <row r="153" spans="1:15" s="137" customFormat="1" ht="18.75" customHeight="1" x14ac:dyDescent="0.3">
      <c r="A153" s="132"/>
      <c r="B153" s="133"/>
      <c r="C153" s="494">
        <v>46109</v>
      </c>
      <c r="D153" s="495" t="s">
        <v>368</v>
      </c>
      <c r="E153" s="209" t="s">
        <v>163</v>
      </c>
      <c r="F153" s="496" t="s">
        <v>332</v>
      </c>
      <c r="G153" s="492" t="s">
        <v>78</v>
      </c>
      <c r="H153" s="177" t="s">
        <v>94</v>
      </c>
      <c r="I153" s="212" t="s">
        <v>214</v>
      </c>
      <c r="J153" s="497">
        <v>40.85</v>
      </c>
      <c r="K153" s="499">
        <v>46.2</v>
      </c>
      <c r="L153" s="498">
        <v>0.98</v>
      </c>
      <c r="M153" s="181">
        <f t="shared" si="4"/>
        <v>1849.5246000000002</v>
      </c>
      <c r="N153" s="182">
        <f t="shared" si="5"/>
        <v>1849.5246000000002</v>
      </c>
      <c r="O153" s="135"/>
    </row>
    <row r="154" spans="1:15" s="137" customFormat="1" ht="18.75" customHeight="1" x14ac:dyDescent="0.3">
      <c r="A154" s="132"/>
      <c r="B154" s="133"/>
      <c r="C154" s="494">
        <v>46111</v>
      </c>
      <c r="D154" s="495" t="s">
        <v>369</v>
      </c>
      <c r="E154" s="209" t="s">
        <v>163</v>
      </c>
      <c r="F154" s="496" t="s">
        <v>250</v>
      </c>
      <c r="G154" s="492" t="s">
        <v>78</v>
      </c>
      <c r="H154" s="177" t="s">
        <v>94</v>
      </c>
      <c r="I154" s="212" t="s">
        <v>214</v>
      </c>
      <c r="J154" s="497">
        <v>20.399999999999999</v>
      </c>
      <c r="K154" s="499">
        <v>46.2</v>
      </c>
      <c r="L154" s="498">
        <v>0.98</v>
      </c>
      <c r="M154" s="181">
        <f t="shared" si="4"/>
        <v>923.63040000000001</v>
      </c>
      <c r="N154" s="182">
        <f t="shared" si="5"/>
        <v>923.63040000000001</v>
      </c>
      <c r="O154" s="135"/>
    </row>
    <row r="155" spans="1:15" s="137" customFormat="1" ht="18.75" customHeight="1" x14ac:dyDescent="0.3">
      <c r="A155" s="132"/>
      <c r="B155" s="133"/>
      <c r="C155" s="494">
        <v>46111</v>
      </c>
      <c r="D155" s="495" t="s">
        <v>370</v>
      </c>
      <c r="E155" s="209" t="s">
        <v>163</v>
      </c>
      <c r="F155" s="496" t="s">
        <v>83</v>
      </c>
      <c r="G155" s="492" t="s">
        <v>78</v>
      </c>
      <c r="H155" s="177" t="s">
        <v>94</v>
      </c>
      <c r="I155" s="212" t="s">
        <v>214</v>
      </c>
      <c r="J155" s="497">
        <v>20.58</v>
      </c>
      <c r="K155" s="499">
        <v>46.2</v>
      </c>
      <c r="L155" s="498">
        <v>0.98</v>
      </c>
      <c r="M155" s="181">
        <f t="shared" si="4"/>
        <v>931.78007999999988</v>
      </c>
      <c r="N155" s="182">
        <f t="shared" si="5"/>
        <v>931.78007999999988</v>
      </c>
      <c r="O155" s="135"/>
    </row>
    <row r="156" spans="1:15" s="137" customFormat="1" ht="18.75" customHeight="1" x14ac:dyDescent="0.3">
      <c r="A156" s="132"/>
      <c r="B156" s="133"/>
      <c r="C156" s="494">
        <v>46111</v>
      </c>
      <c r="D156" s="495" t="s">
        <v>371</v>
      </c>
      <c r="E156" s="209" t="s">
        <v>163</v>
      </c>
      <c r="F156" s="496" t="s">
        <v>117</v>
      </c>
      <c r="G156" s="492" t="s">
        <v>78</v>
      </c>
      <c r="H156" s="177" t="s">
        <v>94</v>
      </c>
      <c r="I156" s="212" t="s">
        <v>214</v>
      </c>
      <c r="J156" s="497">
        <v>20.95</v>
      </c>
      <c r="K156" s="499">
        <v>46.2</v>
      </c>
      <c r="L156" s="498">
        <v>0.98</v>
      </c>
      <c r="M156" s="181">
        <f t="shared" si="4"/>
        <v>948.53219999999999</v>
      </c>
      <c r="N156" s="182">
        <f t="shared" si="5"/>
        <v>948.53219999999999</v>
      </c>
      <c r="O156" s="135"/>
    </row>
    <row r="157" spans="1:15" s="137" customFormat="1" ht="18.75" customHeight="1" x14ac:dyDescent="0.3">
      <c r="A157" s="132"/>
      <c r="B157" s="133"/>
      <c r="C157" s="494">
        <v>46111</v>
      </c>
      <c r="D157" s="495" t="s">
        <v>372</v>
      </c>
      <c r="E157" s="209" t="s">
        <v>163</v>
      </c>
      <c r="F157" s="496" t="s">
        <v>85</v>
      </c>
      <c r="G157" s="492" t="s">
        <v>78</v>
      </c>
      <c r="H157" s="177" t="s">
        <v>94</v>
      </c>
      <c r="I157" s="212" t="s">
        <v>214</v>
      </c>
      <c r="J157" s="497">
        <v>21.5</v>
      </c>
      <c r="K157" s="499">
        <v>46.2</v>
      </c>
      <c r="L157" s="498">
        <v>0.98</v>
      </c>
      <c r="M157" s="181">
        <f t="shared" si="4"/>
        <v>973.43400000000008</v>
      </c>
      <c r="N157" s="182">
        <f t="shared" si="5"/>
        <v>973.43400000000008</v>
      </c>
      <c r="O157" s="135"/>
    </row>
    <row r="158" spans="1:15" s="137" customFormat="1" ht="18.75" customHeight="1" x14ac:dyDescent="0.3">
      <c r="A158" s="132"/>
      <c r="B158" s="133"/>
      <c r="C158" s="494">
        <v>46111</v>
      </c>
      <c r="D158" s="495" t="s">
        <v>373</v>
      </c>
      <c r="E158" s="209" t="s">
        <v>163</v>
      </c>
      <c r="F158" s="496" t="s">
        <v>77</v>
      </c>
      <c r="G158" s="492" t="s">
        <v>78</v>
      </c>
      <c r="H158" s="177" t="s">
        <v>94</v>
      </c>
      <c r="I158" s="212" t="s">
        <v>214</v>
      </c>
      <c r="J158" s="497">
        <v>21.95</v>
      </c>
      <c r="K158" s="499">
        <v>46.2</v>
      </c>
      <c r="L158" s="498">
        <v>0.98</v>
      </c>
      <c r="M158" s="181">
        <f t="shared" si="4"/>
        <v>993.80820000000006</v>
      </c>
      <c r="N158" s="182">
        <f t="shared" si="5"/>
        <v>993.80820000000006</v>
      </c>
      <c r="O158" s="135"/>
    </row>
    <row r="159" spans="1:15" s="137" customFormat="1" ht="18.75" customHeight="1" x14ac:dyDescent="0.3">
      <c r="A159" s="132"/>
      <c r="B159" s="133"/>
      <c r="C159" s="494">
        <v>46111</v>
      </c>
      <c r="D159" s="495" t="s">
        <v>374</v>
      </c>
      <c r="E159" s="209" t="s">
        <v>163</v>
      </c>
      <c r="F159" s="496" t="s">
        <v>248</v>
      </c>
      <c r="G159" s="492" t="s">
        <v>78</v>
      </c>
      <c r="H159" s="177" t="s">
        <v>94</v>
      </c>
      <c r="I159" s="212" t="s">
        <v>214</v>
      </c>
      <c r="J159" s="497">
        <v>22.35</v>
      </c>
      <c r="K159" s="499">
        <v>46.2</v>
      </c>
      <c r="L159" s="498">
        <v>0.98</v>
      </c>
      <c r="M159" s="181">
        <f t="shared" si="4"/>
        <v>1011.9186000000002</v>
      </c>
      <c r="N159" s="182">
        <f t="shared" si="5"/>
        <v>1011.9186000000002</v>
      </c>
      <c r="O159" s="135"/>
    </row>
    <row r="160" spans="1:15" s="137" customFormat="1" ht="18.75" customHeight="1" x14ac:dyDescent="0.3">
      <c r="A160" s="132"/>
      <c r="B160" s="133"/>
      <c r="C160" s="494">
        <v>46111</v>
      </c>
      <c r="D160" s="495" t="s">
        <v>375</v>
      </c>
      <c r="E160" s="209" t="s">
        <v>163</v>
      </c>
      <c r="F160" s="496" t="s">
        <v>127</v>
      </c>
      <c r="G160" s="492" t="s">
        <v>78</v>
      </c>
      <c r="H160" s="177" t="s">
        <v>94</v>
      </c>
      <c r="I160" s="212" t="s">
        <v>214</v>
      </c>
      <c r="J160" s="497">
        <v>22.48</v>
      </c>
      <c r="K160" s="499">
        <v>46.2</v>
      </c>
      <c r="L160" s="498">
        <v>0.98</v>
      </c>
      <c r="M160" s="181">
        <f t="shared" si="4"/>
        <v>1017.80448</v>
      </c>
      <c r="N160" s="182">
        <f t="shared" si="5"/>
        <v>1017.80448</v>
      </c>
      <c r="O160" s="135"/>
    </row>
    <row r="161" spans="1:15" s="137" customFormat="1" ht="18.75" customHeight="1" x14ac:dyDescent="0.3">
      <c r="A161" s="132"/>
      <c r="B161" s="133"/>
      <c r="C161" s="494">
        <v>46111</v>
      </c>
      <c r="D161" s="495" t="s">
        <v>376</v>
      </c>
      <c r="E161" s="209" t="s">
        <v>163</v>
      </c>
      <c r="F161" s="496" t="s">
        <v>254</v>
      </c>
      <c r="G161" s="492" t="s">
        <v>78</v>
      </c>
      <c r="H161" s="177" t="s">
        <v>94</v>
      </c>
      <c r="I161" s="212" t="s">
        <v>214</v>
      </c>
      <c r="J161" s="497">
        <v>24.35</v>
      </c>
      <c r="K161" s="499">
        <v>46.2</v>
      </c>
      <c r="L161" s="498">
        <v>0.98</v>
      </c>
      <c r="M161" s="181">
        <f t="shared" si="4"/>
        <v>1102.4706000000001</v>
      </c>
      <c r="N161" s="182">
        <f t="shared" si="5"/>
        <v>1102.4706000000001</v>
      </c>
      <c r="O161" s="135"/>
    </row>
    <row r="162" spans="1:15" s="137" customFormat="1" ht="18.75" customHeight="1" x14ac:dyDescent="0.3">
      <c r="A162" s="132"/>
      <c r="B162" s="133"/>
      <c r="C162" s="494">
        <v>46111</v>
      </c>
      <c r="D162" s="495" t="s">
        <v>377</v>
      </c>
      <c r="E162" s="209" t="s">
        <v>163</v>
      </c>
      <c r="F162" s="496" t="s">
        <v>131</v>
      </c>
      <c r="G162" s="492" t="s">
        <v>78</v>
      </c>
      <c r="H162" s="177" t="s">
        <v>94</v>
      </c>
      <c r="I162" s="212" t="s">
        <v>214</v>
      </c>
      <c r="J162" s="497">
        <v>25.79</v>
      </c>
      <c r="K162" s="499">
        <v>46.2</v>
      </c>
      <c r="L162" s="498">
        <v>0.98</v>
      </c>
      <c r="M162" s="181">
        <f t="shared" si="4"/>
        <v>1167.66804</v>
      </c>
      <c r="N162" s="182">
        <f t="shared" si="5"/>
        <v>1167.66804</v>
      </c>
      <c r="O162" s="135"/>
    </row>
    <row r="163" spans="1:15" s="137" customFormat="1" ht="18.75" customHeight="1" x14ac:dyDescent="0.3">
      <c r="A163" s="132"/>
      <c r="B163" s="133"/>
      <c r="C163" s="494">
        <v>46111</v>
      </c>
      <c r="D163" s="495" t="s">
        <v>378</v>
      </c>
      <c r="E163" s="209" t="s">
        <v>163</v>
      </c>
      <c r="F163" s="496" t="s">
        <v>332</v>
      </c>
      <c r="G163" s="492" t="s">
        <v>78</v>
      </c>
      <c r="H163" s="177" t="s">
        <v>94</v>
      </c>
      <c r="I163" s="212" t="s">
        <v>214</v>
      </c>
      <c r="J163" s="497">
        <v>39.15</v>
      </c>
      <c r="K163" s="499">
        <v>46.2</v>
      </c>
      <c r="L163" s="498">
        <v>0.98</v>
      </c>
      <c r="M163" s="181">
        <f t="shared" si="4"/>
        <v>1772.5554</v>
      </c>
      <c r="N163" s="182">
        <f t="shared" si="5"/>
        <v>1772.5554</v>
      </c>
      <c r="O163" s="135"/>
    </row>
    <row r="164" spans="1:15" s="137" customFormat="1" ht="18.75" customHeight="1" x14ac:dyDescent="0.3">
      <c r="A164" s="132"/>
      <c r="B164" s="133"/>
      <c r="C164" s="494"/>
      <c r="D164" s="495"/>
      <c r="E164" s="500"/>
      <c r="F164" s="496"/>
      <c r="G164" s="501"/>
      <c r="H164" s="502"/>
      <c r="I164" s="212"/>
      <c r="J164" s="497"/>
      <c r="K164" s="499"/>
      <c r="L164" s="498"/>
      <c r="M164" s="193"/>
      <c r="N164" s="515"/>
      <c r="O164" s="135"/>
    </row>
    <row r="165" spans="1:15" s="137" customFormat="1" ht="18.75" customHeight="1" thickBot="1" x14ac:dyDescent="0.35">
      <c r="A165" s="132"/>
      <c r="B165" s="133"/>
      <c r="C165" s="379"/>
      <c r="D165" s="503"/>
      <c r="E165" s="246"/>
      <c r="F165" s="504"/>
      <c r="G165" s="505"/>
      <c r="H165" s="249"/>
      <c r="I165" s="250"/>
      <c r="J165" s="506"/>
      <c r="K165" s="252"/>
      <c r="L165" s="253"/>
      <c r="M165" s="254"/>
      <c r="N165" s="255"/>
      <c r="O165" s="135"/>
    </row>
    <row r="166" spans="1:15" s="137" customFormat="1" ht="18.75" customHeight="1" thickBot="1" x14ac:dyDescent="0.35">
      <c r="A166" s="132"/>
      <c r="B166" s="133"/>
      <c r="C166" s="256"/>
      <c r="D166" s="257"/>
      <c r="E166" s="258"/>
      <c r="F166" s="257"/>
      <c r="G166" s="259"/>
      <c r="H166" s="260"/>
      <c r="I166" s="261"/>
      <c r="J166" s="507">
        <f>SUM(J10:J163)</f>
        <v>3701.5700000000015</v>
      </c>
      <c r="K166" s="508">
        <f>M166/J166/L166</f>
        <v>48.715924719812463</v>
      </c>
      <c r="L166" s="509">
        <v>0.86</v>
      </c>
      <c r="M166" s="510">
        <f>SUM(M10:M165)</f>
        <v>155079.8487</v>
      </c>
      <c r="N166" s="511">
        <f>J166*K166*L166</f>
        <v>155079.8487</v>
      </c>
      <c r="O166" s="135"/>
    </row>
    <row r="167" spans="1:15" s="137" customFormat="1" ht="18.75" customHeight="1" thickBot="1" x14ac:dyDescent="0.35">
      <c r="A167" s="132"/>
      <c r="B167" s="133"/>
      <c r="C167" s="605" t="s">
        <v>420</v>
      </c>
      <c r="D167" s="606"/>
      <c r="E167" s="606"/>
      <c r="F167" s="606"/>
      <c r="G167" s="606"/>
      <c r="H167" s="606"/>
      <c r="I167" s="606"/>
      <c r="J167" s="606"/>
      <c r="K167" s="606"/>
      <c r="L167" s="606"/>
      <c r="M167" s="606"/>
      <c r="N167" s="607"/>
      <c r="O167" s="271"/>
    </row>
    <row r="168" spans="1:15" s="137" customFormat="1" ht="18.75" customHeight="1" x14ac:dyDescent="0.3">
      <c r="A168" s="132"/>
      <c r="B168" s="133"/>
      <c r="C168" s="561"/>
      <c r="D168" s="166"/>
      <c r="E168" s="562"/>
      <c r="F168" s="166"/>
      <c r="G168" s="432"/>
      <c r="H168" s="563"/>
      <c r="I168" s="564"/>
      <c r="J168" s="565"/>
      <c r="K168" s="566"/>
      <c r="L168" s="567"/>
      <c r="M168" s="565"/>
      <c r="N168" s="568"/>
      <c r="O168" s="271"/>
    </row>
    <row r="169" spans="1:15" s="137" customFormat="1" ht="18.75" customHeight="1" x14ac:dyDescent="0.3">
      <c r="A169" s="132"/>
      <c r="B169" s="133"/>
      <c r="C169" s="569">
        <v>46086</v>
      </c>
      <c r="D169" s="176"/>
      <c r="E169" s="209" t="s">
        <v>163</v>
      </c>
      <c r="F169" s="496" t="s">
        <v>131</v>
      </c>
      <c r="G169" s="168"/>
      <c r="H169" s="304" t="s">
        <v>421</v>
      </c>
      <c r="I169" s="557"/>
      <c r="J169" s="558"/>
      <c r="K169" s="559">
        <v>2</v>
      </c>
      <c r="L169" s="560">
        <v>156.25</v>
      </c>
      <c r="M169" s="558">
        <f>K169*L169</f>
        <v>312.5</v>
      </c>
      <c r="N169" s="570">
        <f>L169*K169</f>
        <v>312.5</v>
      </c>
      <c r="O169" s="271"/>
    </row>
    <row r="170" spans="1:15" s="137" customFormat="1" ht="18.75" customHeight="1" x14ac:dyDescent="0.3">
      <c r="A170" s="132"/>
      <c r="B170" s="133"/>
      <c r="C170" s="569">
        <v>46085</v>
      </c>
      <c r="D170" s="176"/>
      <c r="E170" s="209" t="s">
        <v>163</v>
      </c>
      <c r="F170" s="496" t="s">
        <v>83</v>
      </c>
      <c r="G170" s="168"/>
      <c r="H170" s="304" t="s">
        <v>421</v>
      </c>
      <c r="I170" s="557"/>
      <c r="J170" s="558"/>
      <c r="K170" s="559">
        <v>8</v>
      </c>
      <c r="L170" s="560">
        <v>156.25</v>
      </c>
      <c r="M170" s="558">
        <f t="shared" ref="M170:M171" si="6">K170*L170</f>
        <v>1250</v>
      </c>
      <c r="N170" s="570">
        <f t="shared" ref="N170:N171" si="7">L170*K170</f>
        <v>1250</v>
      </c>
      <c r="O170" s="271"/>
    </row>
    <row r="171" spans="1:15" s="137" customFormat="1" ht="18.75" customHeight="1" x14ac:dyDescent="0.3">
      <c r="A171" s="132"/>
      <c r="B171" s="133"/>
      <c r="C171" s="569">
        <v>46094</v>
      </c>
      <c r="D171" s="176"/>
      <c r="E171" s="209" t="s">
        <v>163</v>
      </c>
      <c r="F171" s="496" t="s">
        <v>77</v>
      </c>
      <c r="G171" s="168"/>
      <c r="H171" s="304" t="s">
        <v>421</v>
      </c>
      <c r="I171" s="557"/>
      <c r="J171" s="558"/>
      <c r="K171" s="559">
        <v>8</v>
      </c>
      <c r="L171" s="560">
        <v>156.25</v>
      </c>
      <c r="M171" s="558">
        <f t="shared" si="6"/>
        <v>1250</v>
      </c>
      <c r="N171" s="570">
        <f t="shared" si="7"/>
        <v>1250</v>
      </c>
      <c r="O171" s="271"/>
    </row>
    <row r="172" spans="1:15" s="137" customFormat="1" ht="18.75" customHeight="1" x14ac:dyDescent="0.3">
      <c r="A172" s="132"/>
      <c r="B172" s="133"/>
      <c r="C172" s="569"/>
      <c r="D172" s="176"/>
      <c r="E172" s="556"/>
      <c r="F172" s="176"/>
      <c r="G172" s="168"/>
      <c r="H172" s="304"/>
      <c r="I172" s="557"/>
      <c r="J172" s="558"/>
      <c r="K172" s="559"/>
      <c r="L172" s="560"/>
      <c r="M172" s="558"/>
      <c r="N172" s="570"/>
      <c r="O172" s="271"/>
    </row>
    <row r="173" spans="1:15" s="137" customFormat="1" ht="18.75" customHeight="1" x14ac:dyDescent="0.3">
      <c r="A173" s="132"/>
      <c r="B173" s="133"/>
      <c r="C173" s="569"/>
      <c r="D173" s="176"/>
      <c r="E173" s="556"/>
      <c r="F173" s="176"/>
      <c r="G173" s="168"/>
      <c r="H173" s="304"/>
      <c r="I173" s="557"/>
      <c r="J173" s="558"/>
      <c r="K173" s="559"/>
      <c r="L173" s="560"/>
      <c r="M173" s="558"/>
      <c r="N173" s="570"/>
      <c r="O173" s="271"/>
    </row>
    <row r="174" spans="1:15" s="137" customFormat="1" ht="18.75" customHeight="1" x14ac:dyDescent="0.3">
      <c r="A174" s="132"/>
      <c r="B174" s="133"/>
      <c r="C174" s="569"/>
      <c r="D174" s="176"/>
      <c r="E174" s="556"/>
      <c r="F174" s="176"/>
      <c r="G174" s="168"/>
      <c r="H174" s="304"/>
      <c r="I174" s="557"/>
      <c r="J174" s="558"/>
      <c r="K174" s="559"/>
      <c r="L174" s="560"/>
      <c r="M174" s="558"/>
      <c r="N174" s="570"/>
      <c r="O174" s="271"/>
    </row>
    <row r="175" spans="1:15" s="137" customFormat="1" ht="18.75" customHeight="1" x14ac:dyDescent="0.3">
      <c r="A175" s="132"/>
      <c r="B175" s="133"/>
      <c r="C175" s="569"/>
      <c r="D175" s="176"/>
      <c r="E175" s="556"/>
      <c r="F175" s="176"/>
      <c r="G175" s="168"/>
      <c r="H175" s="304"/>
      <c r="I175" s="557"/>
      <c r="J175" s="558"/>
      <c r="K175" s="559"/>
      <c r="L175" s="560"/>
      <c r="M175" s="558"/>
      <c r="N175" s="570"/>
      <c r="O175" s="271"/>
    </row>
    <row r="176" spans="1:15" s="137" customFormat="1" ht="18.75" customHeight="1" x14ac:dyDescent="0.3">
      <c r="A176" s="132"/>
      <c r="B176" s="133"/>
      <c r="C176" s="569"/>
      <c r="D176" s="176"/>
      <c r="E176" s="556"/>
      <c r="F176" s="176"/>
      <c r="G176" s="168"/>
      <c r="H176" s="304"/>
      <c r="I176" s="557"/>
      <c r="J176" s="558"/>
      <c r="K176" s="559"/>
      <c r="L176" s="560"/>
      <c r="M176" s="558"/>
      <c r="N176" s="570"/>
      <c r="O176" s="271"/>
    </row>
    <row r="177" spans="1:15" s="137" customFormat="1" ht="18.75" customHeight="1" thickBot="1" x14ac:dyDescent="0.35">
      <c r="A177" s="132"/>
      <c r="B177" s="133"/>
      <c r="C177" s="571"/>
      <c r="D177" s="246"/>
      <c r="E177" s="572"/>
      <c r="F177" s="246"/>
      <c r="G177" s="248"/>
      <c r="H177" s="312"/>
      <c r="I177" s="573"/>
      <c r="J177" s="574"/>
      <c r="K177" s="575"/>
      <c r="L177" s="576"/>
      <c r="M177" s="574"/>
      <c r="N177" s="577"/>
      <c r="O177" s="271"/>
    </row>
    <row r="178" spans="1:15" s="137" customFormat="1" ht="18.75" customHeight="1" thickBot="1" x14ac:dyDescent="0.35">
      <c r="A178" s="132"/>
      <c r="B178" s="133"/>
      <c r="C178" s="587"/>
      <c r="D178" s="500"/>
      <c r="E178" s="588"/>
      <c r="F178" s="500"/>
      <c r="G178" s="589"/>
      <c r="H178" s="590"/>
      <c r="I178" s="591"/>
      <c r="J178" s="592">
        <f>SUM(J168:J177)</f>
        <v>0</v>
      </c>
      <c r="K178" s="593">
        <f>SUM(K169:K171)</f>
        <v>18</v>
      </c>
      <c r="L178" s="594">
        <f>L171</f>
        <v>156.25</v>
      </c>
      <c r="M178" s="604">
        <f>SUM(M168:M177)</f>
        <v>2812.5</v>
      </c>
      <c r="N178" s="595">
        <f>L178*K178</f>
        <v>2812.5</v>
      </c>
      <c r="O178" s="271"/>
    </row>
    <row r="179" spans="1:15" s="137" customFormat="1" ht="18.75" customHeight="1" thickBot="1" x14ac:dyDescent="0.35">
      <c r="A179" s="132"/>
      <c r="B179" s="133"/>
      <c r="C179" s="608"/>
      <c r="D179" s="596"/>
      <c r="E179" s="597"/>
      <c r="F179" s="596"/>
      <c r="G179" s="549"/>
      <c r="H179" s="598"/>
      <c r="I179" s="599"/>
      <c r="J179" s="600"/>
      <c r="K179" s="601"/>
      <c r="L179" s="602"/>
      <c r="M179" s="600"/>
      <c r="N179" s="603"/>
      <c r="O179" s="271"/>
    </row>
    <row r="180" spans="1:15" s="137" customFormat="1" ht="18.75" customHeight="1" thickBot="1" x14ac:dyDescent="0.35">
      <c r="A180" s="132"/>
      <c r="B180" s="133"/>
      <c r="C180" s="578"/>
      <c r="D180" s="579"/>
      <c r="E180" s="580"/>
      <c r="F180" s="579"/>
      <c r="G180" s="581"/>
      <c r="H180" s="582"/>
      <c r="I180" s="583"/>
      <c r="J180" s="584"/>
      <c r="K180" s="585"/>
      <c r="L180" s="586"/>
      <c r="M180" s="584"/>
      <c r="N180" s="511"/>
      <c r="O180" s="271"/>
    </row>
    <row r="181" spans="1:15" s="137" customFormat="1" ht="18.75" customHeight="1" x14ac:dyDescent="0.3">
      <c r="A181" s="132"/>
      <c r="B181" s="133"/>
      <c r="C181" s="826" t="s">
        <v>420</v>
      </c>
      <c r="D181" s="827"/>
      <c r="E181" s="827"/>
      <c r="F181" s="827"/>
      <c r="G181" s="827"/>
      <c r="H181" s="827"/>
      <c r="I181" s="827"/>
      <c r="J181" s="827"/>
      <c r="K181" s="827"/>
      <c r="L181" s="827"/>
      <c r="M181" s="828"/>
      <c r="N181" s="832">
        <f>N178</f>
        <v>2812.5</v>
      </c>
      <c r="O181" s="271"/>
    </row>
    <row r="182" spans="1:15" s="137" customFormat="1" ht="18.75" customHeight="1" thickBot="1" x14ac:dyDescent="0.35">
      <c r="A182" s="132"/>
      <c r="B182" s="133"/>
      <c r="C182" s="829"/>
      <c r="D182" s="830"/>
      <c r="E182" s="830"/>
      <c r="F182" s="830"/>
      <c r="G182" s="830"/>
      <c r="H182" s="830"/>
      <c r="I182" s="830"/>
      <c r="J182" s="830"/>
      <c r="K182" s="830"/>
      <c r="L182" s="830"/>
      <c r="M182" s="831"/>
      <c r="N182" s="833"/>
      <c r="O182" s="271"/>
    </row>
    <row r="183" spans="1:15" s="137" customFormat="1" ht="42" customHeight="1" thickBot="1" x14ac:dyDescent="0.35">
      <c r="A183" s="132"/>
      <c r="B183" s="133"/>
      <c r="C183" s="824" t="s">
        <v>155</v>
      </c>
      <c r="D183" s="825"/>
      <c r="E183" s="825"/>
      <c r="F183" s="825"/>
      <c r="G183" s="825"/>
      <c r="H183" s="825"/>
      <c r="I183" s="825"/>
      <c r="J183" s="825"/>
      <c r="K183" s="825"/>
      <c r="L183" s="825"/>
      <c r="M183" s="825"/>
      <c r="N183" s="555">
        <f>M166</f>
        <v>155079.8487</v>
      </c>
      <c r="O183" s="135"/>
    </row>
    <row r="184" spans="1:15" s="137" customFormat="1" ht="47.4" customHeight="1" thickBot="1" x14ac:dyDescent="0.35">
      <c r="A184" s="132"/>
      <c r="B184" s="133"/>
      <c r="C184" s="737" t="s">
        <v>156</v>
      </c>
      <c r="D184" s="738"/>
      <c r="E184" s="738"/>
      <c r="F184" s="738"/>
      <c r="G184" s="738"/>
      <c r="H184" s="738"/>
      <c r="I184" s="738"/>
      <c r="J184" s="738"/>
      <c r="K184" s="738"/>
      <c r="L184" s="738"/>
      <c r="M184" s="738"/>
      <c r="N184" s="512">
        <f>SUM(N181:N183)</f>
        <v>157892.3487</v>
      </c>
      <c r="O184" s="135"/>
    </row>
    <row r="185" spans="1:15" s="137" customFormat="1" ht="18.75" customHeight="1" thickBot="1" x14ac:dyDescent="0.35">
      <c r="A185" s="132"/>
      <c r="B185" s="133"/>
      <c r="C185" s="516"/>
      <c r="D185" s="273"/>
      <c r="E185" s="273"/>
      <c r="F185" s="273"/>
      <c r="G185" s="274"/>
      <c r="H185" s="274"/>
      <c r="I185" s="273"/>
      <c r="J185" s="275"/>
      <c r="K185" s="276"/>
      <c r="L185" s="273"/>
      <c r="M185" s="277"/>
      <c r="N185" s="517"/>
      <c r="O185" s="135"/>
    </row>
    <row r="186" spans="1:15" s="137" customFormat="1" ht="18.75" customHeight="1" x14ac:dyDescent="0.3">
      <c r="A186" s="132"/>
      <c r="B186" s="133"/>
      <c r="C186" s="278"/>
      <c r="D186" s="278"/>
      <c r="E186" s="278"/>
      <c r="F186" s="278"/>
      <c r="G186" s="122"/>
      <c r="H186" s="122"/>
      <c r="I186" s="278"/>
      <c r="J186" s="279"/>
      <c r="K186" s="280"/>
      <c r="L186" s="278"/>
      <c r="M186" s="278"/>
      <c r="N186" s="278"/>
      <c r="O186" s="135"/>
    </row>
  </sheetData>
  <autoFilter ref="C10:N163" xr:uid="{FE9C13AE-C9BC-4C1D-ABA6-4833DFE28E67}"/>
  <mergeCells count="16">
    <mergeCell ref="A5:A6"/>
    <mergeCell ref="C5:C6"/>
    <mergeCell ref="D5:D6"/>
    <mergeCell ref="E5:E6"/>
    <mergeCell ref="F5:F6"/>
    <mergeCell ref="K5:K6"/>
    <mergeCell ref="L5:M5"/>
    <mergeCell ref="C183:M183"/>
    <mergeCell ref="C184:M184"/>
    <mergeCell ref="C1:N4"/>
    <mergeCell ref="G5:G6"/>
    <mergeCell ref="H5:H6"/>
    <mergeCell ref="I5:I6"/>
    <mergeCell ref="J5:J6"/>
    <mergeCell ref="C181:M182"/>
    <mergeCell ref="N181:N182"/>
  </mergeCells>
  <conditionalFormatting sqref="D7">
    <cfRule type="duplicateValues" dxfId="46" priority="21"/>
  </conditionalFormatting>
  <conditionalFormatting sqref="D8">
    <cfRule type="duplicateValues" dxfId="45" priority="15"/>
    <cfRule type="duplicateValues" dxfId="44" priority="16"/>
    <cfRule type="duplicateValues" dxfId="43" priority="17"/>
    <cfRule type="duplicateValues" dxfId="42" priority="18"/>
    <cfRule type="duplicateValues" dxfId="41" priority="19"/>
  </conditionalFormatting>
  <conditionalFormatting sqref="D9">
    <cfRule type="duplicateValues" dxfId="40" priority="10"/>
    <cfRule type="duplicateValues" dxfId="39" priority="11"/>
    <cfRule type="duplicateValues" dxfId="38" priority="12"/>
    <cfRule type="duplicateValues" dxfId="37" priority="13"/>
    <cfRule type="duplicateValues" dxfId="36" priority="14"/>
  </conditionalFormatting>
  <conditionalFormatting sqref="D10:D165">
    <cfRule type="duplicateValues" dxfId="35" priority="368"/>
    <cfRule type="duplicateValues" dxfId="34" priority="369"/>
  </conditionalFormatting>
  <conditionalFormatting sqref="D166 D168:D180">
    <cfRule type="duplicateValues" dxfId="33" priority="59"/>
  </conditionalFormatting>
  <conditionalFormatting sqref="D183:D1048576 D1:D7 D166 D168:D180">
    <cfRule type="duplicateValues" dxfId="32" priority="20"/>
    <cfRule type="duplicateValues" dxfId="31" priority="24"/>
    <cfRule type="duplicateValues" dxfId="30" priority="25"/>
  </conditionalFormatting>
  <conditionalFormatting sqref="D185:D1048576 D1:D6">
    <cfRule type="duplicateValues" dxfId="29" priority="23"/>
  </conditionalFormatting>
  <conditionalFormatting sqref="D185:D1048576 D1:D7 D166 D168:D180">
    <cfRule type="duplicateValues" dxfId="28" priority="22"/>
  </conditionalFormatting>
  <printOptions horizontalCentered="1"/>
  <pageMargins left="0.19685039370078741" right="0.19685039370078741" top="0.19685039370078741" bottom="0.98425196850393704" header="0.31496062992125984" footer="0.11811023622047245"/>
  <pageSetup paperSize="9" scale="49" fitToHeight="0" orientation="landscape" r:id="rId1"/>
  <headerFooter>
    <oddFooter>&amp;C&amp;G</oddFooter>
  </headerFooter>
  <rowBreaks count="1" manualBreakCount="1">
    <brk id="6" min="1" max="14" man="1"/>
  </rowBreaks>
  <drawing r:id="rId2"/>
  <legacyDrawing r:id="rId3"/>
  <legacyDrawingHF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6AE38-D5E1-4C5A-B247-D941E935E707}">
  <sheetPr>
    <tabColor theme="9" tint="0.59999389629810485"/>
    <pageSetUpPr fitToPage="1"/>
  </sheetPr>
  <dimension ref="A1:XEZ172"/>
  <sheetViews>
    <sheetView showGridLines="0" view="pageBreakPreview" zoomScale="85" zoomScaleNormal="100" zoomScaleSheetLayoutView="85" workbookViewId="0">
      <pane ySplit="3" topLeftCell="A38" activePane="bottomLeft" state="frozen"/>
      <selection activeCell="B53" sqref="B53:N53"/>
      <selection pane="bottomLeft" activeCell="F46" sqref="F46"/>
    </sheetView>
  </sheetViews>
  <sheetFormatPr defaultRowHeight="15" x14ac:dyDescent="0.25"/>
  <cols>
    <col min="1" max="1" width="3" style="282" customWidth="1"/>
    <col min="2" max="2" width="14.6640625" style="334" bestFit="1" customWidth="1"/>
    <col min="3" max="3" width="24.88671875" style="334" customWidth="1"/>
    <col min="4" max="4" width="19.6640625" style="334" customWidth="1"/>
    <col min="5" max="5" width="25" style="282" customWidth="1"/>
    <col min="6" max="6" width="22.33203125" style="282" customWidth="1"/>
    <col min="7" max="7" width="24.88671875" style="335" customWidth="1"/>
    <col min="8" max="9" width="22.33203125" style="335" customWidth="1"/>
    <col min="10" max="10" width="19.109375" style="336" customWidth="1"/>
    <col min="11" max="11" width="26.44140625" style="337" customWidth="1"/>
    <col min="12" max="12" width="3" style="338" customWidth="1"/>
    <col min="13" max="13" width="11.44140625" style="285" customWidth="1"/>
    <col min="14" max="14" width="11.44140625" style="286" customWidth="1"/>
    <col min="15" max="248" width="8.88671875" style="285"/>
    <col min="249" max="249" width="9.6640625" style="285" customWidth="1"/>
    <col min="250" max="250" width="15.109375" style="285" bestFit="1" customWidth="1"/>
    <col min="251" max="251" width="14" style="285" bestFit="1" customWidth="1"/>
    <col min="252" max="252" width="17.109375" style="285" bestFit="1" customWidth="1"/>
    <col min="253" max="253" width="34.33203125" style="285" customWidth="1"/>
    <col min="254" max="254" width="5.6640625" style="285" customWidth="1"/>
    <col min="255" max="255" width="10.109375" style="285" bestFit="1" customWidth="1"/>
    <col min="256" max="256" width="9.6640625" style="285" customWidth="1"/>
    <col min="257" max="257" width="14.6640625" style="285" customWidth="1"/>
    <col min="258" max="258" width="8.6640625" style="285" customWidth="1"/>
    <col min="259" max="259" width="11.5546875" style="285" customWidth="1"/>
    <col min="260" max="260" width="14.6640625" style="285" customWidth="1"/>
    <col min="261" max="504" width="8.88671875" style="285"/>
    <col min="505" max="505" width="9.6640625" style="285" customWidth="1"/>
    <col min="506" max="506" width="15.109375" style="285" bestFit="1" customWidth="1"/>
    <col min="507" max="507" width="14" style="285" bestFit="1" customWidth="1"/>
    <col min="508" max="508" width="17.109375" style="285" bestFit="1" customWidth="1"/>
    <col min="509" max="509" width="34.33203125" style="285" customWidth="1"/>
    <col min="510" max="510" width="5.6640625" style="285" customWidth="1"/>
    <col min="511" max="511" width="10.109375" style="285" bestFit="1" customWidth="1"/>
    <col min="512" max="512" width="9.6640625" style="285" customWidth="1"/>
    <col min="513" max="513" width="14.6640625" style="285" customWidth="1"/>
    <col min="514" max="514" width="8.6640625" style="285" customWidth="1"/>
    <col min="515" max="515" width="11.5546875" style="285" customWidth="1"/>
    <col min="516" max="516" width="14.6640625" style="285" customWidth="1"/>
    <col min="517" max="760" width="8.88671875" style="285"/>
    <col min="761" max="761" width="9.6640625" style="285" customWidth="1"/>
    <col min="762" max="762" width="15.109375" style="285" bestFit="1" customWidth="1"/>
    <col min="763" max="763" width="14" style="285" bestFit="1" customWidth="1"/>
    <col min="764" max="764" width="17.109375" style="285" bestFit="1" customWidth="1"/>
    <col min="765" max="765" width="34.33203125" style="285" customWidth="1"/>
    <col min="766" max="766" width="5.6640625" style="285" customWidth="1"/>
    <col min="767" max="767" width="10.109375" style="285" bestFit="1" customWidth="1"/>
    <col min="768" max="768" width="9.6640625" style="285" customWidth="1"/>
    <col min="769" max="769" width="14.6640625" style="285" customWidth="1"/>
    <col min="770" max="770" width="8.6640625" style="285" customWidth="1"/>
    <col min="771" max="771" width="11.5546875" style="285" customWidth="1"/>
    <col min="772" max="772" width="14.6640625" style="285" customWidth="1"/>
    <col min="773" max="1016" width="8.88671875" style="285"/>
    <col min="1017" max="1017" width="9.6640625" style="285" customWidth="1"/>
    <col min="1018" max="1018" width="15.109375" style="285" bestFit="1" customWidth="1"/>
    <col min="1019" max="1019" width="14" style="285" bestFit="1" customWidth="1"/>
    <col min="1020" max="1020" width="17.109375" style="285" bestFit="1" customWidth="1"/>
    <col min="1021" max="1021" width="34.33203125" style="285" customWidth="1"/>
    <col min="1022" max="1022" width="5.6640625" style="285" customWidth="1"/>
    <col min="1023" max="1023" width="10.109375" style="285" bestFit="1" customWidth="1"/>
    <col min="1024" max="1024" width="9.6640625" style="285" customWidth="1"/>
    <col min="1025" max="1025" width="14.6640625" style="285" customWidth="1"/>
    <col min="1026" max="1026" width="8.6640625" style="285" customWidth="1"/>
    <col min="1027" max="1027" width="11.5546875" style="285" customWidth="1"/>
    <col min="1028" max="1028" width="14.6640625" style="285" customWidth="1"/>
    <col min="1029" max="1272" width="8.88671875" style="285"/>
    <col min="1273" max="1273" width="9.6640625" style="285" customWidth="1"/>
    <col min="1274" max="1274" width="15.109375" style="285" bestFit="1" customWidth="1"/>
    <col min="1275" max="1275" width="14" style="285" bestFit="1" customWidth="1"/>
    <col min="1276" max="1276" width="17.109375" style="285" bestFit="1" customWidth="1"/>
    <col min="1277" max="1277" width="34.33203125" style="285" customWidth="1"/>
    <col min="1278" max="1278" width="5.6640625" style="285" customWidth="1"/>
    <col min="1279" max="1279" width="10.109375" style="285" bestFit="1" customWidth="1"/>
    <col min="1280" max="1280" width="9.6640625" style="285" customWidth="1"/>
    <col min="1281" max="1281" width="14.6640625" style="285" customWidth="1"/>
    <col min="1282" max="1282" width="8.6640625" style="285" customWidth="1"/>
    <col min="1283" max="1283" width="11.5546875" style="285" customWidth="1"/>
    <col min="1284" max="1284" width="14.6640625" style="285" customWidth="1"/>
    <col min="1285" max="1528" width="8.88671875" style="285"/>
    <col min="1529" max="1529" width="9.6640625" style="285" customWidth="1"/>
    <col min="1530" max="1530" width="15.109375" style="285" bestFit="1" customWidth="1"/>
    <col min="1531" max="1531" width="14" style="285" bestFit="1" customWidth="1"/>
    <col min="1532" max="1532" width="17.109375" style="285" bestFit="1" customWidth="1"/>
    <col min="1533" max="1533" width="34.33203125" style="285" customWidth="1"/>
    <col min="1534" max="1534" width="5.6640625" style="285" customWidth="1"/>
    <col min="1535" max="1535" width="10.109375" style="285" bestFit="1" customWidth="1"/>
    <col min="1536" max="1536" width="9.6640625" style="285" customWidth="1"/>
    <col min="1537" max="1537" width="14.6640625" style="285" customWidth="1"/>
    <col min="1538" max="1538" width="8.6640625" style="285" customWidth="1"/>
    <col min="1539" max="1539" width="11.5546875" style="285" customWidth="1"/>
    <col min="1540" max="1540" width="14.6640625" style="285" customWidth="1"/>
    <col min="1541" max="1784" width="8.88671875" style="285"/>
    <col min="1785" max="1785" width="9.6640625" style="285" customWidth="1"/>
    <col min="1786" max="1786" width="15.109375" style="285" bestFit="1" customWidth="1"/>
    <col min="1787" max="1787" width="14" style="285" bestFit="1" customWidth="1"/>
    <col min="1788" max="1788" width="17.109375" style="285" bestFit="1" customWidth="1"/>
    <col min="1789" max="1789" width="34.33203125" style="285" customWidth="1"/>
    <col min="1790" max="1790" width="5.6640625" style="285" customWidth="1"/>
    <col min="1791" max="1791" width="10.109375" style="285" bestFit="1" customWidth="1"/>
    <col min="1792" max="1792" width="9.6640625" style="285" customWidth="1"/>
    <col min="1793" max="1793" width="14.6640625" style="285" customWidth="1"/>
    <col min="1794" max="1794" width="8.6640625" style="285" customWidth="1"/>
    <col min="1795" max="1795" width="11.5546875" style="285" customWidth="1"/>
    <col min="1796" max="1796" width="14.6640625" style="285" customWidth="1"/>
    <col min="1797" max="2040" width="8.88671875" style="285"/>
    <col min="2041" max="2041" width="9.6640625" style="285" customWidth="1"/>
    <col min="2042" max="2042" width="15.109375" style="285" bestFit="1" customWidth="1"/>
    <col min="2043" max="2043" width="14" style="285" bestFit="1" customWidth="1"/>
    <col min="2044" max="2044" width="17.109375" style="285" bestFit="1" customWidth="1"/>
    <col min="2045" max="2045" width="34.33203125" style="285" customWidth="1"/>
    <col min="2046" max="2046" width="5.6640625" style="285" customWidth="1"/>
    <col min="2047" max="2047" width="10.109375" style="285" bestFit="1" customWidth="1"/>
    <col min="2048" max="2048" width="9.6640625" style="285" customWidth="1"/>
    <col min="2049" max="2049" width="14.6640625" style="285" customWidth="1"/>
    <col min="2050" max="2050" width="8.6640625" style="285" customWidth="1"/>
    <col min="2051" max="2051" width="11.5546875" style="285" customWidth="1"/>
    <col min="2052" max="2052" width="14.6640625" style="285" customWidth="1"/>
    <col min="2053" max="2296" width="8.88671875" style="285"/>
    <col min="2297" max="2297" width="9.6640625" style="285" customWidth="1"/>
    <col min="2298" max="2298" width="15.109375" style="285" bestFit="1" customWidth="1"/>
    <col min="2299" max="2299" width="14" style="285" bestFit="1" customWidth="1"/>
    <col min="2300" max="2300" width="17.109375" style="285" bestFit="1" customWidth="1"/>
    <col min="2301" max="2301" width="34.33203125" style="285" customWidth="1"/>
    <col min="2302" max="2302" width="5.6640625" style="285" customWidth="1"/>
    <col min="2303" max="2303" width="10.109375" style="285" bestFit="1" customWidth="1"/>
    <col min="2304" max="2304" width="9.6640625" style="285" customWidth="1"/>
    <col min="2305" max="2305" width="14.6640625" style="285" customWidth="1"/>
    <col min="2306" max="2306" width="8.6640625" style="285" customWidth="1"/>
    <col min="2307" max="2307" width="11.5546875" style="285" customWidth="1"/>
    <col min="2308" max="2308" width="14.6640625" style="285" customWidth="1"/>
    <col min="2309" max="2552" width="8.88671875" style="285"/>
    <col min="2553" max="2553" width="9.6640625" style="285" customWidth="1"/>
    <col min="2554" max="2554" width="15.109375" style="285" bestFit="1" customWidth="1"/>
    <col min="2555" max="2555" width="14" style="285" bestFit="1" customWidth="1"/>
    <col min="2556" max="2556" width="17.109375" style="285" bestFit="1" customWidth="1"/>
    <col min="2557" max="2557" width="34.33203125" style="285" customWidth="1"/>
    <col min="2558" max="2558" width="5.6640625" style="285" customWidth="1"/>
    <col min="2559" max="2559" width="10.109375" style="285" bestFit="1" customWidth="1"/>
    <col min="2560" max="2560" width="9.6640625" style="285" customWidth="1"/>
    <col min="2561" max="2561" width="14.6640625" style="285" customWidth="1"/>
    <col min="2562" max="2562" width="8.6640625" style="285" customWidth="1"/>
    <col min="2563" max="2563" width="11.5546875" style="285" customWidth="1"/>
    <col min="2564" max="2564" width="14.6640625" style="285" customWidth="1"/>
    <col min="2565" max="2808" width="8.88671875" style="285"/>
    <col min="2809" max="2809" width="9.6640625" style="285" customWidth="1"/>
    <col min="2810" max="2810" width="15.109375" style="285" bestFit="1" customWidth="1"/>
    <col min="2811" max="2811" width="14" style="285" bestFit="1" customWidth="1"/>
    <col min="2812" max="2812" width="17.109375" style="285" bestFit="1" customWidth="1"/>
    <col min="2813" max="2813" width="34.33203125" style="285" customWidth="1"/>
    <col min="2814" max="2814" width="5.6640625" style="285" customWidth="1"/>
    <col min="2815" max="2815" width="10.109375" style="285" bestFit="1" customWidth="1"/>
    <col min="2816" max="2816" width="9.6640625" style="285" customWidth="1"/>
    <col min="2817" max="2817" width="14.6640625" style="285" customWidth="1"/>
    <col min="2818" max="2818" width="8.6640625" style="285" customWidth="1"/>
    <col min="2819" max="2819" width="11.5546875" style="285" customWidth="1"/>
    <col min="2820" max="2820" width="14.6640625" style="285" customWidth="1"/>
    <col min="2821" max="3064" width="8.88671875" style="285"/>
    <col min="3065" max="3065" width="9.6640625" style="285" customWidth="1"/>
    <col min="3066" max="3066" width="15.109375" style="285" bestFit="1" customWidth="1"/>
    <col min="3067" max="3067" width="14" style="285" bestFit="1" customWidth="1"/>
    <col min="3068" max="3068" width="17.109375" style="285" bestFit="1" customWidth="1"/>
    <col min="3069" max="3069" width="34.33203125" style="285" customWidth="1"/>
    <col min="3070" max="3070" width="5.6640625" style="285" customWidth="1"/>
    <col min="3071" max="3071" width="10.109375" style="285" bestFit="1" customWidth="1"/>
    <col min="3072" max="3072" width="9.6640625" style="285" customWidth="1"/>
    <col min="3073" max="3073" width="14.6640625" style="285" customWidth="1"/>
    <col min="3074" max="3074" width="8.6640625" style="285" customWidth="1"/>
    <col min="3075" max="3075" width="11.5546875" style="285" customWidth="1"/>
    <col min="3076" max="3076" width="14.6640625" style="285" customWidth="1"/>
    <col min="3077" max="3320" width="8.88671875" style="285"/>
    <col min="3321" max="3321" width="9.6640625" style="285" customWidth="1"/>
    <col min="3322" max="3322" width="15.109375" style="285" bestFit="1" customWidth="1"/>
    <col min="3323" max="3323" width="14" style="285" bestFit="1" customWidth="1"/>
    <col min="3324" max="3324" width="17.109375" style="285" bestFit="1" customWidth="1"/>
    <col min="3325" max="3325" width="34.33203125" style="285" customWidth="1"/>
    <col min="3326" max="3326" width="5.6640625" style="285" customWidth="1"/>
    <col min="3327" max="3327" width="10.109375" style="285" bestFit="1" customWidth="1"/>
    <col min="3328" max="3328" width="9.6640625" style="285" customWidth="1"/>
    <col min="3329" max="3329" width="14.6640625" style="285" customWidth="1"/>
    <col min="3330" max="3330" width="8.6640625" style="285" customWidth="1"/>
    <col min="3331" max="3331" width="11.5546875" style="285" customWidth="1"/>
    <col min="3332" max="3332" width="14.6640625" style="285" customWidth="1"/>
    <col min="3333" max="3576" width="8.88671875" style="285"/>
    <col min="3577" max="3577" width="9.6640625" style="285" customWidth="1"/>
    <col min="3578" max="3578" width="15.109375" style="285" bestFit="1" customWidth="1"/>
    <col min="3579" max="3579" width="14" style="285" bestFit="1" customWidth="1"/>
    <col min="3580" max="3580" width="17.109375" style="285" bestFit="1" customWidth="1"/>
    <col min="3581" max="3581" width="34.33203125" style="285" customWidth="1"/>
    <col min="3582" max="3582" width="5.6640625" style="285" customWidth="1"/>
    <col min="3583" max="3583" width="10.109375" style="285" bestFit="1" customWidth="1"/>
    <col min="3584" max="3584" width="9.6640625" style="285" customWidth="1"/>
    <col min="3585" max="3585" width="14.6640625" style="285" customWidth="1"/>
    <col min="3586" max="3586" width="8.6640625" style="285" customWidth="1"/>
    <col min="3587" max="3587" width="11.5546875" style="285" customWidth="1"/>
    <col min="3588" max="3588" width="14.6640625" style="285" customWidth="1"/>
    <col min="3589" max="3832" width="8.88671875" style="285"/>
    <col min="3833" max="3833" width="9.6640625" style="285" customWidth="1"/>
    <col min="3834" max="3834" width="15.109375" style="285" bestFit="1" customWidth="1"/>
    <col min="3835" max="3835" width="14" style="285" bestFit="1" customWidth="1"/>
    <col min="3836" max="3836" width="17.109375" style="285" bestFit="1" customWidth="1"/>
    <col min="3837" max="3837" width="34.33203125" style="285" customWidth="1"/>
    <col min="3838" max="3838" width="5.6640625" style="285" customWidth="1"/>
    <col min="3839" max="3839" width="10.109375" style="285" bestFit="1" customWidth="1"/>
    <col min="3840" max="3840" width="9.6640625" style="285" customWidth="1"/>
    <col min="3841" max="3841" width="14.6640625" style="285" customWidth="1"/>
    <col min="3842" max="3842" width="8.6640625" style="285" customWidth="1"/>
    <col min="3843" max="3843" width="11.5546875" style="285" customWidth="1"/>
    <col min="3844" max="3844" width="14.6640625" style="285" customWidth="1"/>
    <col min="3845" max="4088" width="8.88671875" style="285"/>
    <col min="4089" max="4089" width="9.6640625" style="285" customWidth="1"/>
    <col min="4090" max="4090" width="15.109375" style="285" bestFit="1" customWidth="1"/>
    <col min="4091" max="4091" width="14" style="285" bestFit="1" customWidth="1"/>
    <col min="4092" max="4092" width="17.109375" style="285" bestFit="1" customWidth="1"/>
    <col min="4093" max="4093" width="34.33203125" style="285" customWidth="1"/>
    <col min="4094" max="4094" width="5.6640625" style="285" customWidth="1"/>
    <col min="4095" max="4095" width="10.109375" style="285" bestFit="1" customWidth="1"/>
    <col min="4096" max="4096" width="9.6640625" style="285" customWidth="1"/>
    <col min="4097" max="4097" width="14.6640625" style="285" customWidth="1"/>
    <col min="4098" max="4098" width="8.6640625" style="285" customWidth="1"/>
    <col min="4099" max="4099" width="11.5546875" style="285" customWidth="1"/>
    <col min="4100" max="4100" width="14.6640625" style="285" customWidth="1"/>
    <col min="4101" max="4344" width="8.88671875" style="285"/>
    <col min="4345" max="4345" width="9.6640625" style="285" customWidth="1"/>
    <col min="4346" max="4346" width="15.109375" style="285" bestFit="1" customWidth="1"/>
    <col min="4347" max="4347" width="14" style="285" bestFit="1" customWidth="1"/>
    <col min="4348" max="4348" width="17.109375" style="285" bestFit="1" customWidth="1"/>
    <col min="4349" max="4349" width="34.33203125" style="285" customWidth="1"/>
    <col min="4350" max="4350" width="5.6640625" style="285" customWidth="1"/>
    <col min="4351" max="4351" width="10.109375" style="285" bestFit="1" customWidth="1"/>
    <col min="4352" max="4352" width="9.6640625" style="285" customWidth="1"/>
    <col min="4353" max="4353" width="14.6640625" style="285" customWidth="1"/>
    <col min="4354" max="4354" width="8.6640625" style="285" customWidth="1"/>
    <col min="4355" max="4355" width="11.5546875" style="285" customWidth="1"/>
    <col min="4356" max="4356" width="14.6640625" style="285" customWidth="1"/>
    <col min="4357" max="4600" width="8.88671875" style="285"/>
    <col min="4601" max="4601" width="9.6640625" style="285" customWidth="1"/>
    <col min="4602" max="4602" width="15.109375" style="285" bestFit="1" customWidth="1"/>
    <col min="4603" max="4603" width="14" style="285" bestFit="1" customWidth="1"/>
    <col min="4604" max="4604" width="17.109375" style="285" bestFit="1" customWidth="1"/>
    <col min="4605" max="4605" width="34.33203125" style="285" customWidth="1"/>
    <col min="4606" max="4606" width="5.6640625" style="285" customWidth="1"/>
    <col min="4607" max="4607" width="10.109375" style="285" bestFit="1" customWidth="1"/>
    <col min="4608" max="4608" width="9.6640625" style="285" customWidth="1"/>
    <col min="4609" max="4609" width="14.6640625" style="285" customWidth="1"/>
    <col min="4610" max="4610" width="8.6640625" style="285" customWidth="1"/>
    <col min="4611" max="4611" width="11.5546875" style="285" customWidth="1"/>
    <col min="4612" max="4612" width="14.6640625" style="285" customWidth="1"/>
    <col min="4613" max="4856" width="8.88671875" style="285"/>
    <col min="4857" max="4857" width="9.6640625" style="285" customWidth="1"/>
    <col min="4858" max="4858" width="15.109375" style="285" bestFit="1" customWidth="1"/>
    <col min="4859" max="4859" width="14" style="285" bestFit="1" customWidth="1"/>
    <col min="4860" max="4860" width="17.109375" style="285" bestFit="1" customWidth="1"/>
    <col min="4861" max="4861" width="34.33203125" style="285" customWidth="1"/>
    <col min="4862" max="4862" width="5.6640625" style="285" customWidth="1"/>
    <col min="4863" max="4863" width="10.109375" style="285" bestFit="1" customWidth="1"/>
    <col min="4864" max="4864" width="9.6640625" style="285" customWidth="1"/>
    <col min="4865" max="4865" width="14.6640625" style="285" customWidth="1"/>
    <col min="4866" max="4866" width="8.6640625" style="285" customWidth="1"/>
    <col min="4867" max="4867" width="11.5546875" style="285" customWidth="1"/>
    <col min="4868" max="4868" width="14.6640625" style="285" customWidth="1"/>
    <col min="4869" max="5112" width="8.88671875" style="285"/>
    <col min="5113" max="5113" width="9.6640625" style="285" customWidth="1"/>
    <col min="5114" max="5114" width="15.109375" style="285" bestFit="1" customWidth="1"/>
    <col min="5115" max="5115" width="14" style="285" bestFit="1" customWidth="1"/>
    <col min="5116" max="5116" width="17.109375" style="285" bestFit="1" customWidth="1"/>
    <col min="5117" max="5117" width="34.33203125" style="285" customWidth="1"/>
    <col min="5118" max="5118" width="5.6640625" style="285" customWidth="1"/>
    <col min="5119" max="5119" width="10.109375" style="285" bestFit="1" customWidth="1"/>
    <col min="5120" max="5120" width="9.6640625" style="285" customWidth="1"/>
    <col min="5121" max="5121" width="14.6640625" style="285" customWidth="1"/>
    <col min="5122" max="5122" width="8.6640625" style="285" customWidth="1"/>
    <col min="5123" max="5123" width="11.5546875" style="285" customWidth="1"/>
    <col min="5124" max="5124" width="14.6640625" style="285" customWidth="1"/>
    <col min="5125" max="5368" width="8.88671875" style="285"/>
    <col min="5369" max="5369" width="9.6640625" style="285" customWidth="1"/>
    <col min="5370" max="5370" width="15.109375" style="285" bestFit="1" customWidth="1"/>
    <col min="5371" max="5371" width="14" style="285" bestFit="1" customWidth="1"/>
    <col min="5372" max="5372" width="17.109375" style="285" bestFit="1" customWidth="1"/>
    <col min="5373" max="5373" width="34.33203125" style="285" customWidth="1"/>
    <col min="5374" max="5374" width="5.6640625" style="285" customWidth="1"/>
    <col min="5375" max="5375" width="10.109375" style="285" bestFit="1" customWidth="1"/>
    <col min="5376" max="5376" width="9.6640625" style="285" customWidth="1"/>
    <col min="5377" max="5377" width="14.6640625" style="285" customWidth="1"/>
    <col min="5378" max="5378" width="8.6640625" style="285" customWidth="1"/>
    <col min="5379" max="5379" width="11.5546875" style="285" customWidth="1"/>
    <col min="5380" max="5380" width="14.6640625" style="285" customWidth="1"/>
    <col min="5381" max="5624" width="8.88671875" style="285"/>
    <col min="5625" max="5625" width="9.6640625" style="285" customWidth="1"/>
    <col min="5626" max="5626" width="15.109375" style="285" bestFit="1" customWidth="1"/>
    <col min="5627" max="5627" width="14" style="285" bestFit="1" customWidth="1"/>
    <col min="5628" max="5628" width="17.109375" style="285" bestFit="1" customWidth="1"/>
    <col min="5629" max="5629" width="34.33203125" style="285" customWidth="1"/>
    <col min="5630" max="5630" width="5.6640625" style="285" customWidth="1"/>
    <col min="5631" max="5631" width="10.109375" style="285" bestFit="1" customWidth="1"/>
    <col min="5632" max="5632" width="9.6640625" style="285" customWidth="1"/>
    <col min="5633" max="5633" width="14.6640625" style="285" customWidth="1"/>
    <col min="5634" max="5634" width="8.6640625" style="285" customWidth="1"/>
    <col min="5635" max="5635" width="11.5546875" style="285" customWidth="1"/>
    <col min="5636" max="5636" width="14.6640625" style="285" customWidth="1"/>
    <col min="5637" max="5880" width="8.88671875" style="285"/>
    <col min="5881" max="5881" width="9.6640625" style="285" customWidth="1"/>
    <col min="5882" max="5882" width="15.109375" style="285" bestFit="1" customWidth="1"/>
    <col min="5883" max="5883" width="14" style="285" bestFit="1" customWidth="1"/>
    <col min="5884" max="5884" width="17.109375" style="285" bestFit="1" customWidth="1"/>
    <col min="5885" max="5885" width="34.33203125" style="285" customWidth="1"/>
    <col min="5886" max="5886" width="5.6640625" style="285" customWidth="1"/>
    <col min="5887" max="5887" width="10.109375" style="285" bestFit="1" customWidth="1"/>
    <col min="5888" max="5888" width="9.6640625" style="285" customWidth="1"/>
    <col min="5889" max="5889" width="14.6640625" style="285" customWidth="1"/>
    <col min="5890" max="5890" width="8.6640625" style="285" customWidth="1"/>
    <col min="5891" max="5891" width="11.5546875" style="285" customWidth="1"/>
    <col min="5892" max="5892" width="14.6640625" style="285" customWidth="1"/>
    <col min="5893" max="6136" width="8.88671875" style="285"/>
    <col min="6137" max="6137" width="9.6640625" style="285" customWidth="1"/>
    <col min="6138" max="6138" width="15.109375" style="285" bestFit="1" customWidth="1"/>
    <col min="6139" max="6139" width="14" style="285" bestFit="1" customWidth="1"/>
    <col min="6140" max="6140" width="17.109375" style="285" bestFit="1" customWidth="1"/>
    <col min="6141" max="6141" width="34.33203125" style="285" customWidth="1"/>
    <col min="6142" max="6142" width="5.6640625" style="285" customWidth="1"/>
    <col min="6143" max="6143" width="10.109375" style="285" bestFit="1" customWidth="1"/>
    <col min="6144" max="6144" width="9.6640625" style="285" customWidth="1"/>
    <col min="6145" max="6145" width="14.6640625" style="285" customWidth="1"/>
    <col min="6146" max="6146" width="8.6640625" style="285" customWidth="1"/>
    <col min="6147" max="6147" width="11.5546875" style="285" customWidth="1"/>
    <col min="6148" max="6148" width="14.6640625" style="285" customWidth="1"/>
    <col min="6149" max="6392" width="8.88671875" style="285"/>
    <col min="6393" max="6393" width="9.6640625" style="285" customWidth="1"/>
    <col min="6394" max="6394" width="15.109375" style="285" bestFit="1" customWidth="1"/>
    <col min="6395" max="6395" width="14" style="285" bestFit="1" customWidth="1"/>
    <col min="6396" max="6396" width="17.109375" style="285" bestFit="1" customWidth="1"/>
    <col min="6397" max="6397" width="34.33203125" style="285" customWidth="1"/>
    <col min="6398" max="6398" width="5.6640625" style="285" customWidth="1"/>
    <col min="6399" max="6399" width="10.109375" style="285" bestFit="1" customWidth="1"/>
    <col min="6400" max="6400" width="9.6640625" style="285" customWidth="1"/>
    <col min="6401" max="6401" width="14.6640625" style="285" customWidth="1"/>
    <col min="6402" max="6402" width="8.6640625" style="285" customWidth="1"/>
    <col min="6403" max="6403" width="11.5546875" style="285" customWidth="1"/>
    <col min="6404" max="6404" width="14.6640625" style="285" customWidth="1"/>
    <col min="6405" max="6648" width="8.88671875" style="285"/>
    <col min="6649" max="6649" width="9.6640625" style="285" customWidth="1"/>
    <col min="6650" max="6650" width="15.109375" style="285" bestFit="1" customWidth="1"/>
    <col min="6651" max="6651" width="14" style="285" bestFit="1" customWidth="1"/>
    <col min="6652" max="6652" width="17.109375" style="285" bestFit="1" customWidth="1"/>
    <col min="6653" max="6653" width="34.33203125" style="285" customWidth="1"/>
    <col min="6654" max="6654" width="5.6640625" style="285" customWidth="1"/>
    <col min="6655" max="6655" width="10.109375" style="285" bestFit="1" customWidth="1"/>
    <col min="6656" max="6656" width="9.6640625" style="285" customWidth="1"/>
    <col min="6657" max="6657" width="14.6640625" style="285" customWidth="1"/>
    <col min="6658" max="6658" width="8.6640625" style="285" customWidth="1"/>
    <col min="6659" max="6659" width="11.5546875" style="285" customWidth="1"/>
    <col min="6660" max="6660" width="14.6640625" style="285" customWidth="1"/>
    <col min="6661" max="6904" width="8.88671875" style="285"/>
    <col min="6905" max="6905" width="9.6640625" style="285" customWidth="1"/>
    <col min="6906" max="6906" width="15.109375" style="285" bestFit="1" customWidth="1"/>
    <col min="6907" max="6907" width="14" style="285" bestFit="1" customWidth="1"/>
    <col min="6908" max="6908" width="17.109375" style="285" bestFit="1" customWidth="1"/>
    <col min="6909" max="6909" width="34.33203125" style="285" customWidth="1"/>
    <col min="6910" max="6910" width="5.6640625" style="285" customWidth="1"/>
    <col min="6911" max="6911" width="10.109375" style="285" bestFit="1" customWidth="1"/>
    <col min="6912" max="6912" width="9.6640625" style="285" customWidth="1"/>
    <col min="6913" max="6913" width="14.6640625" style="285" customWidth="1"/>
    <col min="6914" max="6914" width="8.6640625" style="285" customWidth="1"/>
    <col min="6915" max="6915" width="11.5546875" style="285" customWidth="1"/>
    <col min="6916" max="6916" width="14.6640625" style="285" customWidth="1"/>
    <col min="6917" max="7160" width="8.88671875" style="285"/>
    <col min="7161" max="7161" width="9.6640625" style="285" customWidth="1"/>
    <col min="7162" max="7162" width="15.109375" style="285" bestFit="1" customWidth="1"/>
    <col min="7163" max="7163" width="14" style="285" bestFit="1" customWidth="1"/>
    <col min="7164" max="7164" width="17.109375" style="285" bestFit="1" customWidth="1"/>
    <col min="7165" max="7165" width="34.33203125" style="285" customWidth="1"/>
    <col min="7166" max="7166" width="5.6640625" style="285" customWidth="1"/>
    <col min="7167" max="7167" width="10.109375" style="285" bestFit="1" customWidth="1"/>
    <col min="7168" max="7168" width="9.6640625" style="285" customWidth="1"/>
    <col min="7169" max="7169" width="14.6640625" style="285" customWidth="1"/>
    <col min="7170" max="7170" width="8.6640625" style="285" customWidth="1"/>
    <col min="7171" max="7171" width="11.5546875" style="285" customWidth="1"/>
    <col min="7172" max="7172" width="14.6640625" style="285" customWidth="1"/>
    <col min="7173" max="7416" width="8.88671875" style="285"/>
    <col min="7417" max="7417" width="9.6640625" style="285" customWidth="1"/>
    <col min="7418" max="7418" width="15.109375" style="285" bestFit="1" customWidth="1"/>
    <col min="7419" max="7419" width="14" style="285" bestFit="1" customWidth="1"/>
    <col min="7420" max="7420" width="17.109375" style="285" bestFit="1" customWidth="1"/>
    <col min="7421" max="7421" width="34.33203125" style="285" customWidth="1"/>
    <col min="7422" max="7422" width="5.6640625" style="285" customWidth="1"/>
    <col min="7423" max="7423" width="10.109375" style="285" bestFit="1" customWidth="1"/>
    <col min="7424" max="7424" width="9.6640625" style="285" customWidth="1"/>
    <col min="7425" max="7425" width="14.6640625" style="285" customWidth="1"/>
    <col min="7426" max="7426" width="8.6640625" style="285" customWidth="1"/>
    <col min="7427" max="7427" width="11.5546875" style="285" customWidth="1"/>
    <col min="7428" max="7428" width="14.6640625" style="285" customWidth="1"/>
    <col min="7429" max="7672" width="8.88671875" style="285"/>
    <col min="7673" max="7673" width="9.6640625" style="285" customWidth="1"/>
    <col min="7674" max="7674" width="15.109375" style="285" bestFit="1" customWidth="1"/>
    <col min="7675" max="7675" width="14" style="285" bestFit="1" customWidth="1"/>
    <col min="7676" max="7676" width="17.109375" style="285" bestFit="1" customWidth="1"/>
    <col min="7677" max="7677" width="34.33203125" style="285" customWidth="1"/>
    <col min="7678" max="7678" width="5.6640625" style="285" customWidth="1"/>
    <col min="7679" max="7679" width="10.109375" style="285" bestFit="1" customWidth="1"/>
    <col min="7680" max="7680" width="9.6640625" style="285" customWidth="1"/>
    <col min="7681" max="7681" width="14.6640625" style="285" customWidth="1"/>
    <col min="7682" max="7682" width="8.6640625" style="285" customWidth="1"/>
    <col min="7683" max="7683" width="11.5546875" style="285" customWidth="1"/>
    <col min="7684" max="7684" width="14.6640625" style="285" customWidth="1"/>
    <col min="7685" max="7928" width="8.88671875" style="285"/>
    <col min="7929" max="7929" width="9.6640625" style="285" customWidth="1"/>
    <col min="7930" max="7930" width="15.109375" style="285" bestFit="1" customWidth="1"/>
    <col min="7931" max="7931" width="14" style="285" bestFit="1" customWidth="1"/>
    <col min="7932" max="7932" width="17.109375" style="285" bestFit="1" customWidth="1"/>
    <col min="7933" max="7933" width="34.33203125" style="285" customWidth="1"/>
    <col min="7934" max="7934" width="5.6640625" style="285" customWidth="1"/>
    <col min="7935" max="7935" width="10.109375" style="285" bestFit="1" customWidth="1"/>
    <col min="7936" max="7936" width="9.6640625" style="285" customWidth="1"/>
    <col min="7937" max="7937" width="14.6640625" style="285" customWidth="1"/>
    <col min="7938" max="7938" width="8.6640625" style="285" customWidth="1"/>
    <col min="7939" max="7939" width="11.5546875" style="285" customWidth="1"/>
    <col min="7940" max="7940" width="14.6640625" style="285" customWidth="1"/>
    <col min="7941" max="8184" width="8.88671875" style="285"/>
    <col min="8185" max="8185" width="9.6640625" style="285" customWidth="1"/>
    <col min="8186" max="8186" width="15.109375" style="285" bestFit="1" customWidth="1"/>
    <col min="8187" max="8187" width="14" style="285" bestFit="1" customWidth="1"/>
    <col min="8188" max="8188" width="17.109375" style="285" bestFit="1" customWidth="1"/>
    <col min="8189" max="8189" width="34.33203125" style="285" customWidth="1"/>
    <col min="8190" max="8190" width="5.6640625" style="285" customWidth="1"/>
    <col min="8191" max="8191" width="10.109375" style="285" bestFit="1" customWidth="1"/>
    <col min="8192" max="8192" width="9.6640625" style="285" customWidth="1"/>
    <col min="8193" max="8193" width="14.6640625" style="285" customWidth="1"/>
    <col min="8194" max="8194" width="8.6640625" style="285" customWidth="1"/>
    <col min="8195" max="8195" width="11.5546875" style="285" customWidth="1"/>
    <col min="8196" max="8196" width="14.6640625" style="285" customWidth="1"/>
    <col min="8197" max="8440" width="8.88671875" style="285"/>
    <col min="8441" max="8441" width="9.6640625" style="285" customWidth="1"/>
    <col min="8442" max="8442" width="15.109375" style="285" bestFit="1" customWidth="1"/>
    <col min="8443" max="8443" width="14" style="285" bestFit="1" customWidth="1"/>
    <col min="8444" max="8444" width="17.109375" style="285" bestFit="1" customWidth="1"/>
    <col min="8445" max="8445" width="34.33203125" style="285" customWidth="1"/>
    <col min="8446" max="8446" width="5.6640625" style="285" customWidth="1"/>
    <col min="8447" max="8447" width="10.109375" style="285" bestFit="1" customWidth="1"/>
    <col min="8448" max="8448" width="9.6640625" style="285" customWidth="1"/>
    <col min="8449" max="8449" width="14.6640625" style="285" customWidth="1"/>
    <col min="8450" max="8450" width="8.6640625" style="285" customWidth="1"/>
    <col min="8451" max="8451" width="11.5546875" style="285" customWidth="1"/>
    <col min="8452" max="8452" width="14.6640625" style="285" customWidth="1"/>
    <col min="8453" max="8696" width="8.88671875" style="285"/>
    <col min="8697" max="8697" width="9.6640625" style="285" customWidth="1"/>
    <col min="8698" max="8698" width="15.109375" style="285" bestFit="1" customWidth="1"/>
    <col min="8699" max="8699" width="14" style="285" bestFit="1" customWidth="1"/>
    <col min="8700" max="8700" width="17.109375" style="285" bestFit="1" customWidth="1"/>
    <col min="8701" max="8701" width="34.33203125" style="285" customWidth="1"/>
    <col min="8702" max="8702" width="5.6640625" style="285" customWidth="1"/>
    <col min="8703" max="8703" width="10.109375" style="285" bestFit="1" customWidth="1"/>
    <col min="8704" max="8704" width="9.6640625" style="285" customWidth="1"/>
    <col min="8705" max="8705" width="14.6640625" style="285" customWidth="1"/>
    <col min="8706" max="8706" width="8.6640625" style="285" customWidth="1"/>
    <col min="8707" max="8707" width="11.5546875" style="285" customWidth="1"/>
    <col min="8708" max="8708" width="14.6640625" style="285" customWidth="1"/>
    <col min="8709" max="8952" width="8.88671875" style="285"/>
    <col min="8953" max="8953" width="9.6640625" style="285" customWidth="1"/>
    <col min="8954" max="8954" width="15.109375" style="285" bestFit="1" customWidth="1"/>
    <col min="8955" max="8955" width="14" style="285" bestFit="1" customWidth="1"/>
    <col min="8956" max="8956" width="17.109375" style="285" bestFit="1" customWidth="1"/>
    <col min="8957" max="8957" width="34.33203125" style="285" customWidth="1"/>
    <col min="8958" max="8958" width="5.6640625" style="285" customWidth="1"/>
    <col min="8959" max="8959" width="10.109375" style="285" bestFit="1" customWidth="1"/>
    <col min="8960" max="8960" width="9.6640625" style="285" customWidth="1"/>
    <col min="8961" max="8961" width="14.6640625" style="285" customWidth="1"/>
    <col min="8962" max="8962" width="8.6640625" style="285" customWidth="1"/>
    <col min="8963" max="8963" width="11.5546875" style="285" customWidth="1"/>
    <col min="8964" max="8964" width="14.6640625" style="285" customWidth="1"/>
    <col min="8965" max="9208" width="8.88671875" style="285"/>
    <col min="9209" max="9209" width="9.6640625" style="285" customWidth="1"/>
    <col min="9210" max="9210" width="15.109375" style="285" bestFit="1" customWidth="1"/>
    <col min="9211" max="9211" width="14" style="285" bestFit="1" customWidth="1"/>
    <col min="9212" max="9212" width="17.109375" style="285" bestFit="1" customWidth="1"/>
    <col min="9213" max="9213" width="34.33203125" style="285" customWidth="1"/>
    <col min="9214" max="9214" width="5.6640625" style="285" customWidth="1"/>
    <col min="9215" max="9215" width="10.109375" style="285" bestFit="1" customWidth="1"/>
    <col min="9216" max="9216" width="9.6640625" style="285" customWidth="1"/>
    <col min="9217" max="9217" width="14.6640625" style="285" customWidth="1"/>
    <col min="9218" max="9218" width="8.6640625" style="285" customWidth="1"/>
    <col min="9219" max="9219" width="11.5546875" style="285" customWidth="1"/>
    <col min="9220" max="9220" width="14.6640625" style="285" customWidth="1"/>
    <col min="9221" max="9464" width="8.88671875" style="285"/>
    <col min="9465" max="9465" width="9.6640625" style="285" customWidth="1"/>
    <col min="9466" max="9466" width="15.109375" style="285" bestFit="1" customWidth="1"/>
    <col min="9467" max="9467" width="14" style="285" bestFit="1" customWidth="1"/>
    <col min="9468" max="9468" width="17.109375" style="285" bestFit="1" customWidth="1"/>
    <col min="9469" max="9469" width="34.33203125" style="285" customWidth="1"/>
    <col min="9470" max="9470" width="5.6640625" style="285" customWidth="1"/>
    <col min="9471" max="9471" width="10.109375" style="285" bestFit="1" customWidth="1"/>
    <col min="9472" max="9472" width="9.6640625" style="285" customWidth="1"/>
    <col min="9473" max="9473" width="14.6640625" style="285" customWidth="1"/>
    <col min="9474" max="9474" width="8.6640625" style="285" customWidth="1"/>
    <col min="9475" max="9475" width="11.5546875" style="285" customWidth="1"/>
    <col min="9476" max="9476" width="14.6640625" style="285" customWidth="1"/>
    <col min="9477" max="9720" width="8.88671875" style="285"/>
    <col min="9721" max="9721" width="9.6640625" style="285" customWidth="1"/>
    <col min="9722" max="9722" width="15.109375" style="285" bestFit="1" customWidth="1"/>
    <col min="9723" max="9723" width="14" style="285" bestFit="1" customWidth="1"/>
    <col min="9724" max="9724" width="17.109375" style="285" bestFit="1" customWidth="1"/>
    <col min="9725" max="9725" width="34.33203125" style="285" customWidth="1"/>
    <col min="9726" max="9726" width="5.6640625" style="285" customWidth="1"/>
    <col min="9727" max="9727" width="10.109375" style="285" bestFit="1" customWidth="1"/>
    <col min="9728" max="9728" width="9.6640625" style="285" customWidth="1"/>
    <col min="9729" max="9729" width="14.6640625" style="285" customWidth="1"/>
    <col min="9730" max="9730" width="8.6640625" style="285" customWidth="1"/>
    <col min="9731" max="9731" width="11.5546875" style="285" customWidth="1"/>
    <col min="9732" max="9732" width="14.6640625" style="285" customWidth="1"/>
    <col min="9733" max="9976" width="8.88671875" style="285"/>
    <col min="9977" max="9977" width="9.6640625" style="285" customWidth="1"/>
    <col min="9978" max="9978" width="15.109375" style="285" bestFit="1" customWidth="1"/>
    <col min="9979" max="9979" width="14" style="285" bestFit="1" customWidth="1"/>
    <col min="9980" max="9980" width="17.109375" style="285" bestFit="1" customWidth="1"/>
    <col min="9981" max="9981" width="34.33203125" style="285" customWidth="1"/>
    <col min="9982" max="9982" width="5.6640625" style="285" customWidth="1"/>
    <col min="9983" max="9983" width="10.109375" style="285" bestFit="1" customWidth="1"/>
    <col min="9984" max="9984" width="9.6640625" style="285" customWidth="1"/>
    <col min="9985" max="9985" width="14.6640625" style="285" customWidth="1"/>
    <col min="9986" max="9986" width="8.6640625" style="285" customWidth="1"/>
    <col min="9987" max="9987" width="11.5546875" style="285" customWidth="1"/>
    <col min="9988" max="9988" width="14.6640625" style="285" customWidth="1"/>
    <col min="9989" max="10232" width="8.88671875" style="285"/>
    <col min="10233" max="10233" width="9.6640625" style="285" customWidth="1"/>
    <col min="10234" max="10234" width="15.109375" style="285" bestFit="1" customWidth="1"/>
    <col min="10235" max="10235" width="14" style="285" bestFit="1" customWidth="1"/>
    <col min="10236" max="10236" width="17.109375" style="285" bestFit="1" customWidth="1"/>
    <col min="10237" max="10237" width="34.33203125" style="285" customWidth="1"/>
    <col min="10238" max="10238" width="5.6640625" style="285" customWidth="1"/>
    <col min="10239" max="10239" width="10.109375" style="285" bestFit="1" customWidth="1"/>
    <col min="10240" max="10240" width="9.6640625" style="285" customWidth="1"/>
    <col min="10241" max="10241" width="14.6640625" style="285" customWidth="1"/>
    <col min="10242" max="10242" width="8.6640625" style="285" customWidth="1"/>
    <col min="10243" max="10243" width="11.5546875" style="285" customWidth="1"/>
    <col min="10244" max="10244" width="14.6640625" style="285" customWidth="1"/>
    <col min="10245" max="10488" width="8.88671875" style="285"/>
    <col min="10489" max="10489" width="9.6640625" style="285" customWidth="1"/>
    <col min="10490" max="10490" width="15.109375" style="285" bestFit="1" customWidth="1"/>
    <col min="10491" max="10491" width="14" style="285" bestFit="1" customWidth="1"/>
    <col min="10492" max="10492" width="17.109375" style="285" bestFit="1" customWidth="1"/>
    <col min="10493" max="10493" width="34.33203125" style="285" customWidth="1"/>
    <col min="10494" max="10494" width="5.6640625" style="285" customWidth="1"/>
    <col min="10495" max="10495" width="10.109375" style="285" bestFit="1" customWidth="1"/>
    <col min="10496" max="10496" width="9.6640625" style="285" customWidth="1"/>
    <col min="10497" max="10497" width="14.6640625" style="285" customWidth="1"/>
    <col min="10498" max="10498" width="8.6640625" style="285" customWidth="1"/>
    <col min="10499" max="10499" width="11.5546875" style="285" customWidth="1"/>
    <col min="10500" max="10500" width="14.6640625" style="285" customWidth="1"/>
    <col min="10501" max="10744" width="8.88671875" style="285"/>
    <col min="10745" max="10745" width="9.6640625" style="285" customWidth="1"/>
    <col min="10746" max="10746" width="15.109375" style="285" bestFit="1" customWidth="1"/>
    <col min="10747" max="10747" width="14" style="285" bestFit="1" customWidth="1"/>
    <col min="10748" max="10748" width="17.109375" style="285" bestFit="1" customWidth="1"/>
    <col min="10749" max="10749" width="34.33203125" style="285" customWidth="1"/>
    <col min="10750" max="10750" width="5.6640625" style="285" customWidth="1"/>
    <col min="10751" max="10751" width="10.109375" style="285" bestFit="1" customWidth="1"/>
    <col min="10752" max="10752" width="9.6640625" style="285" customWidth="1"/>
    <col min="10753" max="10753" width="14.6640625" style="285" customWidth="1"/>
    <col min="10754" max="10754" width="8.6640625" style="285" customWidth="1"/>
    <col min="10755" max="10755" width="11.5546875" style="285" customWidth="1"/>
    <col min="10756" max="10756" width="14.6640625" style="285" customWidth="1"/>
    <col min="10757" max="11000" width="8.88671875" style="285"/>
    <col min="11001" max="11001" width="9.6640625" style="285" customWidth="1"/>
    <col min="11002" max="11002" width="15.109375" style="285" bestFit="1" customWidth="1"/>
    <col min="11003" max="11003" width="14" style="285" bestFit="1" customWidth="1"/>
    <col min="11004" max="11004" width="17.109375" style="285" bestFit="1" customWidth="1"/>
    <col min="11005" max="11005" width="34.33203125" style="285" customWidth="1"/>
    <col min="11006" max="11006" width="5.6640625" style="285" customWidth="1"/>
    <col min="11007" max="11007" width="10.109375" style="285" bestFit="1" customWidth="1"/>
    <col min="11008" max="11008" width="9.6640625" style="285" customWidth="1"/>
    <col min="11009" max="11009" width="14.6640625" style="285" customWidth="1"/>
    <col min="11010" max="11010" width="8.6640625" style="285" customWidth="1"/>
    <col min="11011" max="11011" width="11.5546875" style="285" customWidth="1"/>
    <col min="11012" max="11012" width="14.6640625" style="285" customWidth="1"/>
    <col min="11013" max="11256" width="8.88671875" style="285"/>
    <col min="11257" max="11257" width="9.6640625" style="285" customWidth="1"/>
    <col min="11258" max="11258" width="15.109375" style="285" bestFit="1" customWidth="1"/>
    <col min="11259" max="11259" width="14" style="285" bestFit="1" customWidth="1"/>
    <col min="11260" max="11260" width="17.109375" style="285" bestFit="1" customWidth="1"/>
    <col min="11261" max="11261" width="34.33203125" style="285" customWidth="1"/>
    <col min="11262" max="11262" width="5.6640625" style="285" customWidth="1"/>
    <col min="11263" max="11263" width="10.109375" style="285" bestFit="1" customWidth="1"/>
    <col min="11264" max="11264" width="9.6640625" style="285" customWidth="1"/>
    <col min="11265" max="11265" width="14.6640625" style="285" customWidth="1"/>
    <col min="11266" max="11266" width="8.6640625" style="285" customWidth="1"/>
    <col min="11267" max="11267" width="11.5546875" style="285" customWidth="1"/>
    <col min="11268" max="11268" width="14.6640625" style="285" customWidth="1"/>
    <col min="11269" max="11512" width="8.88671875" style="285"/>
    <col min="11513" max="11513" width="9.6640625" style="285" customWidth="1"/>
    <col min="11514" max="11514" width="15.109375" style="285" bestFit="1" customWidth="1"/>
    <col min="11515" max="11515" width="14" style="285" bestFit="1" customWidth="1"/>
    <col min="11516" max="11516" width="17.109375" style="285" bestFit="1" customWidth="1"/>
    <col min="11517" max="11517" width="34.33203125" style="285" customWidth="1"/>
    <col min="11518" max="11518" width="5.6640625" style="285" customWidth="1"/>
    <col min="11519" max="11519" width="10.109375" style="285" bestFit="1" customWidth="1"/>
    <col min="11520" max="11520" width="9.6640625" style="285" customWidth="1"/>
    <col min="11521" max="11521" width="14.6640625" style="285" customWidth="1"/>
    <col min="11522" max="11522" width="8.6640625" style="285" customWidth="1"/>
    <col min="11523" max="11523" width="11.5546875" style="285" customWidth="1"/>
    <col min="11524" max="11524" width="14.6640625" style="285" customWidth="1"/>
    <col min="11525" max="11768" width="8.88671875" style="285"/>
    <col min="11769" max="11769" width="9.6640625" style="285" customWidth="1"/>
    <col min="11770" max="11770" width="15.109375" style="285" bestFit="1" customWidth="1"/>
    <col min="11771" max="11771" width="14" style="285" bestFit="1" customWidth="1"/>
    <col min="11772" max="11772" width="17.109375" style="285" bestFit="1" customWidth="1"/>
    <col min="11773" max="11773" width="34.33203125" style="285" customWidth="1"/>
    <col min="11774" max="11774" width="5.6640625" style="285" customWidth="1"/>
    <col min="11775" max="11775" width="10.109375" style="285" bestFit="1" customWidth="1"/>
    <col min="11776" max="11776" width="9.6640625" style="285" customWidth="1"/>
    <col min="11777" max="11777" width="14.6640625" style="285" customWidth="1"/>
    <col min="11778" max="11778" width="8.6640625" style="285" customWidth="1"/>
    <col min="11779" max="11779" width="11.5546875" style="285" customWidth="1"/>
    <col min="11780" max="11780" width="14.6640625" style="285" customWidth="1"/>
    <col min="11781" max="12024" width="8.88671875" style="285"/>
    <col min="12025" max="12025" width="9.6640625" style="285" customWidth="1"/>
    <col min="12026" max="12026" width="15.109375" style="285" bestFit="1" customWidth="1"/>
    <col min="12027" max="12027" width="14" style="285" bestFit="1" customWidth="1"/>
    <col min="12028" max="12028" width="17.109375" style="285" bestFit="1" customWidth="1"/>
    <col min="12029" max="12029" width="34.33203125" style="285" customWidth="1"/>
    <col min="12030" max="12030" width="5.6640625" style="285" customWidth="1"/>
    <col min="12031" max="12031" width="10.109375" style="285" bestFit="1" customWidth="1"/>
    <col min="12032" max="12032" width="9.6640625" style="285" customWidth="1"/>
    <col min="12033" max="12033" width="14.6640625" style="285" customWidth="1"/>
    <col min="12034" max="12034" width="8.6640625" style="285" customWidth="1"/>
    <col min="12035" max="12035" width="11.5546875" style="285" customWidth="1"/>
    <col min="12036" max="12036" width="14.6640625" style="285" customWidth="1"/>
    <col min="12037" max="12280" width="8.88671875" style="285"/>
    <col min="12281" max="12281" width="9.6640625" style="285" customWidth="1"/>
    <col min="12282" max="12282" width="15.109375" style="285" bestFit="1" customWidth="1"/>
    <col min="12283" max="12283" width="14" style="285" bestFit="1" customWidth="1"/>
    <col min="12284" max="12284" width="17.109375" style="285" bestFit="1" customWidth="1"/>
    <col min="12285" max="12285" width="34.33203125" style="285" customWidth="1"/>
    <col min="12286" max="12286" width="5.6640625" style="285" customWidth="1"/>
    <col min="12287" max="12287" width="10.109375" style="285" bestFit="1" customWidth="1"/>
    <col min="12288" max="12288" width="9.6640625" style="285" customWidth="1"/>
    <col min="12289" max="12289" width="14.6640625" style="285" customWidth="1"/>
    <col min="12290" max="12290" width="8.6640625" style="285" customWidth="1"/>
    <col min="12291" max="12291" width="11.5546875" style="285" customWidth="1"/>
    <col min="12292" max="12292" width="14.6640625" style="285" customWidth="1"/>
    <col min="12293" max="12536" width="8.88671875" style="285"/>
    <col min="12537" max="12537" width="9.6640625" style="285" customWidth="1"/>
    <col min="12538" max="12538" width="15.109375" style="285" bestFit="1" customWidth="1"/>
    <col min="12539" max="12539" width="14" style="285" bestFit="1" customWidth="1"/>
    <col min="12540" max="12540" width="17.109375" style="285" bestFit="1" customWidth="1"/>
    <col min="12541" max="12541" width="34.33203125" style="285" customWidth="1"/>
    <col min="12542" max="12542" width="5.6640625" style="285" customWidth="1"/>
    <col min="12543" max="12543" width="10.109375" style="285" bestFit="1" customWidth="1"/>
    <col min="12544" max="12544" width="9.6640625" style="285" customWidth="1"/>
    <col min="12545" max="12545" width="14.6640625" style="285" customWidth="1"/>
    <col min="12546" max="12546" width="8.6640625" style="285" customWidth="1"/>
    <col min="12547" max="12547" width="11.5546875" style="285" customWidth="1"/>
    <col min="12548" max="12548" width="14.6640625" style="285" customWidth="1"/>
    <col min="12549" max="12792" width="8.88671875" style="285"/>
    <col min="12793" max="12793" width="9.6640625" style="285" customWidth="1"/>
    <col min="12794" max="12794" width="15.109375" style="285" bestFit="1" customWidth="1"/>
    <col min="12795" max="12795" width="14" style="285" bestFit="1" customWidth="1"/>
    <col min="12796" max="12796" width="17.109375" style="285" bestFit="1" customWidth="1"/>
    <col min="12797" max="12797" width="34.33203125" style="285" customWidth="1"/>
    <col min="12798" max="12798" width="5.6640625" style="285" customWidth="1"/>
    <col min="12799" max="12799" width="10.109375" style="285" bestFit="1" customWidth="1"/>
    <col min="12800" max="12800" width="9.6640625" style="285" customWidth="1"/>
    <col min="12801" max="12801" width="14.6640625" style="285" customWidth="1"/>
    <col min="12802" max="12802" width="8.6640625" style="285" customWidth="1"/>
    <col min="12803" max="12803" width="11.5546875" style="285" customWidth="1"/>
    <col min="12804" max="12804" width="14.6640625" style="285" customWidth="1"/>
    <col min="12805" max="13048" width="8.88671875" style="285"/>
    <col min="13049" max="13049" width="9.6640625" style="285" customWidth="1"/>
    <col min="13050" max="13050" width="15.109375" style="285" bestFit="1" customWidth="1"/>
    <col min="13051" max="13051" width="14" style="285" bestFit="1" customWidth="1"/>
    <col min="13052" max="13052" width="17.109375" style="285" bestFit="1" customWidth="1"/>
    <col min="13053" max="13053" width="34.33203125" style="285" customWidth="1"/>
    <col min="13054" max="13054" width="5.6640625" style="285" customWidth="1"/>
    <col min="13055" max="13055" width="10.109375" style="285" bestFit="1" customWidth="1"/>
    <col min="13056" max="13056" width="9.6640625" style="285" customWidth="1"/>
    <col min="13057" max="13057" width="14.6640625" style="285" customWidth="1"/>
    <col min="13058" max="13058" width="8.6640625" style="285" customWidth="1"/>
    <col min="13059" max="13059" width="11.5546875" style="285" customWidth="1"/>
    <col min="13060" max="13060" width="14.6640625" style="285" customWidth="1"/>
    <col min="13061" max="13304" width="8.88671875" style="285"/>
    <col min="13305" max="13305" width="9.6640625" style="285" customWidth="1"/>
    <col min="13306" max="13306" width="15.109375" style="285" bestFit="1" customWidth="1"/>
    <col min="13307" max="13307" width="14" style="285" bestFit="1" customWidth="1"/>
    <col min="13308" max="13308" width="17.109375" style="285" bestFit="1" customWidth="1"/>
    <col min="13309" max="13309" width="34.33203125" style="285" customWidth="1"/>
    <col min="13310" max="13310" width="5.6640625" style="285" customWidth="1"/>
    <col min="13311" max="13311" width="10.109375" style="285" bestFit="1" customWidth="1"/>
    <col min="13312" max="13312" width="9.6640625" style="285" customWidth="1"/>
    <col min="13313" max="13313" width="14.6640625" style="285" customWidth="1"/>
    <col min="13314" max="13314" width="8.6640625" style="285" customWidth="1"/>
    <col min="13315" max="13315" width="11.5546875" style="285" customWidth="1"/>
    <col min="13316" max="13316" width="14.6640625" style="285" customWidth="1"/>
    <col min="13317" max="13560" width="8.88671875" style="285"/>
    <col min="13561" max="13561" width="9.6640625" style="285" customWidth="1"/>
    <col min="13562" max="13562" width="15.109375" style="285" bestFit="1" customWidth="1"/>
    <col min="13563" max="13563" width="14" style="285" bestFit="1" customWidth="1"/>
    <col min="13564" max="13564" width="17.109375" style="285" bestFit="1" customWidth="1"/>
    <col min="13565" max="13565" width="34.33203125" style="285" customWidth="1"/>
    <col min="13566" max="13566" width="5.6640625" style="285" customWidth="1"/>
    <col min="13567" max="13567" width="10.109375" style="285" bestFit="1" customWidth="1"/>
    <col min="13568" max="13568" width="9.6640625" style="285" customWidth="1"/>
    <col min="13569" max="13569" width="14.6640625" style="285" customWidth="1"/>
    <col min="13570" max="13570" width="8.6640625" style="285" customWidth="1"/>
    <col min="13571" max="13571" width="11.5546875" style="285" customWidth="1"/>
    <col min="13572" max="13572" width="14.6640625" style="285" customWidth="1"/>
    <col min="13573" max="13816" width="8.88671875" style="285"/>
    <col min="13817" max="13817" width="9.6640625" style="285" customWidth="1"/>
    <col min="13818" max="13818" width="15.109375" style="285" bestFit="1" customWidth="1"/>
    <col min="13819" max="13819" width="14" style="285" bestFit="1" customWidth="1"/>
    <col min="13820" max="13820" width="17.109375" style="285" bestFit="1" customWidth="1"/>
    <col min="13821" max="13821" width="34.33203125" style="285" customWidth="1"/>
    <col min="13822" max="13822" width="5.6640625" style="285" customWidth="1"/>
    <col min="13823" max="13823" width="10.109375" style="285" bestFit="1" customWidth="1"/>
    <col min="13824" max="13824" width="9.6640625" style="285" customWidth="1"/>
    <col min="13825" max="13825" width="14.6640625" style="285" customWidth="1"/>
    <col min="13826" max="13826" width="8.6640625" style="285" customWidth="1"/>
    <col min="13827" max="13827" width="11.5546875" style="285" customWidth="1"/>
    <col min="13828" max="13828" width="14.6640625" style="285" customWidth="1"/>
    <col min="13829" max="14072" width="8.88671875" style="285"/>
    <col min="14073" max="14073" width="9.6640625" style="285" customWidth="1"/>
    <col min="14074" max="14074" width="15.109375" style="285" bestFit="1" customWidth="1"/>
    <col min="14075" max="14075" width="14" style="285" bestFit="1" customWidth="1"/>
    <col min="14076" max="14076" width="17.109375" style="285" bestFit="1" customWidth="1"/>
    <col min="14077" max="14077" width="34.33203125" style="285" customWidth="1"/>
    <col min="14078" max="14078" width="5.6640625" style="285" customWidth="1"/>
    <col min="14079" max="14079" width="10.109375" style="285" bestFit="1" customWidth="1"/>
    <col min="14080" max="14080" width="9.6640625" style="285" customWidth="1"/>
    <col min="14081" max="14081" width="14.6640625" style="285" customWidth="1"/>
    <col min="14082" max="14082" width="8.6640625" style="285" customWidth="1"/>
    <col min="14083" max="14083" width="11.5546875" style="285" customWidth="1"/>
    <col min="14084" max="14084" width="14.6640625" style="285" customWidth="1"/>
    <col min="14085" max="14328" width="8.88671875" style="285"/>
    <col min="14329" max="14329" width="9.6640625" style="285" customWidth="1"/>
    <col min="14330" max="14330" width="15.109375" style="285" bestFit="1" customWidth="1"/>
    <col min="14331" max="14331" width="14" style="285" bestFit="1" customWidth="1"/>
    <col min="14332" max="14332" width="17.109375" style="285" bestFit="1" customWidth="1"/>
    <col min="14333" max="14333" width="34.33203125" style="285" customWidth="1"/>
    <col min="14334" max="14334" width="5.6640625" style="285" customWidth="1"/>
    <col min="14335" max="14335" width="10.109375" style="285" bestFit="1" customWidth="1"/>
    <col min="14336" max="14336" width="9.6640625" style="285" customWidth="1"/>
    <col min="14337" max="14337" width="14.6640625" style="285" customWidth="1"/>
    <col min="14338" max="14338" width="8.6640625" style="285" customWidth="1"/>
    <col min="14339" max="14339" width="11.5546875" style="285" customWidth="1"/>
    <col min="14340" max="14340" width="14.6640625" style="285" customWidth="1"/>
    <col min="14341" max="14584" width="8.88671875" style="285"/>
    <col min="14585" max="14585" width="9.6640625" style="285" customWidth="1"/>
    <col min="14586" max="14586" width="15.109375" style="285" bestFit="1" customWidth="1"/>
    <col min="14587" max="14587" width="14" style="285" bestFit="1" customWidth="1"/>
    <col min="14588" max="14588" width="17.109375" style="285" bestFit="1" customWidth="1"/>
    <col min="14589" max="14589" width="34.33203125" style="285" customWidth="1"/>
    <col min="14590" max="14590" width="5.6640625" style="285" customWidth="1"/>
    <col min="14591" max="14591" width="10.109375" style="285" bestFit="1" customWidth="1"/>
    <col min="14592" max="14592" width="9.6640625" style="285" customWidth="1"/>
    <col min="14593" max="14593" width="14.6640625" style="285" customWidth="1"/>
    <col min="14594" max="14594" width="8.6640625" style="285" customWidth="1"/>
    <col min="14595" max="14595" width="11.5546875" style="285" customWidth="1"/>
    <col min="14596" max="14596" width="14.6640625" style="285" customWidth="1"/>
    <col min="14597" max="14840" width="8.88671875" style="285"/>
    <col min="14841" max="14841" width="9.6640625" style="285" customWidth="1"/>
    <col min="14842" max="14842" width="15.109375" style="285" bestFit="1" customWidth="1"/>
    <col min="14843" max="14843" width="14" style="285" bestFit="1" customWidth="1"/>
    <col min="14844" max="14844" width="17.109375" style="285" bestFit="1" customWidth="1"/>
    <col min="14845" max="14845" width="34.33203125" style="285" customWidth="1"/>
    <col min="14846" max="14846" width="5.6640625" style="285" customWidth="1"/>
    <col min="14847" max="14847" width="10.109375" style="285" bestFit="1" customWidth="1"/>
    <col min="14848" max="14848" width="9.6640625" style="285" customWidth="1"/>
    <col min="14849" max="14849" width="14.6640625" style="285" customWidth="1"/>
    <col min="14850" max="14850" width="8.6640625" style="285" customWidth="1"/>
    <col min="14851" max="14851" width="11.5546875" style="285" customWidth="1"/>
    <col min="14852" max="14852" width="14.6640625" style="285" customWidth="1"/>
    <col min="14853" max="15096" width="8.88671875" style="285"/>
    <col min="15097" max="15097" width="9.6640625" style="285" customWidth="1"/>
    <col min="15098" max="15098" width="15.109375" style="285" bestFit="1" customWidth="1"/>
    <col min="15099" max="15099" width="14" style="285" bestFit="1" customWidth="1"/>
    <col min="15100" max="15100" width="17.109375" style="285" bestFit="1" customWidth="1"/>
    <col min="15101" max="15101" width="34.33203125" style="285" customWidth="1"/>
    <col min="15102" max="15102" width="5.6640625" style="285" customWidth="1"/>
    <col min="15103" max="15103" width="10.109375" style="285" bestFit="1" customWidth="1"/>
    <col min="15104" max="15104" width="9.6640625" style="285" customWidth="1"/>
    <col min="15105" max="15105" width="14.6640625" style="285" customWidth="1"/>
    <col min="15106" max="15106" width="8.6640625" style="285" customWidth="1"/>
    <col min="15107" max="15107" width="11.5546875" style="285" customWidth="1"/>
    <col min="15108" max="15108" width="14.6640625" style="285" customWidth="1"/>
    <col min="15109" max="15352" width="8.88671875" style="285"/>
    <col min="15353" max="15353" width="9.6640625" style="285" customWidth="1"/>
    <col min="15354" max="15354" width="15.109375" style="285" bestFit="1" customWidth="1"/>
    <col min="15355" max="15355" width="14" style="285" bestFit="1" customWidth="1"/>
    <col min="15356" max="15356" width="17.109375" style="285" bestFit="1" customWidth="1"/>
    <col min="15357" max="15357" width="34.33203125" style="285" customWidth="1"/>
    <col min="15358" max="15358" width="5.6640625" style="285" customWidth="1"/>
    <col min="15359" max="15359" width="10.109375" style="285" bestFit="1" customWidth="1"/>
    <col min="15360" max="15360" width="9.6640625" style="285" customWidth="1"/>
    <col min="15361" max="15361" width="14.6640625" style="285" customWidth="1"/>
    <col min="15362" max="15362" width="8.6640625" style="285" customWidth="1"/>
    <col min="15363" max="15363" width="11.5546875" style="285" customWidth="1"/>
    <col min="15364" max="15364" width="14.6640625" style="285" customWidth="1"/>
    <col min="15365" max="15608" width="8.88671875" style="285"/>
    <col min="15609" max="15609" width="9.6640625" style="285" customWidth="1"/>
    <col min="15610" max="15610" width="15.109375" style="285" bestFit="1" customWidth="1"/>
    <col min="15611" max="15611" width="14" style="285" bestFit="1" customWidth="1"/>
    <col min="15612" max="15612" width="17.109375" style="285" bestFit="1" customWidth="1"/>
    <col min="15613" max="15613" width="34.33203125" style="285" customWidth="1"/>
    <col min="15614" max="15614" width="5.6640625" style="285" customWidth="1"/>
    <col min="15615" max="15615" width="10.109375" style="285" bestFit="1" customWidth="1"/>
    <col min="15616" max="15616" width="9.6640625" style="285" customWidth="1"/>
    <col min="15617" max="15617" width="14.6640625" style="285" customWidth="1"/>
    <col min="15618" max="15618" width="8.6640625" style="285" customWidth="1"/>
    <col min="15619" max="15619" width="11.5546875" style="285" customWidth="1"/>
    <col min="15620" max="15620" width="14.6640625" style="285" customWidth="1"/>
    <col min="15621" max="15864" width="8.88671875" style="285"/>
    <col min="15865" max="15865" width="9.6640625" style="285" customWidth="1"/>
    <col min="15866" max="15866" width="15.109375" style="285" bestFit="1" customWidth="1"/>
    <col min="15867" max="15867" width="14" style="285" bestFit="1" customWidth="1"/>
    <col min="15868" max="15868" width="17.109375" style="285" bestFit="1" customWidth="1"/>
    <col min="15869" max="15869" width="34.33203125" style="285" customWidth="1"/>
    <col min="15870" max="15870" width="5.6640625" style="285" customWidth="1"/>
    <col min="15871" max="15871" width="10.109375" style="285" bestFit="1" customWidth="1"/>
    <col min="15872" max="15872" width="9.6640625" style="285" customWidth="1"/>
    <col min="15873" max="15873" width="14.6640625" style="285" customWidth="1"/>
    <col min="15874" max="15874" width="8.6640625" style="285" customWidth="1"/>
    <col min="15875" max="15875" width="11.5546875" style="285" customWidth="1"/>
    <col min="15876" max="15876" width="14.6640625" style="285" customWidth="1"/>
    <col min="15877" max="16120" width="8.88671875" style="285"/>
    <col min="16121" max="16121" width="9.6640625" style="285" customWidth="1"/>
    <col min="16122" max="16122" width="15.109375" style="285" bestFit="1" customWidth="1"/>
    <col min="16123" max="16123" width="14" style="285" bestFit="1" customWidth="1"/>
    <col min="16124" max="16124" width="17.109375" style="285" bestFit="1" customWidth="1"/>
    <col min="16125" max="16125" width="34.33203125" style="285" customWidth="1"/>
    <col min="16126" max="16126" width="5.6640625" style="285" customWidth="1"/>
    <col min="16127" max="16127" width="10.109375" style="285" bestFit="1" customWidth="1"/>
    <col min="16128" max="16128" width="9.6640625" style="285" customWidth="1"/>
    <col min="16129" max="16129" width="14.6640625" style="285" customWidth="1"/>
    <col min="16130" max="16130" width="8.6640625" style="285" customWidth="1"/>
    <col min="16131" max="16131" width="11.5546875" style="285" customWidth="1"/>
    <col min="16132" max="16132" width="14.6640625" style="285" customWidth="1"/>
    <col min="16133" max="16371" width="8.88671875" style="285"/>
    <col min="16372" max="16380" width="9.109375" style="285" customWidth="1"/>
    <col min="16381" max="16384" width="8.88671875" style="285"/>
  </cols>
  <sheetData>
    <row r="1" spans="1:22" x14ac:dyDescent="0.25">
      <c r="A1" s="283"/>
      <c r="B1" s="743" t="s">
        <v>157</v>
      </c>
      <c r="C1" s="743"/>
      <c r="D1" s="743"/>
      <c r="E1" s="743"/>
      <c r="F1" s="743"/>
      <c r="G1" s="763"/>
      <c r="H1" s="743"/>
      <c r="I1" s="743"/>
      <c r="J1" s="743"/>
      <c r="K1" s="743"/>
      <c r="L1" s="284"/>
      <c r="V1" s="287"/>
    </row>
    <row r="2" spans="1:22" ht="21" x14ac:dyDescent="0.4">
      <c r="A2" s="288"/>
      <c r="B2" s="744"/>
      <c r="C2" s="744"/>
      <c r="D2" s="744"/>
      <c r="E2" s="744"/>
      <c r="F2" s="744"/>
      <c r="G2" s="764"/>
      <c r="H2" s="744"/>
      <c r="I2" s="744"/>
      <c r="J2" s="744"/>
      <c r="K2" s="744"/>
      <c r="L2" s="289"/>
    </row>
    <row r="3" spans="1:22" ht="18" customHeight="1" x14ac:dyDescent="0.3">
      <c r="A3" s="288"/>
      <c r="B3" s="744"/>
      <c r="C3" s="744"/>
      <c r="D3" s="744"/>
      <c r="E3" s="744"/>
      <c r="F3" s="744"/>
      <c r="G3" s="764"/>
      <c r="H3" s="744"/>
      <c r="I3" s="744"/>
      <c r="J3" s="744"/>
      <c r="K3" s="744"/>
      <c r="L3" s="290"/>
    </row>
    <row r="4" spans="1:22" ht="15.6" thickBot="1" x14ac:dyDescent="0.3">
      <c r="A4" s="288"/>
      <c r="B4" s="744"/>
      <c r="C4" s="744"/>
      <c r="D4" s="744"/>
      <c r="E4" s="744"/>
      <c r="F4" s="744"/>
      <c r="G4" s="764"/>
      <c r="H4" s="744"/>
      <c r="I4" s="744"/>
      <c r="J4" s="744"/>
      <c r="K4" s="744"/>
      <c r="L4" s="291"/>
    </row>
    <row r="5" spans="1:22" s="293" customFormat="1" ht="45.75" customHeight="1" x14ac:dyDescent="0.25">
      <c r="A5" s="133"/>
      <c r="B5" s="765" t="s">
        <v>62</v>
      </c>
      <c r="C5" s="767" t="s">
        <v>64</v>
      </c>
      <c r="D5" s="769" t="s">
        <v>65</v>
      </c>
      <c r="E5" s="767" t="s">
        <v>158</v>
      </c>
      <c r="F5" s="767" t="s">
        <v>159</v>
      </c>
      <c r="G5" s="771" t="s">
        <v>160</v>
      </c>
      <c r="H5" s="771" t="s">
        <v>161</v>
      </c>
      <c r="I5" s="771" t="s">
        <v>38</v>
      </c>
      <c r="J5" s="773" t="s">
        <v>162</v>
      </c>
      <c r="K5" s="775" t="s">
        <v>39</v>
      </c>
      <c r="L5" s="292"/>
      <c r="N5" s="294"/>
    </row>
    <row r="6" spans="1:22" s="137" customFormat="1" ht="14.4" thickBot="1" x14ac:dyDescent="0.35">
      <c r="A6" s="133"/>
      <c r="B6" s="766"/>
      <c r="C6" s="768"/>
      <c r="D6" s="770"/>
      <c r="E6" s="768"/>
      <c r="F6" s="768"/>
      <c r="G6" s="772"/>
      <c r="H6" s="772"/>
      <c r="I6" s="772"/>
      <c r="J6" s="774"/>
      <c r="K6" s="776"/>
      <c r="L6" s="135"/>
    </row>
    <row r="7" spans="1:22" s="137" customFormat="1" ht="15.6" x14ac:dyDescent="0.3">
      <c r="A7" s="133"/>
      <c r="B7" s="295" t="s">
        <v>163</v>
      </c>
      <c r="C7" s="296"/>
      <c r="D7" s="297"/>
      <c r="E7" s="296"/>
      <c r="F7" s="296"/>
      <c r="G7" s="298"/>
      <c r="H7" s="298"/>
      <c r="I7" s="298"/>
      <c r="J7" s="299"/>
      <c r="K7" s="300"/>
      <c r="L7" s="135"/>
    </row>
    <row r="8" spans="1:22" s="137" customFormat="1" ht="15.6" x14ac:dyDescent="0.3">
      <c r="A8" s="133"/>
      <c r="B8" s="301"/>
      <c r="C8" s="296"/>
      <c r="D8" s="297"/>
      <c r="E8" s="296"/>
      <c r="F8" s="296"/>
      <c r="G8" s="298"/>
      <c r="H8" s="298"/>
      <c r="I8" s="298"/>
      <c r="J8" s="299"/>
      <c r="K8" s="300"/>
      <c r="L8" s="135"/>
    </row>
    <row r="9" spans="1:22" s="137" customFormat="1" x14ac:dyDescent="0.3">
      <c r="A9" s="133"/>
      <c r="B9" s="551">
        <v>46084</v>
      </c>
      <c r="C9" s="176" t="s">
        <v>164</v>
      </c>
      <c r="D9" s="520" t="s">
        <v>379</v>
      </c>
      <c r="E9" s="552" t="s">
        <v>166</v>
      </c>
      <c r="F9" s="521"/>
      <c r="G9" s="522"/>
      <c r="H9" s="522"/>
      <c r="I9" s="523">
        <f>K9/J9</f>
        <v>6</v>
      </c>
      <c r="J9" s="524">
        <v>12.1</v>
      </c>
      <c r="K9" s="550">
        <v>72.599999999999994</v>
      </c>
      <c r="L9" s="135"/>
    </row>
    <row r="10" spans="1:22" s="137" customFormat="1" ht="18.75" customHeight="1" x14ac:dyDescent="0.3">
      <c r="A10" s="133"/>
      <c r="B10" s="551">
        <v>46085</v>
      </c>
      <c r="C10" s="176" t="s">
        <v>164</v>
      </c>
      <c r="D10" s="553" t="s">
        <v>380</v>
      </c>
      <c r="E10" s="552" t="s">
        <v>166</v>
      </c>
      <c r="F10" s="304"/>
      <c r="G10" s="305"/>
      <c r="H10" s="305"/>
      <c r="I10" s="523">
        <f t="shared" ref="I10:I73" si="0">K10/J10</f>
        <v>5</v>
      </c>
      <c r="J10" s="524">
        <v>12.1</v>
      </c>
      <c r="K10" s="554">
        <v>60.5</v>
      </c>
      <c r="L10" s="135"/>
    </row>
    <row r="11" spans="1:22" s="137" customFormat="1" ht="18.75" customHeight="1" x14ac:dyDescent="0.3">
      <c r="A11" s="133"/>
      <c r="B11" s="551">
        <v>46083</v>
      </c>
      <c r="C11" s="176" t="s">
        <v>164</v>
      </c>
      <c r="D11" s="553" t="s">
        <v>133</v>
      </c>
      <c r="E11" s="552" t="s">
        <v>166</v>
      </c>
      <c r="F11" s="304"/>
      <c r="G11" s="305"/>
      <c r="H11" s="305"/>
      <c r="I11" s="523">
        <f t="shared" si="0"/>
        <v>5</v>
      </c>
      <c r="J11" s="524">
        <v>12.1</v>
      </c>
      <c r="K11" s="554">
        <v>60.5</v>
      </c>
      <c r="L11" s="135"/>
    </row>
    <row r="12" spans="1:22" s="137" customFormat="1" ht="18.75" customHeight="1" x14ac:dyDescent="0.3">
      <c r="A12" s="133"/>
      <c r="B12" s="551">
        <v>46087</v>
      </c>
      <c r="C12" s="176" t="s">
        <v>164</v>
      </c>
      <c r="D12" s="553" t="s">
        <v>133</v>
      </c>
      <c r="E12" s="552" t="s">
        <v>166</v>
      </c>
      <c r="F12" s="304"/>
      <c r="G12" s="305"/>
      <c r="H12" s="305"/>
      <c r="I12" s="523">
        <f t="shared" si="0"/>
        <v>5</v>
      </c>
      <c r="J12" s="524">
        <v>12.1</v>
      </c>
      <c r="K12" s="554">
        <v>60.5</v>
      </c>
      <c r="L12" s="135"/>
    </row>
    <row r="13" spans="1:22" s="137" customFormat="1" ht="18.75" customHeight="1" x14ac:dyDescent="0.3">
      <c r="A13" s="133"/>
      <c r="B13" s="551">
        <v>46094</v>
      </c>
      <c r="C13" s="176" t="s">
        <v>164</v>
      </c>
      <c r="D13" s="553" t="s">
        <v>248</v>
      </c>
      <c r="E13" s="552" t="s">
        <v>166</v>
      </c>
      <c r="F13" s="304"/>
      <c r="G13" s="305"/>
      <c r="H13" s="305"/>
      <c r="I13" s="523">
        <f t="shared" si="0"/>
        <v>6</v>
      </c>
      <c r="J13" s="524">
        <v>12.1</v>
      </c>
      <c r="K13" s="554">
        <v>72.599999999999994</v>
      </c>
      <c r="L13" s="135"/>
    </row>
    <row r="14" spans="1:22" s="137" customFormat="1" ht="18.75" customHeight="1" x14ac:dyDescent="0.3">
      <c r="A14" s="133"/>
      <c r="B14" s="551">
        <v>46107</v>
      </c>
      <c r="C14" s="176" t="s">
        <v>164</v>
      </c>
      <c r="D14" s="553" t="s">
        <v>248</v>
      </c>
      <c r="E14" s="552" t="s">
        <v>166</v>
      </c>
      <c r="F14" s="304"/>
      <c r="G14" s="305"/>
      <c r="H14" s="305"/>
      <c r="I14" s="523">
        <f t="shared" si="0"/>
        <v>6</v>
      </c>
      <c r="J14" s="524">
        <v>12.1</v>
      </c>
      <c r="K14" s="554">
        <v>72.599999999999994</v>
      </c>
      <c r="L14" s="135"/>
    </row>
    <row r="15" spans="1:22" s="137" customFormat="1" ht="18.75" customHeight="1" x14ac:dyDescent="0.3">
      <c r="A15" s="133"/>
      <c r="B15" s="551">
        <v>46101</v>
      </c>
      <c r="C15" s="176" t="s">
        <v>164</v>
      </c>
      <c r="D15" s="553" t="s">
        <v>99</v>
      </c>
      <c r="E15" s="552" t="s">
        <v>166</v>
      </c>
      <c r="F15" s="304"/>
      <c r="G15" s="305"/>
      <c r="H15" s="305"/>
      <c r="I15" s="523">
        <f t="shared" si="0"/>
        <v>5</v>
      </c>
      <c r="J15" s="524">
        <v>12.1</v>
      </c>
      <c r="K15" s="554">
        <v>60.5</v>
      </c>
      <c r="L15" s="135"/>
    </row>
    <row r="16" spans="1:22" s="137" customFormat="1" ht="18.75" customHeight="1" x14ac:dyDescent="0.3">
      <c r="A16" s="133"/>
      <c r="B16" s="551">
        <v>46108</v>
      </c>
      <c r="C16" s="176" t="s">
        <v>164</v>
      </c>
      <c r="D16" s="553" t="s">
        <v>99</v>
      </c>
      <c r="E16" s="552" t="s">
        <v>166</v>
      </c>
      <c r="F16" s="304"/>
      <c r="G16" s="305"/>
      <c r="H16" s="305"/>
      <c r="I16" s="523">
        <f t="shared" si="0"/>
        <v>5</v>
      </c>
      <c r="J16" s="524">
        <v>12.1</v>
      </c>
      <c r="K16" s="554">
        <v>60.5</v>
      </c>
      <c r="L16" s="135"/>
    </row>
    <row r="17" spans="1:12" s="137" customFormat="1" ht="18.75" customHeight="1" x14ac:dyDescent="0.3">
      <c r="A17" s="133"/>
      <c r="B17" s="551">
        <v>46085</v>
      </c>
      <c r="C17" s="176" t="s">
        <v>164</v>
      </c>
      <c r="D17" s="553" t="s">
        <v>418</v>
      </c>
      <c r="E17" s="552" t="s">
        <v>166</v>
      </c>
      <c r="F17" s="304"/>
      <c r="G17" s="305"/>
      <c r="H17" s="305"/>
      <c r="I17" s="523">
        <f t="shared" si="0"/>
        <v>5</v>
      </c>
      <c r="J17" s="524">
        <v>12.1</v>
      </c>
      <c r="K17" s="554">
        <v>60.5</v>
      </c>
      <c r="L17" s="135"/>
    </row>
    <row r="18" spans="1:12" s="137" customFormat="1" ht="18.75" customHeight="1" x14ac:dyDescent="0.3">
      <c r="A18" s="133"/>
      <c r="B18" s="551">
        <v>46088</v>
      </c>
      <c r="C18" s="176" t="s">
        <v>164</v>
      </c>
      <c r="D18" s="553" t="s">
        <v>418</v>
      </c>
      <c r="E18" s="552" t="s">
        <v>166</v>
      </c>
      <c r="F18" s="304"/>
      <c r="G18" s="305"/>
      <c r="H18" s="305"/>
      <c r="I18" s="523">
        <f t="shared" si="0"/>
        <v>5</v>
      </c>
      <c r="J18" s="524">
        <v>12.1</v>
      </c>
      <c r="K18" s="554">
        <v>60.5</v>
      </c>
      <c r="L18" s="135"/>
    </row>
    <row r="19" spans="1:12" s="137" customFormat="1" ht="18.75" customHeight="1" x14ac:dyDescent="0.3">
      <c r="A19" s="133"/>
      <c r="B19" s="551">
        <v>46084</v>
      </c>
      <c r="C19" s="176" t="s">
        <v>164</v>
      </c>
      <c r="D19" s="553" t="s">
        <v>138</v>
      </c>
      <c r="E19" s="552" t="s">
        <v>166</v>
      </c>
      <c r="F19" s="304"/>
      <c r="G19" s="305"/>
      <c r="H19" s="305"/>
      <c r="I19" s="523">
        <f t="shared" si="0"/>
        <v>5</v>
      </c>
      <c r="J19" s="524">
        <v>12.1</v>
      </c>
      <c r="K19" s="554">
        <v>60.5</v>
      </c>
      <c r="L19" s="135"/>
    </row>
    <row r="20" spans="1:12" s="137" customFormat="1" ht="18.75" customHeight="1" x14ac:dyDescent="0.3">
      <c r="A20" s="133"/>
      <c r="B20" s="551">
        <v>46099</v>
      </c>
      <c r="C20" s="176" t="s">
        <v>164</v>
      </c>
      <c r="D20" s="553" t="s">
        <v>138</v>
      </c>
      <c r="E20" s="552" t="s">
        <v>166</v>
      </c>
      <c r="F20" s="304"/>
      <c r="G20" s="305"/>
      <c r="H20" s="305"/>
      <c r="I20" s="523">
        <f t="shared" si="0"/>
        <v>4</v>
      </c>
      <c r="J20" s="524">
        <v>12.1</v>
      </c>
      <c r="K20" s="554">
        <v>48.4</v>
      </c>
      <c r="L20" s="135"/>
    </row>
    <row r="21" spans="1:12" s="137" customFormat="1" ht="18.75" customHeight="1" x14ac:dyDescent="0.3">
      <c r="A21" s="133"/>
      <c r="B21" s="551">
        <v>46085</v>
      </c>
      <c r="C21" s="176" t="s">
        <v>164</v>
      </c>
      <c r="D21" s="553" t="s">
        <v>419</v>
      </c>
      <c r="E21" s="552" t="s">
        <v>166</v>
      </c>
      <c r="F21" s="304"/>
      <c r="G21" s="305"/>
      <c r="H21" s="305"/>
      <c r="I21" s="523">
        <f t="shared" si="0"/>
        <v>5</v>
      </c>
      <c r="J21" s="524">
        <v>12.1</v>
      </c>
      <c r="K21" s="554">
        <v>60.5</v>
      </c>
      <c r="L21" s="135"/>
    </row>
    <row r="22" spans="1:12" s="137" customFormat="1" ht="18.75" customHeight="1" x14ac:dyDescent="0.3">
      <c r="A22" s="133"/>
      <c r="B22" s="551">
        <v>46098</v>
      </c>
      <c r="C22" s="176" t="s">
        <v>164</v>
      </c>
      <c r="D22" s="553" t="s">
        <v>419</v>
      </c>
      <c r="E22" s="552" t="s">
        <v>166</v>
      </c>
      <c r="F22" s="304"/>
      <c r="G22" s="305"/>
      <c r="H22" s="305"/>
      <c r="I22" s="523">
        <f t="shared" si="0"/>
        <v>5</v>
      </c>
      <c r="J22" s="524">
        <v>12.1</v>
      </c>
      <c r="K22" s="554">
        <v>60.5</v>
      </c>
      <c r="L22" s="135"/>
    </row>
    <row r="23" spans="1:12" s="137" customFormat="1" ht="18.75" customHeight="1" x14ac:dyDescent="0.3">
      <c r="A23" s="133"/>
      <c r="B23" s="551">
        <v>46100</v>
      </c>
      <c r="C23" s="176" t="s">
        <v>164</v>
      </c>
      <c r="D23" s="553" t="s">
        <v>419</v>
      </c>
      <c r="E23" s="552" t="s">
        <v>166</v>
      </c>
      <c r="F23" s="304"/>
      <c r="G23" s="305"/>
      <c r="H23" s="305"/>
      <c r="I23" s="523">
        <f t="shared" si="0"/>
        <v>5</v>
      </c>
      <c r="J23" s="524">
        <v>12.1</v>
      </c>
      <c r="K23" s="554">
        <v>60.5</v>
      </c>
      <c r="L23" s="135"/>
    </row>
    <row r="24" spans="1:12" s="137" customFormat="1" ht="18.75" customHeight="1" x14ac:dyDescent="0.3">
      <c r="A24" s="133"/>
      <c r="B24" s="551">
        <v>46107</v>
      </c>
      <c r="C24" s="176" t="s">
        <v>164</v>
      </c>
      <c r="D24" s="553" t="s">
        <v>419</v>
      </c>
      <c r="E24" s="552" t="s">
        <v>166</v>
      </c>
      <c r="F24" s="304"/>
      <c r="G24" s="305"/>
      <c r="H24" s="305"/>
      <c r="I24" s="523">
        <f t="shared" si="0"/>
        <v>4</v>
      </c>
      <c r="J24" s="524">
        <v>12.1</v>
      </c>
      <c r="K24" s="554">
        <v>48.4</v>
      </c>
      <c r="L24" s="135"/>
    </row>
    <row r="25" spans="1:12" s="137" customFormat="1" ht="18.75" customHeight="1" x14ac:dyDescent="0.3">
      <c r="A25" s="133"/>
      <c r="B25" s="551">
        <v>46109</v>
      </c>
      <c r="C25" s="176" t="s">
        <v>164</v>
      </c>
      <c r="D25" s="553" t="s">
        <v>419</v>
      </c>
      <c r="E25" s="552" t="s">
        <v>166</v>
      </c>
      <c r="F25" s="304"/>
      <c r="G25" s="305"/>
      <c r="H25" s="305"/>
      <c r="I25" s="523">
        <f t="shared" si="0"/>
        <v>4</v>
      </c>
      <c r="J25" s="524">
        <v>12.1</v>
      </c>
      <c r="K25" s="554">
        <v>48.4</v>
      </c>
      <c r="L25" s="135"/>
    </row>
    <row r="26" spans="1:12" s="137" customFormat="1" ht="18.75" customHeight="1" x14ac:dyDescent="0.3">
      <c r="A26" s="133"/>
      <c r="B26" s="551">
        <v>46111</v>
      </c>
      <c r="C26" s="176" t="s">
        <v>164</v>
      </c>
      <c r="D26" s="553" t="s">
        <v>419</v>
      </c>
      <c r="E26" s="552" t="s">
        <v>166</v>
      </c>
      <c r="F26" s="304"/>
      <c r="G26" s="305"/>
      <c r="H26" s="305"/>
      <c r="I26" s="523">
        <f t="shared" si="0"/>
        <v>4</v>
      </c>
      <c r="J26" s="524">
        <v>12.1</v>
      </c>
      <c r="K26" s="554">
        <v>48.4</v>
      </c>
      <c r="L26" s="135"/>
    </row>
    <row r="27" spans="1:12" s="137" customFormat="1" ht="18.75" customHeight="1" x14ac:dyDescent="0.3">
      <c r="A27" s="133"/>
      <c r="B27" s="551">
        <v>46083</v>
      </c>
      <c r="C27" s="176" t="s">
        <v>164</v>
      </c>
      <c r="D27" s="553" t="s">
        <v>117</v>
      </c>
      <c r="E27" s="552" t="s">
        <v>166</v>
      </c>
      <c r="F27" s="304"/>
      <c r="G27" s="305"/>
      <c r="H27" s="305"/>
      <c r="I27" s="523">
        <f t="shared" si="0"/>
        <v>5</v>
      </c>
      <c r="J27" s="524">
        <v>12.1</v>
      </c>
      <c r="K27" s="554">
        <v>60.5</v>
      </c>
      <c r="L27" s="135"/>
    </row>
    <row r="28" spans="1:12" s="137" customFormat="1" ht="18.75" customHeight="1" x14ac:dyDescent="0.3">
      <c r="A28" s="133"/>
      <c r="B28" s="551">
        <v>46086</v>
      </c>
      <c r="C28" s="176" t="s">
        <v>164</v>
      </c>
      <c r="D28" s="553" t="s">
        <v>117</v>
      </c>
      <c r="E28" s="552" t="s">
        <v>166</v>
      </c>
      <c r="F28" s="304"/>
      <c r="G28" s="305"/>
      <c r="H28" s="305"/>
      <c r="I28" s="523">
        <f t="shared" si="0"/>
        <v>5</v>
      </c>
      <c r="J28" s="524">
        <v>12.1</v>
      </c>
      <c r="K28" s="554">
        <v>60.5</v>
      </c>
      <c r="L28" s="135"/>
    </row>
    <row r="29" spans="1:12" s="137" customFormat="1" ht="18.75" customHeight="1" x14ac:dyDescent="0.3">
      <c r="A29" s="133"/>
      <c r="B29" s="551">
        <v>46097</v>
      </c>
      <c r="C29" s="176" t="s">
        <v>164</v>
      </c>
      <c r="D29" s="553" t="s">
        <v>117</v>
      </c>
      <c r="E29" s="552" t="s">
        <v>166</v>
      </c>
      <c r="F29" s="304"/>
      <c r="G29" s="305"/>
      <c r="H29" s="305"/>
      <c r="I29" s="523">
        <f t="shared" si="0"/>
        <v>5</v>
      </c>
      <c r="J29" s="524">
        <v>12.1</v>
      </c>
      <c r="K29" s="554">
        <v>60.5</v>
      </c>
      <c r="L29" s="135"/>
    </row>
    <row r="30" spans="1:12" s="137" customFormat="1" ht="18.75" customHeight="1" x14ac:dyDescent="0.3">
      <c r="A30" s="133"/>
      <c r="B30" s="551">
        <v>46100</v>
      </c>
      <c r="C30" s="176" t="s">
        <v>164</v>
      </c>
      <c r="D30" s="553" t="s">
        <v>117</v>
      </c>
      <c r="E30" s="552" t="s">
        <v>166</v>
      </c>
      <c r="F30" s="304"/>
      <c r="G30" s="305"/>
      <c r="H30" s="305"/>
      <c r="I30" s="523">
        <f t="shared" si="0"/>
        <v>5</v>
      </c>
      <c r="J30" s="524">
        <v>12.1</v>
      </c>
      <c r="K30" s="554">
        <v>60.5</v>
      </c>
      <c r="L30" s="135"/>
    </row>
    <row r="31" spans="1:12" s="137" customFormat="1" ht="18.75" customHeight="1" x14ac:dyDescent="0.3">
      <c r="A31" s="133"/>
      <c r="B31" s="551">
        <v>46104</v>
      </c>
      <c r="C31" s="176" t="s">
        <v>164</v>
      </c>
      <c r="D31" s="553" t="s">
        <v>117</v>
      </c>
      <c r="E31" s="552" t="s">
        <v>166</v>
      </c>
      <c r="F31" s="304"/>
      <c r="G31" s="305"/>
      <c r="H31" s="305"/>
      <c r="I31" s="523">
        <f t="shared" si="0"/>
        <v>4</v>
      </c>
      <c r="J31" s="524">
        <v>12.1</v>
      </c>
      <c r="K31" s="554">
        <v>48.4</v>
      </c>
      <c r="L31" s="135"/>
    </row>
    <row r="32" spans="1:12" s="137" customFormat="1" ht="18.75" customHeight="1" x14ac:dyDescent="0.3">
      <c r="A32" s="133"/>
      <c r="B32" s="551">
        <v>46105</v>
      </c>
      <c r="C32" s="176" t="s">
        <v>164</v>
      </c>
      <c r="D32" s="553" t="s">
        <v>117</v>
      </c>
      <c r="E32" s="552" t="s">
        <v>166</v>
      </c>
      <c r="F32" s="304"/>
      <c r="G32" s="305"/>
      <c r="H32" s="305"/>
      <c r="I32" s="523">
        <f t="shared" si="0"/>
        <v>5</v>
      </c>
      <c r="J32" s="524">
        <v>12.1</v>
      </c>
      <c r="K32" s="554">
        <v>60.5</v>
      </c>
      <c r="L32" s="135"/>
    </row>
    <row r="33" spans="1:12" s="137" customFormat="1" ht="18.75" customHeight="1" x14ac:dyDescent="0.3">
      <c r="A33" s="133"/>
      <c r="B33" s="551">
        <v>46106</v>
      </c>
      <c r="C33" s="176" t="s">
        <v>164</v>
      </c>
      <c r="D33" s="553" t="s">
        <v>117</v>
      </c>
      <c r="E33" s="552" t="s">
        <v>166</v>
      </c>
      <c r="F33" s="304"/>
      <c r="G33" s="305"/>
      <c r="H33" s="305"/>
      <c r="I33" s="523">
        <f t="shared" si="0"/>
        <v>4</v>
      </c>
      <c r="J33" s="524">
        <v>12.1</v>
      </c>
      <c r="K33" s="554">
        <v>48.4</v>
      </c>
      <c r="L33" s="135"/>
    </row>
    <row r="34" spans="1:12" s="137" customFormat="1" ht="18.75" customHeight="1" x14ac:dyDescent="0.3">
      <c r="A34" s="133"/>
      <c r="B34" s="551">
        <v>46107</v>
      </c>
      <c r="C34" s="176" t="s">
        <v>164</v>
      </c>
      <c r="D34" s="553" t="s">
        <v>117</v>
      </c>
      <c r="E34" s="552" t="s">
        <v>166</v>
      </c>
      <c r="F34" s="304"/>
      <c r="G34" s="305"/>
      <c r="H34" s="305"/>
      <c r="I34" s="523">
        <f t="shared" si="0"/>
        <v>5</v>
      </c>
      <c r="J34" s="524">
        <v>12.1</v>
      </c>
      <c r="K34" s="554">
        <v>60.5</v>
      </c>
      <c r="L34" s="135"/>
    </row>
    <row r="35" spans="1:12" s="137" customFormat="1" ht="18.75" customHeight="1" x14ac:dyDescent="0.3">
      <c r="A35" s="133"/>
      <c r="B35" s="551">
        <v>46111</v>
      </c>
      <c r="C35" s="176" t="s">
        <v>164</v>
      </c>
      <c r="D35" s="553" t="s">
        <v>117</v>
      </c>
      <c r="E35" s="552" t="s">
        <v>166</v>
      </c>
      <c r="F35" s="304"/>
      <c r="G35" s="305"/>
      <c r="H35" s="305"/>
      <c r="I35" s="523">
        <f t="shared" si="0"/>
        <v>4</v>
      </c>
      <c r="J35" s="524">
        <v>12.1</v>
      </c>
      <c r="K35" s="554">
        <v>48.4</v>
      </c>
      <c r="L35" s="135"/>
    </row>
    <row r="36" spans="1:12" s="137" customFormat="1" ht="18.75" customHeight="1" x14ac:dyDescent="0.3">
      <c r="A36" s="133"/>
      <c r="B36" s="551">
        <v>46084</v>
      </c>
      <c r="C36" s="176" t="s">
        <v>164</v>
      </c>
      <c r="D36" s="553" t="s">
        <v>97</v>
      </c>
      <c r="E36" s="552" t="s">
        <v>166</v>
      </c>
      <c r="F36" s="304"/>
      <c r="G36" s="305"/>
      <c r="H36" s="305"/>
      <c r="I36" s="523">
        <f t="shared" si="0"/>
        <v>5</v>
      </c>
      <c r="J36" s="524">
        <v>12.1</v>
      </c>
      <c r="K36" s="554">
        <v>60.5</v>
      </c>
      <c r="L36" s="135"/>
    </row>
    <row r="37" spans="1:12" s="137" customFormat="1" ht="18.75" customHeight="1" x14ac:dyDescent="0.3">
      <c r="A37" s="133"/>
      <c r="B37" s="551">
        <v>46108</v>
      </c>
      <c r="C37" s="176" t="s">
        <v>164</v>
      </c>
      <c r="D37" s="553" t="s">
        <v>97</v>
      </c>
      <c r="E37" s="552" t="s">
        <v>166</v>
      </c>
      <c r="F37" s="304"/>
      <c r="G37" s="305"/>
      <c r="H37" s="305"/>
      <c r="I37" s="523">
        <f t="shared" si="0"/>
        <v>4</v>
      </c>
      <c r="J37" s="524">
        <v>12.1</v>
      </c>
      <c r="K37" s="554">
        <v>48.4</v>
      </c>
      <c r="L37" s="135"/>
    </row>
    <row r="38" spans="1:12" s="137" customFormat="1" ht="18.75" customHeight="1" x14ac:dyDescent="0.3">
      <c r="A38" s="133"/>
      <c r="B38" s="551">
        <v>46086</v>
      </c>
      <c r="C38" s="176" t="s">
        <v>164</v>
      </c>
      <c r="D38" s="553" t="s">
        <v>127</v>
      </c>
      <c r="E38" s="552" t="s">
        <v>166</v>
      </c>
      <c r="F38" s="304"/>
      <c r="G38" s="305"/>
      <c r="H38" s="305"/>
      <c r="I38" s="523">
        <f t="shared" si="0"/>
        <v>5</v>
      </c>
      <c r="J38" s="524">
        <v>12.1</v>
      </c>
      <c r="K38" s="554">
        <v>60.5</v>
      </c>
      <c r="L38" s="135"/>
    </row>
    <row r="39" spans="1:12" s="137" customFormat="1" ht="18.75" customHeight="1" x14ac:dyDescent="0.3">
      <c r="A39" s="133"/>
      <c r="B39" s="551">
        <v>46097</v>
      </c>
      <c r="C39" s="176" t="s">
        <v>164</v>
      </c>
      <c r="D39" s="553" t="s">
        <v>127</v>
      </c>
      <c r="E39" s="552" t="s">
        <v>166</v>
      </c>
      <c r="F39" s="304"/>
      <c r="G39" s="305"/>
      <c r="H39" s="305"/>
      <c r="I39" s="523">
        <f t="shared" si="0"/>
        <v>5</v>
      </c>
      <c r="J39" s="524">
        <v>12.1</v>
      </c>
      <c r="K39" s="554">
        <v>60.5</v>
      </c>
      <c r="L39" s="135"/>
    </row>
    <row r="40" spans="1:12" s="137" customFormat="1" ht="18.75" customHeight="1" x14ac:dyDescent="0.3">
      <c r="A40" s="133"/>
      <c r="B40" s="551">
        <v>46100</v>
      </c>
      <c r="C40" s="176" t="s">
        <v>164</v>
      </c>
      <c r="D40" s="553" t="s">
        <v>127</v>
      </c>
      <c r="E40" s="552" t="s">
        <v>166</v>
      </c>
      <c r="F40" s="304"/>
      <c r="G40" s="305"/>
      <c r="H40" s="305"/>
      <c r="I40" s="523">
        <f t="shared" si="0"/>
        <v>5</v>
      </c>
      <c r="J40" s="524">
        <v>12.1</v>
      </c>
      <c r="K40" s="554">
        <v>60.5</v>
      </c>
      <c r="L40" s="135"/>
    </row>
    <row r="41" spans="1:12" s="137" customFormat="1" ht="18.75" customHeight="1" x14ac:dyDescent="0.3">
      <c r="A41" s="133"/>
      <c r="B41" s="551">
        <v>46101</v>
      </c>
      <c r="C41" s="176" t="s">
        <v>164</v>
      </c>
      <c r="D41" s="553" t="s">
        <v>127</v>
      </c>
      <c r="E41" s="552" t="s">
        <v>166</v>
      </c>
      <c r="F41" s="304"/>
      <c r="G41" s="305"/>
      <c r="H41" s="305"/>
      <c r="I41" s="523">
        <f t="shared" si="0"/>
        <v>5</v>
      </c>
      <c r="J41" s="524">
        <v>12.1</v>
      </c>
      <c r="K41" s="554">
        <v>60.5</v>
      </c>
      <c r="L41" s="135"/>
    </row>
    <row r="42" spans="1:12" s="137" customFormat="1" ht="18.75" customHeight="1" x14ac:dyDescent="0.3">
      <c r="A42" s="133"/>
      <c r="B42" s="551">
        <v>46101</v>
      </c>
      <c r="C42" s="176" t="s">
        <v>164</v>
      </c>
      <c r="D42" s="553" t="s">
        <v>127</v>
      </c>
      <c r="E42" s="552" t="s">
        <v>166</v>
      </c>
      <c r="F42" s="304"/>
      <c r="G42" s="305"/>
      <c r="H42" s="305"/>
      <c r="I42" s="523">
        <f t="shared" si="0"/>
        <v>5</v>
      </c>
      <c r="J42" s="524">
        <v>12.1</v>
      </c>
      <c r="K42" s="554">
        <v>60.5</v>
      </c>
      <c r="L42" s="135"/>
    </row>
    <row r="43" spans="1:12" s="137" customFormat="1" ht="18.75" customHeight="1" x14ac:dyDescent="0.3">
      <c r="A43" s="133"/>
      <c r="B43" s="551">
        <v>46102</v>
      </c>
      <c r="C43" s="176" t="s">
        <v>164</v>
      </c>
      <c r="D43" s="553" t="s">
        <v>127</v>
      </c>
      <c r="E43" s="552" t="s">
        <v>166</v>
      </c>
      <c r="F43" s="304"/>
      <c r="G43" s="305"/>
      <c r="H43" s="305"/>
      <c r="I43" s="523">
        <f t="shared" si="0"/>
        <v>4</v>
      </c>
      <c r="J43" s="524">
        <v>12.1</v>
      </c>
      <c r="K43" s="554">
        <v>48.4</v>
      </c>
      <c r="L43" s="135"/>
    </row>
    <row r="44" spans="1:12" s="137" customFormat="1" ht="18.75" customHeight="1" x14ac:dyDescent="0.3">
      <c r="A44" s="133"/>
      <c r="B44" s="551">
        <v>46111</v>
      </c>
      <c r="C44" s="176" t="s">
        <v>164</v>
      </c>
      <c r="D44" s="553" t="s">
        <v>127</v>
      </c>
      <c r="E44" s="552" t="s">
        <v>166</v>
      </c>
      <c r="F44" s="304"/>
      <c r="G44" s="305"/>
      <c r="H44" s="305"/>
      <c r="I44" s="523">
        <f t="shared" si="0"/>
        <v>4</v>
      </c>
      <c r="J44" s="524">
        <v>12.1</v>
      </c>
      <c r="K44" s="554">
        <v>48.4</v>
      </c>
      <c r="L44" s="135"/>
    </row>
    <row r="45" spans="1:12" s="137" customFormat="1" ht="18.75" customHeight="1" x14ac:dyDescent="0.3">
      <c r="A45" s="133"/>
      <c r="B45" s="551">
        <v>46083</v>
      </c>
      <c r="C45" s="176" t="s">
        <v>164</v>
      </c>
      <c r="D45" s="553" t="s">
        <v>131</v>
      </c>
      <c r="E45" s="552" t="s">
        <v>166</v>
      </c>
      <c r="F45" s="304"/>
      <c r="G45" s="305"/>
      <c r="H45" s="305"/>
      <c r="I45" s="523">
        <f t="shared" si="0"/>
        <v>5</v>
      </c>
      <c r="J45" s="524">
        <v>12.1</v>
      </c>
      <c r="K45" s="554">
        <v>60.5</v>
      </c>
      <c r="L45" s="135"/>
    </row>
    <row r="46" spans="1:12" s="137" customFormat="1" ht="18.75" customHeight="1" x14ac:dyDescent="0.3">
      <c r="A46" s="133"/>
      <c r="B46" s="551">
        <v>46083</v>
      </c>
      <c r="C46" s="176" t="s">
        <v>164</v>
      </c>
      <c r="D46" s="553" t="s">
        <v>131</v>
      </c>
      <c r="E46" s="552" t="s">
        <v>166</v>
      </c>
      <c r="F46" s="304"/>
      <c r="G46" s="305"/>
      <c r="H46" s="305"/>
      <c r="I46" s="523">
        <f t="shared" si="0"/>
        <v>4</v>
      </c>
      <c r="J46" s="524">
        <v>12.1</v>
      </c>
      <c r="K46" s="554">
        <v>48.4</v>
      </c>
      <c r="L46" s="135"/>
    </row>
    <row r="47" spans="1:12" s="137" customFormat="1" ht="18.75" customHeight="1" x14ac:dyDescent="0.3">
      <c r="A47" s="133"/>
      <c r="B47" s="551">
        <v>46088</v>
      </c>
      <c r="C47" s="176" t="s">
        <v>164</v>
      </c>
      <c r="D47" s="553" t="s">
        <v>131</v>
      </c>
      <c r="E47" s="552" t="s">
        <v>166</v>
      </c>
      <c r="F47" s="304"/>
      <c r="G47" s="305"/>
      <c r="H47" s="305"/>
      <c r="I47" s="523">
        <f t="shared" si="0"/>
        <v>4</v>
      </c>
      <c r="J47" s="524">
        <v>12.1</v>
      </c>
      <c r="K47" s="554">
        <v>48.4</v>
      </c>
      <c r="L47" s="135"/>
    </row>
    <row r="48" spans="1:12" s="137" customFormat="1" ht="18.75" customHeight="1" x14ac:dyDescent="0.3">
      <c r="A48" s="133"/>
      <c r="B48" s="551">
        <v>46092</v>
      </c>
      <c r="C48" s="176" t="s">
        <v>164</v>
      </c>
      <c r="D48" s="553" t="s">
        <v>131</v>
      </c>
      <c r="E48" s="552" t="s">
        <v>166</v>
      </c>
      <c r="F48" s="304"/>
      <c r="G48" s="305"/>
      <c r="H48" s="305"/>
      <c r="I48" s="523">
        <f t="shared" si="0"/>
        <v>5</v>
      </c>
      <c r="J48" s="524">
        <v>12.1</v>
      </c>
      <c r="K48" s="554">
        <v>60.5</v>
      </c>
      <c r="L48" s="135"/>
    </row>
    <row r="49" spans="1:12" s="137" customFormat="1" ht="18.75" customHeight="1" x14ac:dyDescent="0.3">
      <c r="A49" s="133"/>
      <c r="B49" s="551">
        <v>46094</v>
      </c>
      <c r="C49" s="176" t="s">
        <v>164</v>
      </c>
      <c r="D49" s="553" t="s">
        <v>131</v>
      </c>
      <c r="E49" s="552" t="s">
        <v>166</v>
      </c>
      <c r="F49" s="304"/>
      <c r="G49" s="305"/>
      <c r="H49" s="305"/>
      <c r="I49" s="523">
        <f t="shared" si="0"/>
        <v>5</v>
      </c>
      <c r="J49" s="524">
        <v>12.1</v>
      </c>
      <c r="K49" s="554">
        <v>60.5</v>
      </c>
      <c r="L49" s="135"/>
    </row>
    <row r="50" spans="1:12" s="137" customFormat="1" ht="18.75" customHeight="1" x14ac:dyDescent="0.3">
      <c r="A50" s="133"/>
      <c r="B50" s="551">
        <v>46095</v>
      </c>
      <c r="C50" s="176" t="s">
        <v>164</v>
      </c>
      <c r="D50" s="553" t="s">
        <v>131</v>
      </c>
      <c r="E50" s="552" t="s">
        <v>166</v>
      </c>
      <c r="F50" s="304"/>
      <c r="G50" s="305"/>
      <c r="H50" s="305"/>
      <c r="I50" s="523">
        <f t="shared" si="0"/>
        <v>5</v>
      </c>
      <c r="J50" s="524">
        <v>12.1</v>
      </c>
      <c r="K50" s="554">
        <v>60.5</v>
      </c>
      <c r="L50" s="135"/>
    </row>
    <row r="51" spans="1:12" s="137" customFormat="1" ht="18.75" customHeight="1" x14ac:dyDescent="0.3">
      <c r="A51" s="133"/>
      <c r="B51" s="551">
        <v>46099</v>
      </c>
      <c r="C51" s="176" t="s">
        <v>164</v>
      </c>
      <c r="D51" s="553" t="s">
        <v>131</v>
      </c>
      <c r="E51" s="552" t="s">
        <v>166</v>
      </c>
      <c r="F51" s="304"/>
      <c r="G51" s="305"/>
      <c r="H51" s="305"/>
      <c r="I51" s="523">
        <f t="shared" si="0"/>
        <v>4</v>
      </c>
      <c r="J51" s="524">
        <v>12.1</v>
      </c>
      <c r="K51" s="554">
        <v>48.4</v>
      </c>
      <c r="L51" s="135"/>
    </row>
    <row r="52" spans="1:12" s="137" customFormat="1" ht="18.75" customHeight="1" x14ac:dyDescent="0.3">
      <c r="A52" s="133"/>
      <c r="B52" s="551">
        <v>46109</v>
      </c>
      <c r="C52" s="176" t="s">
        <v>164</v>
      </c>
      <c r="D52" s="553" t="s">
        <v>131</v>
      </c>
      <c r="E52" s="552" t="s">
        <v>166</v>
      </c>
      <c r="F52" s="304"/>
      <c r="G52" s="305"/>
      <c r="H52" s="305"/>
      <c r="I52" s="523">
        <f t="shared" si="0"/>
        <v>4</v>
      </c>
      <c r="J52" s="524">
        <v>12.1</v>
      </c>
      <c r="K52" s="554">
        <v>48.4</v>
      </c>
      <c r="L52" s="135"/>
    </row>
    <row r="53" spans="1:12" s="137" customFormat="1" ht="18.75" customHeight="1" x14ac:dyDescent="0.3">
      <c r="A53" s="133"/>
      <c r="B53" s="551">
        <v>46111</v>
      </c>
      <c r="C53" s="176" t="s">
        <v>164</v>
      </c>
      <c r="D53" s="553" t="s">
        <v>131</v>
      </c>
      <c r="E53" s="552" t="s">
        <v>166</v>
      </c>
      <c r="F53" s="304"/>
      <c r="G53" s="305"/>
      <c r="H53" s="305"/>
      <c r="I53" s="523">
        <f t="shared" si="0"/>
        <v>4</v>
      </c>
      <c r="J53" s="524">
        <v>12.1</v>
      </c>
      <c r="K53" s="554">
        <v>48.4</v>
      </c>
      <c r="L53" s="135"/>
    </row>
    <row r="54" spans="1:12" s="137" customFormat="1" ht="18.75" customHeight="1" x14ac:dyDescent="0.3">
      <c r="A54" s="133"/>
      <c r="B54" s="551">
        <v>46088</v>
      </c>
      <c r="C54" s="176" t="s">
        <v>164</v>
      </c>
      <c r="D54" s="553" t="s">
        <v>250</v>
      </c>
      <c r="E54" s="552" t="s">
        <v>166</v>
      </c>
      <c r="F54" s="304"/>
      <c r="G54" s="305"/>
      <c r="H54" s="305"/>
      <c r="I54" s="523">
        <f t="shared" si="0"/>
        <v>4</v>
      </c>
      <c r="J54" s="524">
        <v>12.1</v>
      </c>
      <c r="K54" s="554">
        <v>48.4</v>
      </c>
      <c r="L54" s="135"/>
    </row>
    <row r="55" spans="1:12" s="137" customFormat="1" ht="18.75" customHeight="1" x14ac:dyDescent="0.3">
      <c r="A55" s="133"/>
      <c r="B55" s="551">
        <v>46094</v>
      </c>
      <c r="C55" s="176" t="s">
        <v>164</v>
      </c>
      <c r="D55" s="553" t="s">
        <v>250</v>
      </c>
      <c r="E55" s="552" t="s">
        <v>166</v>
      </c>
      <c r="F55" s="304"/>
      <c r="G55" s="305"/>
      <c r="H55" s="305"/>
      <c r="I55" s="523">
        <f t="shared" si="0"/>
        <v>5</v>
      </c>
      <c r="J55" s="524">
        <v>12.1</v>
      </c>
      <c r="K55" s="554">
        <v>60.5</v>
      </c>
      <c r="L55" s="135"/>
    </row>
    <row r="56" spans="1:12" s="137" customFormat="1" ht="18.75" customHeight="1" x14ac:dyDescent="0.3">
      <c r="A56" s="133"/>
      <c r="B56" s="551">
        <v>46095</v>
      </c>
      <c r="C56" s="176" t="s">
        <v>164</v>
      </c>
      <c r="D56" s="553" t="s">
        <v>250</v>
      </c>
      <c r="E56" s="552" t="s">
        <v>166</v>
      </c>
      <c r="F56" s="304"/>
      <c r="G56" s="305"/>
      <c r="H56" s="305"/>
      <c r="I56" s="523">
        <f t="shared" si="0"/>
        <v>4</v>
      </c>
      <c r="J56" s="524">
        <v>12.1</v>
      </c>
      <c r="K56" s="554">
        <v>48.4</v>
      </c>
      <c r="L56" s="135"/>
    </row>
    <row r="57" spans="1:12" s="137" customFormat="1" ht="18.75" customHeight="1" x14ac:dyDescent="0.3">
      <c r="A57" s="133"/>
      <c r="B57" s="551">
        <v>46101</v>
      </c>
      <c r="C57" s="176" t="s">
        <v>164</v>
      </c>
      <c r="D57" s="553" t="s">
        <v>250</v>
      </c>
      <c r="E57" s="552" t="s">
        <v>166</v>
      </c>
      <c r="F57" s="304"/>
      <c r="G57" s="305"/>
      <c r="H57" s="305"/>
      <c r="I57" s="523">
        <f t="shared" si="0"/>
        <v>5</v>
      </c>
      <c r="J57" s="524">
        <v>12.1</v>
      </c>
      <c r="K57" s="554">
        <v>60.5</v>
      </c>
      <c r="L57" s="135"/>
    </row>
    <row r="58" spans="1:12" s="137" customFormat="1" ht="18.75" customHeight="1" x14ac:dyDescent="0.3">
      <c r="A58" s="133"/>
      <c r="B58" s="551">
        <v>46102</v>
      </c>
      <c r="C58" s="176" t="s">
        <v>164</v>
      </c>
      <c r="D58" s="553" t="s">
        <v>250</v>
      </c>
      <c r="E58" s="552" t="s">
        <v>166</v>
      </c>
      <c r="F58" s="304"/>
      <c r="G58" s="305"/>
      <c r="H58" s="305"/>
      <c r="I58" s="523">
        <f t="shared" si="0"/>
        <v>4</v>
      </c>
      <c r="J58" s="524">
        <v>12.1</v>
      </c>
      <c r="K58" s="554">
        <v>48.4</v>
      </c>
      <c r="L58" s="135"/>
    </row>
    <row r="59" spans="1:12" s="137" customFormat="1" ht="18.75" customHeight="1" x14ac:dyDescent="0.3">
      <c r="A59" s="133"/>
      <c r="B59" s="551">
        <v>46105</v>
      </c>
      <c r="C59" s="176" t="s">
        <v>164</v>
      </c>
      <c r="D59" s="553" t="s">
        <v>250</v>
      </c>
      <c r="E59" s="552" t="s">
        <v>166</v>
      </c>
      <c r="F59" s="304"/>
      <c r="G59" s="305"/>
      <c r="H59" s="305"/>
      <c r="I59" s="523">
        <f t="shared" si="0"/>
        <v>5</v>
      </c>
      <c r="J59" s="524">
        <v>12.1</v>
      </c>
      <c r="K59" s="554">
        <v>60.5</v>
      </c>
      <c r="L59" s="135"/>
    </row>
    <row r="60" spans="1:12" s="137" customFormat="1" ht="18.75" customHeight="1" x14ac:dyDescent="0.3">
      <c r="A60" s="133"/>
      <c r="B60" s="551">
        <v>46106</v>
      </c>
      <c r="C60" s="176" t="s">
        <v>164</v>
      </c>
      <c r="D60" s="553" t="s">
        <v>250</v>
      </c>
      <c r="E60" s="552" t="s">
        <v>166</v>
      </c>
      <c r="F60" s="304"/>
      <c r="G60" s="305"/>
      <c r="H60" s="305"/>
      <c r="I60" s="523">
        <f t="shared" si="0"/>
        <v>5</v>
      </c>
      <c r="J60" s="524">
        <v>12.1</v>
      </c>
      <c r="K60" s="554">
        <v>60.5</v>
      </c>
      <c r="L60" s="135"/>
    </row>
    <row r="61" spans="1:12" s="137" customFormat="1" ht="18.75" customHeight="1" x14ac:dyDescent="0.3">
      <c r="A61" s="133"/>
      <c r="B61" s="551">
        <v>46107</v>
      </c>
      <c r="C61" s="176" t="s">
        <v>164</v>
      </c>
      <c r="D61" s="553" t="s">
        <v>250</v>
      </c>
      <c r="E61" s="552" t="s">
        <v>166</v>
      </c>
      <c r="F61" s="304"/>
      <c r="G61" s="305"/>
      <c r="H61" s="305"/>
      <c r="I61" s="523">
        <f t="shared" si="0"/>
        <v>4</v>
      </c>
      <c r="J61" s="524">
        <v>12.1</v>
      </c>
      <c r="K61" s="554">
        <v>48.4</v>
      </c>
      <c r="L61" s="135"/>
    </row>
    <row r="62" spans="1:12" s="137" customFormat="1" ht="18.75" customHeight="1" x14ac:dyDescent="0.3">
      <c r="A62" s="133"/>
      <c r="B62" s="551">
        <v>46108</v>
      </c>
      <c r="C62" s="176" t="s">
        <v>164</v>
      </c>
      <c r="D62" s="553" t="s">
        <v>250</v>
      </c>
      <c r="E62" s="552" t="s">
        <v>166</v>
      </c>
      <c r="F62" s="304"/>
      <c r="G62" s="305"/>
      <c r="H62" s="305"/>
      <c r="I62" s="523">
        <f t="shared" si="0"/>
        <v>4</v>
      </c>
      <c r="J62" s="524">
        <v>12.1</v>
      </c>
      <c r="K62" s="554">
        <v>48.4</v>
      </c>
      <c r="L62" s="135"/>
    </row>
    <row r="63" spans="1:12" s="137" customFormat="1" ht="18.75" customHeight="1" x14ac:dyDescent="0.3">
      <c r="A63" s="133"/>
      <c r="B63" s="551">
        <v>46109</v>
      </c>
      <c r="C63" s="176" t="s">
        <v>164</v>
      </c>
      <c r="D63" s="553" t="s">
        <v>250</v>
      </c>
      <c r="E63" s="552" t="s">
        <v>166</v>
      </c>
      <c r="F63" s="304"/>
      <c r="G63" s="305"/>
      <c r="H63" s="305"/>
      <c r="I63" s="523">
        <f t="shared" si="0"/>
        <v>4</v>
      </c>
      <c r="J63" s="524">
        <v>12.1</v>
      </c>
      <c r="K63" s="554">
        <v>48.4</v>
      </c>
      <c r="L63" s="135"/>
    </row>
    <row r="64" spans="1:12" s="137" customFormat="1" ht="18.75" customHeight="1" x14ac:dyDescent="0.3">
      <c r="A64" s="133"/>
      <c r="B64" s="551">
        <v>46111</v>
      </c>
      <c r="C64" s="176" t="s">
        <v>164</v>
      </c>
      <c r="D64" s="553" t="s">
        <v>250</v>
      </c>
      <c r="E64" s="552" t="s">
        <v>166</v>
      </c>
      <c r="F64" s="304"/>
      <c r="G64" s="305"/>
      <c r="H64" s="305"/>
      <c r="I64" s="523">
        <f t="shared" si="0"/>
        <v>4</v>
      </c>
      <c r="J64" s="524">
        <v>12.1</v>
      </c>
      <c r="K64" s="554">
        <v>48.4</v>
      </c>
      <c r="L64" s="135"/>
    </row>
    <row r="65" spans="1:12" s="137" customFormat="1" ht="18.75" customHeight="1" x14ac:dyDescent="0.3">
      <c r="A65" s="133"/>
      <c r="B65" s="551">
        <v>46098</v>
      </c>
      <c r="C65" s="176" t="s">
        <v>164</v>
      </c>
      <c r="D65" s="553" t="s">
        <v>83</v>
      </c>
      <c r="E65" s="552" t="s">
        <v>166</v>
      </c>
      <c r="F65" s="304"/>
      <c r="G65" s="305"/>
      <c r="H65" s="305"/>
      <c r="I65" s="523">
        <f t="shared" si="0"/>
        <v>5</v>
      </c>
      <c r="J65" s="524">
        <v>12.1</v>
      </c>
      <c r="K65" s="554">
        <v>60.5</v>
      </c>
      <c r="L65" s="135"/>
    </row>
    <row r="66" spans="1:12" s="137" customFormat="1" ht="18.75" customHeight="1" x14ac:dyDescent="0.3">
      <c r="A66" s="133"/>
      <c r="B66" s="551">
        <v>46100</v>
      </c>
      <c r="C66" s="176" t="s">
        <v>164</v>
      </c>
      <c r="D66" s="553" t="s">
        <v>83</v>
      </c>
      <c r="E66" s="552" t="s">
        <v>166</v>
      </c>
      <c r="F66" s="304"/>
      <c r="G66" s="305"/>
      <c r="H66" s="305"/>
      <c r="I66" s="523">
        <f t="shared" si="0"/>
        <v>5</v>
      </c>
      <c r="J66" s="524">
        <v>12.1</v>
      </c>
      <c r="K66" s="554">
        <v>60.5</v>
      </c>
      <c r="L66" s="135"/>
    </row>
    <row r="67" spans="1:12" s="137" customFormat="1" ht="18.75" customHeight="1" x14ac:dyDescent="0.3">
      <c r="A67" s="133"/>
      <c r="B67" s="551">
        <v>46106</v>
      </c>
      <c r="C67" s="176" t="s">
        <v>164</v>
      </c>
      <c r="D67" s="553" t="s">
        <v>83</v>
      </c>
      <c r="E67" s="552" t="s">
        <v>166</v>
      </c>
      <c r="F67" s="304"/>
      <c r="G67" s="305"/>
      <c r="H67" s="305"/>
      <c r="I67" s="523">
        <f t="shared" si="0"/>
        <v>5</v>
      </c>
      <c r="J67" s="524">
        <v>12.1</v>
      </c>
      <c r="K67" s="554">
        <v>60.5</v>
      </c>
      <c r="L67" s="135"/>
    </row>
    <row r="68" spans="1:12" s="137" customFormat="1" ht="18.75" customHeight="1" x14ac:dyDescent="0.3">
      <c r="A68" s="133"/>
      <c r="B68" s="551">
        <v>46109</v>
      </c>
      <c r="C68" s="176" t="s">
        <v>164</v>
      </c>
      <c r="D68" s="553" t="s">
        <v>83</v>
      </c>
      <c r="E68" s="552" t="s">
        <v>166</v>
      </c>
      <c r="F68" s="304"/>
      <c r="G68" s="305"/>
      <c r="H68" s="305"/>
      <c r="I68" s="523">
        <f t="shared" si="0"/>
        <v>4</v>
      </c>
      <c r="J68" s="524">
        <v>12.1</v>
      </c>
      <c r="K68" s="554">
        <v>48.4</v>
      </c>
      <c r="L68" s="135"/>
    </row>
    <row r="69" spans="1:12" s="137" customFormat="1" ht="18.75" customHeight="1" x14ac:dyDescent="0.3">
      <c r="A69" s="133"/>
      <c r="B69" s="551">
        <v>46101</v>
      </c>
      <c r="C69" s="176" t="s">
        <v>164</v>
      </c>
      <c r="D69" s="553" t="s">
        <v>254</v>
      </c>
      <c r="E69" s="552" t="s">
        <v>166</v>
      </c>
      <c r="F69" s="304"/>
      <c r="G69" s="305"/>
      <c r="H69" s="305"/>
      <c r="I69" s="523">
        <f t="shared" si="0"/>
        <v>4</v>
      </c>
      <c r="J69" s="524">
        <v>12.1</v>
      </c>
      <c r="K69" s="554">
        <v>48.4</v>
      </c>
      <c r="L69" s="135"/>
    </row>
    <row r="70" spans="1:12" s="137" customFormat="1" ht="18.75" customHeight="1" x14ac:dyDescent="0.3">
      <c r="A70" s="133"/>
      <c r="B70" s="551">
        <v>46102</v>
      </c>
      <c r="C70" s="176" t="s">
        <v>164</v>
      </c>
      <c r="D70" s="553" t="s">
        <v>254</v>
      </c>
      <c r="E70" s="552" t="s">
        <v>166</v>
      </c>
      <c r="F70" s="304"/>
      <c r="G70" s="305"/>
      <c r="H70" s="305"/>
      <c r="I70" s="523">
        <f t="shared" si="0"/>
        <v>4</v>
      </c>
      <c r="J70" s="524">
        <v>12.1</v>
      </c>
      <c r="K70" s="554">
        <v>48.4</v>
      </c>
      <c r="L70" s="135"/>
    </row>
    <row r="71" spans="1:12" s="137" customFormat="1" ht="18.75" customHeight="1" x14ac:dyDescent="0.3">
      <c r="A71" s="133"/>
      <c r="B71" s="551">
        <v>46104</v>
      </c>
      <c r="C71" s="176" t="s">
        <v>164</v>
      </c>
      <c r="D71" s="553" t="s">
        <v>254</v>
      </c>
      <c r="E71" s="552" t="s">
        <v>166</v>
      </c>
      <c r="F71" s="304"/>
      <c r="G71" s="305"/>
      <c r="H71" s="305"/>
      <c r="I71" s="523">
        <f t="shared" si="0"/>
        <v>5</v>
      </c>
      <c r="J71" s="524">
        <v>12.1</v>
      </c>
      <c r="K71" s="554">
        <v>60.5</v>
      </c>
      <c r="L71" s="135"/>
    </row>
    <row r="72" spans="1:12" s="137" customFormat="1" ht="18.75" customHeight="1" x14ac:dyDescent="0.3">
      <c r="A72" s="133"/>
      <c r="B72" s="551">
        <v>46107</v>
      </c>
      <c r="C72" s="176" t="s">
        <v>164</v>
      </c>
      <c r="D72" s="553" t="s">
        <v>254</v>
      </c>
      <c r="E72" s="552" t="s">
        <v>166</v>
      </c>
      <c r="F72" s="304"/>
      <c r="G72" s="305"/>
      <c r="H72" s="305"/>
      <c r="I72" s="523">
        <f t="shared" si="0"/>
        <v>4</v>
      </c>
      <c r="J72" s="524">
        <v>12.1</v>
      </c>
      <c r="K72" s="554">
        <v>48.4</v>
      </c>
      <c r="L72" s="135"/>
    </row>
    <row r="73" spans="1:12" s="137" customFormat="1" ht="18.75" customHeight="1" x14ac:dyDescent="0.3">
      <c r="A73" s="133"/>
      <c r="B73" s="551">
        <v>46108</v>
      </c>
      <c r="C73" s="176" t="s">
        <v>164</v>
      </c>
      <c r="D73" s="553" t="s">
        <v>254</v>
      </c>
      <c r="E73" s="552" t="s">
        <v>166</v>
      </c>
      <c r="F73" s="304"/>
      <c r="G73" s="305"/>
      <c r="H73" s="305"/>
      <c r="I73" s="523">
        <f t="shared" si="0"/>
        <v>4</v>
      </c>
      <c r="J73" s="524">
        <v>12.1</v>
      </c>
      <c r="K73" s="554">
        <v>48.4</v>
      </c>
      <c r="L73" s="135"/>
    </row>
    <row r="74" spans="1:12" s="137" customFormat="1" ht="18.75" customHeight="1" x14ac:dyDescent="0.3">
      <c r="A74" s="133"/>
      <c r="B74" s="551">
        <v>46111</v>
      </c>
      <c r="C74" s="176" t="s">
        <v>164</v>
      </c>
      <c r="D74" s="553" t="s">
        <v>254</v>
      </c>
      <c r="E74" s="552" t="s">
        <v>166</v>
      </c>
      <c r="F74" s="304"/>
      <c r="G74" s="305"/>
      <c r="H74" s="305"/>
      <c r="I74" s="523">
        <f t="shared" ref="I74:I81" si="1">K74/J74</f>
        <v>4</v>
      </c>
      <c r="J74" s="524">
        <v>12.1</v>
      </c>
      <c r="K74" s="554">
        <v>48.4</v>
      </c>
      <c r="L74" s="135"/>
    </row>
    <row r="75" spans="1:12" s="137" customFormat="1" ht="18.75" customHeight="1" x14ac:dyDescent="0.3">
      <c r="A75" s="133"/>
      <c r="B75" s="551">
        <v>46082</v>
      </c>
      <c r="C75" s="176" t="s">
        <v>164</v>
      </c>
      <c r="D75" s="553" t="s">
        <v>254</v>
      </c>
      <c r="E75" s="552" t="s">
        <v>166</v>
      </c>
      <c r="F75" s="304"/>
      <c r="G75" s="305"/>
      <c r="H75" s="305"/>
      <c r="I75" s="523">
        <f t="shared" si="1"/>
        <v>5</v>
      </c>
      <c r="J75" s="524">
        <v>12.1</v>
      </c>
      <c r="K75" s="554">
        <v>60.5</v>
      </c>
      <c r="L75" s="135"/>
    </row>
    <row r="76" spans="1:12" s="137" customFormat="1" ht="18.75" customHeight="1" x14ac:dyDescent="0.3">
      <c r="A76" s="133"/>
      <c r="B76" s="551">
        <v>46083</v>
      </c>
      <c r="C76" s="176" t="s">
        <v>164</v>
      </c>
      <c r="D76" s="553" t="s">
        <v>254</v>
      </c>
      <c r="E76" s="552" t="s">
        <v>166</v>
      </c>
      <c r="F76" s="304"/>
      <c r="G76" s="305"/>
      <c r="H76" s="305"/>
      <c r="I76" s="523">
        <f t="shared" si="1"/>
        <v>5</v>
      </c>
      <c r="J76" s="524">
        <v>12.1</v>
      </c>
      <c r="K76" s="554">
        <v>60.5</v>
      </c>
      <c r="L76" s="135"/>
    </row>
    <row r="77" spans="1:12" s="137" customFormat="1" ht="18.75" customHeight="1" x14ac:dyDescent="0.3">
      <c r="A77" s="133"/>
      <c r="B77" s="551">
        <v>46094</v>
      </c>
      <c r="C77" s="176" t="s">
        <v>164</v>
      </c>
      <c r="D77" s="553" t="s">
        <v>254</v>
      </c>
      <c r="E77" s="552" t="s">
        <v>166</v>
      </c>
      <c r="F77" s="304"/>
      <c r="G77" s="305"/>
      <c r="H77" s="305"/>
      <c r="I77" s="523">
        <f t="shared" si="1"/>
        <v>5</v>
      </c>
      <c r="J77" s="524">
        <v>12.1</v>
      </c>
      <c r="K77" s="554">
        <v>60.5</v>
      </c>
      <c r="L77" s="135"/>
    </row>
    <row r="78" spans="1:12" s="137" customFormat="1" ht="18.75" customHeight="1" x14ac:dyDescent="0.3">
      <c r="A78" s="133"/>
      <c r="B78" s="551">
        <v>46095</v>
      </c>
      <c r="C78" s="176" t="s">
        <v>164</v>
      </c>
      <c r="D78" s="553" t="s">
        <v>254</v>
      </c>
      <c r="E78" s="552" t="s">
        <v>166</v>
      </c>
      <c r="F78" s="304"/>
      <c r="G78" s="305"/>
      <c r="H78" s="305"/>
      <c r="I78" s="523">
        <f t="shared" si="1"/>
        <v>5</v>
      </c>
      <c r="J78" s="524">
        <v>12.1</v>
      </c>
      <c r="K78" s="554">
        <v>60.5</v>
      </c>
      <c r="L78" s="135"/>
    </row>
    <row r="79" spans="1:12" s="137" customFormat="1" ht="18.75" customHeight="1" x14ac:dyDescent="0.3">
      <c r="A79" s="133"/>
      <c r="B79" s="551">
        <v>46105</v>
      </c>
      <c r="C79" s="176" t="s">
        <v>164</v>
      </c>
      <c r="D79" s="553" t="s">
        <v>254</v>
      </c>
      <c r="E79" s="552" t="s">
        <v>166</v>
      </c>
      <c r="F79" s="304"/>
      <c r="G79" s="305"/>
      <c r="H79" s="305"/>
      <c r="I79" s="523">
        <f t="shared" si="1"/>
        <v>5</v>
      </c>
      <c r="J79" s="524">
        <v>12.1</v>
      </c>
      <c r="K79" s="554">
        <v>60.5</v>
      </c>
      <c r="L79" s="135"/>
    </row>
    <row r="80" spans="1:12" s="137" customFormat="1" ht="18.75" customHeight="1" x14ac:dyDescent="0.3">
      <c r="A80" s="133"/>
      <c r="B80" s="551">
        <v>46106</v>
      </c>
      <c r="C80" s="176" t="s">
        <v>164</v>
      </c>
      <c r="D80" s="553" t="s">
        <v>254</v>
      </c>
      <c r="E80" s="552" t="s">
        <v>166</v>
      </c>
      <c r="F80" s="304"/>
      <c r="G80" s="305"/>
      <c r="H80" s="305"/>
      <c r="I80" s="523">
        <f t="shared" si="1"/>
        <v>5</v>
      </c>
      <c r="J80" s="524">
        <v>12.1</v>
      </c>
      <c r="K80" s="554">
        <v>60.5</v>
      </c>
      <c r="L80" s="135"/>
    </row>
    <row r="81" spans="1:12" s="137" customFormat="1" ht="18.75" customHeight="1" x14ac:dyDescent="0.3">
      <c r="A81" s="133"/>
      <c r="B81" s="551">
        <v>46109</v>
      </c>
      <c r="C81" s="176" t="s">
        <v>164</v>
      </c>
      <c r="D81" s="553" t="s">
        <v>254</v>
      </c>
      <c r="E81" s="552" t="s">
        <v>166</v>
      </c>
      <c r="F81" s="304"/>
      <c r="G81" s="305"/>
      <c r="H81" s="305"/>
      <c r="I81" s="523">
        <f t="shared" si="1"/>
        <v>5</v>
      </c>
      <c r="J81" s="524">
        <v>12.1</v>
      </c>
      <c r="K81" s="554">
        <v>60.5</v>
      </c>
      <c r="L81" s="135"/>
    </row>
    <row r="82" spans="1:12" s="137" customFormat="1" ht="18.75" customHeight="1" x14ac:dyDescent="0.3">
      <c r="A82" s="133"/>
      <c r="B82" s="551">
        <v>46100</v>
      </c>
      <c r="C82" s="176" t="s">
        <v>164</v>
      </c>
      <c r="D82" s="553" t="s">
        <v>380</v>
      </c>
      <c r="E82" s="552" t="s">
        <v>166</v>
      </c>
      <c r="F82" s="304"/>
      <c r="G82" s="305"/>
      <c r="H82" s="305"/>
      <c r="I82" s="523">
        <f t="shared" ref="I82:I89" si="2">K82/J82</f>
        <v>5</v>
      </c>
      <c r="J82" s="524">
        <v>12.1</v>
      </c>
      <c r="K82" s="554">
        <v>60.5</v>
      </c>
      <c r="L82" s="135"/>
    </row>
    <row r="83" spans="1:12" s="137" customFormat="1" ht="18.75" customHeight="1" x14ac:dyDescent="0.3">
      <c r="A83" s="133"/>
      <c r="B83" s="551">
        <v>46097</v>
      </c>
      <c r="C83" s="176" t="s">
        <v>164</v>
      </c>
      <c r="D83" s="553" t="s">
        <v>381</v>
      </c>
      <c r="E83" s="552" t="s">
        <v>166</v>
      </c>
      <c r="F83" s="304"/>
      <c r="G83" s="305"/>
      <c r="H83" s="305"/>
      <c r="I83" s="523">
        <f t="shared" si="2"/>
        <v>5</v>
      </c>
      <c r="J83" s="524">
        <v>12.1</v>
      </c>
      <c r="K83" s="554">
        <v>60.5</v>
      </c>
      <c r="L83" s="135"/>
    </row>
    <row r="84" spans="1:12" s="137" customFormat="1" ht="18.75" customHeight="1" x14ac:dyDescent="0.3">
      <c r="A84" s="133"/>
      <c r="B84" s="551">
        <v>46100</v>
      </c>
      <c r="C84" s="176" t="s">
        <v>164</v>
      </c>
      <c r="D84" s="553" t="s">
        <v>381</v>
      </c>
      <c r="E84" s="552" t="s">
        <v>166</v>
      </c>
      <c r="F84" s="304"/>
      <c r="G84" s="305"/>
      <c r="H84" s="305"/>
      <c r="I84" s="523">
        <f t="shared" si="2"/>
        <v>4</v>
      </c>
      <c r="J84" s="524">
        <v>12.1</v>
      </c>
      <c r="K84" s="554">
        <v>48.4</v>
      </c>
      <c r="L84" s="135"/>
    </row>
    <row r="85" spans="1:12" s="137" customFormat="1" ht="18.75" customHeight="1" x14ac:dyDescent="0.3">
      <c r="A85" s="133"/>
      <c r="B85" s="551">
        <v>46101</v>
      </c>
      <c r="C85" s="176" t="s">
        <v>164</v>
      </c>
      <c r="D85" s="553" t="s">
        <v>381</v>
      </c>
      <c r="E85" s="552" t="s">
        <v>166</v>
      </c>
      <c r="F85" s="304"/>
      <c r="G85" s="305"/>
      <c r="H85" s="305"/>
      <c r="I85" s="523">
        <f t="shared" si="2"/>
        <v>5</v>
      </c>
      <c r="J85" s="524">
        <v>12.1</v>
      </c>
      <c r="K85" s="554">
        <v>60.5</v>
      </c>
      <c r="L85" s="135"/>
    </row>
    <row r="86" spans="1:12" s="137" customFormat="1" ht="18.75" customHeight="1" x14ac:dyDescent="0.3">
      <c r="A86" s="133"/>
      <c r="B86" s="551">
        <v>46102</v>
      </c>
      <c r="C86" s="176" t="s">
        <v>164</v>
      </c>
      <c r="D86" s="553" t="s">
        <v>381</v>
      </c>
      <c r="E86" s="552" t="s">
        <v>166</v>
      </c>
      <c r="F86" s="304"/>
      <c r="G86" s="305"/>
      <c r="H86" s="305"/>
      <c r="I86" s="523">
        <f t="shared" si="2"/>
        <v>4.0082644628099171</v>
      </c>
      <c r="J86" s="524">
        <v>12.1</v>
      </c>
      <c r="K86" s="554">
        <v>48.5</v>
      </c>
      <c r="L86" s="135"/>
    </row>
    <row r="87" spans="1:12" s="137" customFormat="1" ht="18.75" customHeight="1" x14ac:dyDescent="0.3">
      <c r="A87" s="133"/>
      <c r="B87" s="551">
        <v>46104</v>
      </c>
      <c r="C87" s="176" t="s">
        <v>164</v>
      </c>
      <c r="D87" s="553" t="s">
        <v>381</v>
      </c>
      <c r="E87" s="552" t="s">
        <v>166</v>
      </c>
      <c r="F87" s="304"/>
      <c r="G87" s="305"/>
      <c r="H87" s="305"/>
      <c r="I87" s="523">
        <f t="shared" si="2"/>
        <v>5</v>
      </c>
      <c r="J87" s="524">
        <v>12.1</v>
      </c>
      <c r="K87" s="554">
        <v>60.5</v>
      </c>
      <c r="L87" s="135"/>
    </row>
    <row r="88" spans="1:12" s="137" customFormat="1" ht="18.75" customHeight="1" x14ac:dyDescent="0.3">
      <c r="A88" s="133"/>
      <c r="B88" s="551">
        <v>46105</v>
      </c>
      <c r="C88" s="176" t="s">
        <v>164</v>
      </c>
      <c r="D88" s="553" t="s">
        <v>381</v>
      </c>
      <c r="E88" s="552" t="s">
        <v>166</v>
      </c>
      <c r="F88" s="304"/>
      <c r="G88" s="305"/>
      <c r="H88" s="305"/>
      <c r="I88" s="523">
        <f t="shared" si="2"/>
        <v>5</v>
      </c>
      <c r="J88" s="524">
        <v>12.1</v>
      </c>
      <c r="K88" s="554">
        <v>60.5</v>
      </c>
      <c r="L88" s="135"/>
    </row>
    <row r="89" spans="1:12" s="137" customFormat="1" ht="18.75" customHeight="1" x14ac:dyDescent="0.3">
      <c r="A89" s="133"/>
      <c r="B89" s="551">
        <v>46106</v>
      </c>
      <c r="C89" s="176" t="s">
        <v>164</v>
      </c>
      <c r="D89" s="553" t="s">
        <v>381</v>
      </c>
      <c r="E89" s="552" t="s">
        <v>166</v>
      </c>
      <c r="F89" s="304"/>
      <c r="G89" s="305"/>
      <c r="H89" s="305"/>
      <c r="I89" s="523">
        <f t="shared" si="2"/>
        <v>5</v>
      </c>
      <c r="J89" s="524">
        <v>12.1</v>
      </c>
      <c r="K89" s="554">
        <v>60.5</v>
      </c>
      <c r="L89" s="135"/>
    </row>
    <row r="90" spans="1:12" s="137" customFormat="1" ht="18.75" customHeight="1" x14ac:dyDescent="0.3">
      <c r="A90" s="133"/>
      <c r="B90" s="551">
        <v>46108</v>
      </c>
      <c r="C90" s="176" t="s">
        <v>164</v>
      </c>
      <c r="D90" s="553" t="s">
        <v>381</v>
      </c>
      <c r="E90" s="552" t="s">
        <v>166</v>
      </c>
      <c r="F90" s="304"/>
      <c r="G90" s="305"/>
      <c r="H90" s="305"/>
      <c r="I90" s="523">
        <f>K90/J90</f>
        <v>4</v>
      </c>
      <c r="J90" s="524">
        <v>12.1</v>
      </c>
      <c r="K90" s="554">
        <v>48.4</v>
      </c>
      <c r="L90" s="135"/>
    </row>
    <row r="91" spans="1:12" s="137" customFormat="1" ht="18.75" customHeight="1" thickBot="1" x14ac:dyDescent="0.35">
      <c r="A91" s="133"/>
      <c r="B91" s="309"/>
      <c r="C91" s="246"/>
      <c r="D91" s="310"/>
      <c r="E91" s="311"/>
      <c r="F91" s="312"/>
      <c r="G91" s="313"/>
      <c r="H91" s="313"/>
      <c r="I91" s="314"/>
      <c r="J91" s="315"/>
      <c r="K91" s="316"/>
      <c r="L91" s="135"/>
    </row>
    <row r="92" spans="1:12" s="137" customFormat="1" ht="18.75" customHeight="1" thickBot="1" x14ac:dyDescent="0.35">
      <c r="A92" s="133"/>
      <c r="B92" s="755" t="s">
        <v>169</v>
      </c>
      <c r="C92" s="756"/>
      <c r="D92" s="756"/>
      <c r="E92" s="757"/>
      <c r="F92" s="317"/>
      <c r="G92" s="317"/>
      <c r="H92" s="317"/>
      <c r="I92" s="439">
        <f>SUM(I9:I90)</f>
        <v>382.0082644628099</v>
      </c>
      <c r="J92" s="439">
        <f>K92/I92</f>
        <v>12.100000000000003</v>
      </c>
      <c r="K92" s="525">
        <f>SUM(K9:K90)</f>
        <v>4622.3000000000011</v>
      </c>
      <c r="L92" s="135"/>
    </row>
    <row r="93" spans="1:12" s="137" customFormat="1" ht="25.2" customHeight="1" x14ac:dyDescent="0.3">
      <c r="A93" s="133"/>
      <c r="B93" s="461"/>
      <c r="C93" s="462"/>
      <c r="D93" s="462"/>
      <c r="E93" s="462"/>
      <c r="F93" s="462"/>
      <c r="G93" s="462"/>
      <c r="H93" s="462"/>
      <c r="I93" s="462"/>
      <c r="J93" s="462"/>
      <c r="K93" s="463"/>
      <c r="L93" s="135"/>
    </row>
    <row r="94" spans="1:12" s="137" customFormat="1" ht="28.2" customHeight="1" thickBot="1" x14ac:dyDescent="0.35">
      <c r="A94" s="133"/>
      <c r="B94" s="464"/>
      <c r="C94" s="319"/>
      <c r="D94" s="319"/>
      <c r="E94" s="319"/>
      <c r="F94" s="319"/>
      <c r="G94" s="319"/>
      <c r="H94" s="319"/>
      <c r="I94" s="319"/>
      <c r="J94" s="319"/>
      <c r="K94" s="465"/>
      <c r="L94" s="135"/>
    </row>
    <row r="95" spans="1:12" s="137" customFormat="1" ht="27" customHeight="1" thickBot="1" x14ac:dyDescent="0.35">
      <c r="A95" s="133"/>
      <c r="B95" s="758" t="s">
        <v>170</v>
      </c>
      <c r="C95" s="759"/>
      <c r="D95" s="759"/>
      <c r="E95" s="760"/>
      <c r="F95" s="443"/>
      <c r="G95" s="444"/>
      <c r="H95" s="445"/>
      <c r="I95" s="320">
        <f>I92</f>
        <v>382.0082644628099</v>
      </c>
      <c r="J95" s="321">
        <f>J92</f>
        <v>12.100000000000003</v>
      </c>
      <c r="K95" s="322">
        <f>I95*J95</f>
        <v>4622.3000000000011</v>
      </c>
      <c r="L95" s="135"/>
    </row>
    <row r="96" spans="1:12" ht="6.9" customHeight="1" x14ac:dyDescent="0.4">
      <c r="A96" s="288"/>
      <c r="B96" s="450"/>
      <c r="C96" s="466"/>
      <c r="D96" s="466"/>
      <c r="E96" s="451"/>
      <c r="F96" s="467"/>
      <c r="G96" s="468"/>
      <c r="H96" s="469"/>
      <c r="I96" s="469"/>
      <c r="J96" s="452"/>
      <c r="K96" s="453"/>
      <c r="L96" s="323"/>
    </row>
    <row r="97" spans="1:16380" s="125" customFormat="1" ht="27" customHeight="1" thickBot="1" x14ac:dyDescent="0.35">
      <c r="A97" s="127"/>
      <c r="B97" s="761" t="s">
        <v>171</v>
      </c>
      <c r="C97" s="762"/>
      <c r="D97" s="762"/>
      <c r="E97" s="762"/>
      <c r="F97" s="762"/>
      <c r="G97" s="762"/>
      <c r="H97" s="762"/>
      <c r="I97" s="762"/>
      <c r="J97" s="762"/>
      <c r="K97" s="548">
        <f>K95</f>
        <v>4622.3000000000011</v>
      </c>
      <c r="L97" s="324"/>
      <c r="N97" s="126"/>
    </row>
    <row r="98" spans="1:16380" ht="16.2" thickBot="1" x14ac:dyDescent="0.35">
      <c r="A98" s="325"/>
      <c r="B98" s="326"/>
      <c r="C98" s="327"/>
      <c r="D98" s="327"/>
      <c r="E98" s="328"/>
      <c r="F98" s="328"/>
      <c r="G98" s="329"/>
      <c r="H98" s="330"/>
      <c r="I98" s="330"/>
      <c r="J98" s="331"/>
      <c r="K98" s="332"/>
      <c r="L98" s="333"/>
    </row>
    <row r="101" spans="1:16380" s="334" customFormat="1" x14ac:dyDescent="0.25">
      <c r="A101" s="282"/>
      <c r="I101" s="335"/>
      <c r="J101" s="336"/>
      <c r="K101" s="337"/>
      <c r="L101" s="338"/>
      <c r="M101" s="285"/>
      <c r="N101" s="286"/>
      <c r="O101" s="285"/>
      <c r="P101" s="285"/>
      <c r="Q101" s="285"/>
      <c r="R101" s="285"/>
      <c r="S101" s="285"/>
      <c r="T101" s="285"/>
      <c r="U101" s="285"/>
      <c r="V101" s="285"/>
      <c r="W101" s="285"/>
      <c r="X101" s="285"/>
      <c r="Y101" s="285"/>
      <c r="Z101" s="285"/>
      <c r="AA101" s="285"/>
      <c r="AB101" s="285"/>
      <c r="AC101" s="285"/>
      <c r="AD101" s="285"/>
      <c r="AE101" s="285"/>
      <c r="AF101" s="285"/>
      <c r="AG101" s="285"/>
      <c r="AH101" s="285"/>
      <c r="AI101" s="285"/>
      <c r="AJ101" s="285"/>
      <c r="AK101" s="285"/>
      <c r="AL101" s="285"/>
      <c r="AM101" s="285"/>
      <c r="AN101" s="285"/>
      <c r="AO101" s="285"/>
      <c r="AP101" s="285"/>
      <c r="AQ101" s="285"/>
      <c r="AR101" s="285"/>
      <c r="AS101" s="285"/>
      <c r="AT101" s="285"/>
      <c r="AU101" s="285"/>
      <c r="AV101" s="285"/>
      <c r="AW101" s="285"/>
      <c r="AX101" s="285"/>
      <c r="AY101" s="285"/>
      <c r="AZ101" s="285"/>
      <c r="BA101" s="285"/>
      <c r="BB101" s="285"/>
      <c r="BC101" s="285"/>
      <c r="BD101" s="285"/>
      <c r="BE101" s="285"/>
      <c r="BF101" s="285"/>
      <c r="BG101" s="285"/>
      <c r="BH101" s="285"/>
      <c r="BI101" s="285"/>
      <c r="BJ101" s="285"/>
      <c r="BK101" s="285"/>
      <c r="BL101" s="285"/>
      <c r="BM101" s="285"/>
      <c r="BN101" s="285"/>
      <c r="BO101" s="285"/>
      <c r="BP101" s="285"/>
      <c r="BQ101" s="285"/>
      <c r="BR101" s="285"/>
      <c r="BS101" s="285"/>
      <c r="BT101" s="285"/>
      <c r="BU101" s="285"/>
      <c r="BV101" s="285"/>
      <c r="BW101" s="285"/>
      <c r="BX101" s="285"/>
      <c r="BY101" s="285"/>
      <c r="BZ101" s="285"/>
      <c r="CA101" s="285"/>
      <c r="CB101" s="285"/>
      <c r="CC101" s="285"/>
      <c r="CD101" s="285"/>
      <c r="CE101" s="285"/>
      <c r="CF101" s="285"/>
      <c r="CG101" s="285"/>
      <c r="CH101" s="285"/>
      <c r="CI101" s="285"/>
      <c r="CJ101" s="285"/>
      <c r="CK101" s="285"/>
      <c r="CL101" s="285"/>
      <c r="CM101" s="285"/>
      <c r="CN101" s="285"/>
      <c r="CO101" s="285"/>
      <c r="CP101" s="285"/>
      <c r="CQ101" s="285"/>
      <c r="CR101" s="285"/>
      <c r="CS101" s="285"/>
      <c r="CT101" s="285"/>
      <c r="CU101" s="285"/>
      <c r="CV101" s="285"/>
      <c r="CW101" s="285"/>
      <c r="CX101" s="285"/>
      <c r="CY101" s="285"/>
      <c r="CZ101" s="285"/>
      <c r="DA101" s="285"/>
      <c r="DB101" s="285"/>
      <c r="DC101" s="285"/>
      <c r="DD101" s="285"/>
      <c r="DE101" s="285"/>
      <c r="DF101" s="285"/>
      <c r="DG101" s="285"/>
      <c r="DH101" s="285"/>
      <c r="DI101" s="285"/>
      <c r="DJ101" s="285"/>
      <c r="DK101" s="285"/>
      <c r="DL101" s="285"/>
      <c r="DM101" s="285"/>
      <c r="DN101" s="285"/>
      <c r="DO101" s="285"/>
      <c r="DP101" s="285"/>
      <c r="DQ101" s="285"/>
      <c r="DR101" s="285"/>
      <c r="DS101" s="285"/>
      <c r="DT101" s="285"/>
      <c r="DU101" s="285"/>
      <c r="DV101" s="285"/>
      <c r="DW101" s="285"/>
      <c r="DX101" s="285"/>
      <c r="DY101" s="285"/>
      <c r="DZ101" s="285"/>
      <c r="EA101" s="285"/>
      <c r="EB101" s="285"/>
      <c r="EC101" s="285"/>
      <c r="ED101" s="285"/>
      <c r="EE101" s="285"/>
      <c r="EF101" s="285"/>
      <c r="EG101" s="285"/>
      <c r="EH101" s="285"/>
      <c r="EI101" s="285"/>
      <c r="EJ101" s="285"/>
      <c r="EK101" s="285"/>
      <c r="EL101" s="285"/>
      <c r="EM101" s="285"/>
      <c r="EN101" s="285"/>
      <c r="EO101" s="285"/>
      <c r="EP101" s="285"/>
      <c r="EQ101" s="285"/>
      <c r="ER101" s="285"/>
      <c r="ES101" s="285"/>
      <c r="ET101" s="285"/>
      <c r="EU101" s="285"/>
      <c r="EV101" s="285"/>
      <c r="EW101" s="285"/>
      <c r="EX101" s="285"/>
      <c r="EY101" s="285"/>
      <c r="EZ101" s="285"/>
      <c r="FA101" s="285"/>
      <c r="FB101" s="285"/>
      <c r="FC101" s="285"/>
      <c r="FD101" s="285"/>
      <c r="FE101" s="285"/>
      <c r="FF101" s="285"/>
      <c r="FG101" s="285"/>
      <c r="FH101" s="285"/>
      <c r="FI101" s="285"/>
      <c r="FJ101" s="285"/>
      <c r="FK101" s="285"/>
      <c r="FL101" s="285"/>
      <c r="FM101" s="285"/>
      <c r="FN101" s="285"/>
      <c r="FO101" s="285"/>
      <c r="FP101" s="285"/>
      <c r="FQ101" s="285"/>
      <c r="FR101" s="285"/>
      <c r="FS101" s="285"/>
      <c r="FT101" s="285"/>
      <c r="FU101" s="285"/>
      <c r="FV101" s="285"/>
      <c r="FW101" s="285"/>
      <c r="FX101" s="285"/>
      <c r="FY101" s="285"/>
      <c r="FZ101" s="285"/>
      <c r="GA101" s="285"/>
      <c r="GB101" s="285"/>
      <c r="GC101" s="285"/>
      <c r="GD101" s="285"/>
      <c r="GE101" s="285"/>
      <c r="GF101" s="285"/>
      <c r="GG101" s="285"/>
      <c r="GH101" s="285"/>
      <c r="GI101" s="285"/>
      <c r="GJ101" s="285"/>
      <c r="GK101" s="285"/>
      <c r="GL101" s="285"/>
      <c r="GM101" s="285"/>
      <c r="GN101" s="285"/>
      <c r="GO101" s="285"/>
      <c r="GP101" s="285"/>
      <c r="GQ101" s="285"/>
      <c r="GR101" s="285"/>
      <c r="GS101" s="285"/>
      <c r="GT101" s="285"/>
      <c r="GU101" s="285"/>
      <c r="GV101" s="285"/>
      <c r="GW101" s="285"/>
      <c r="GX101" s="285"/>
      <c r="GY101" s="285"/>
      <c r="GZ101" s="285"/>
      <c r="HA101" s="285"/>
      <c r="HB101" s="285"/>
      <c r="HC101" s="285"/>
      <c r="HD101" s="285"/>
      <c r="HE101" s="285"/>
      <c r="HF101" s="285"/>
      <c r="HG101" s="285"/>
      <c r="HH101" s="285"/>
      <c r="HI101" s="285"/>
      <c r="HJ101" s="285"/>
      <c r="HK101" s="285"/>
      <c r="HL101" s="285"/>
      <c r="HM101" s="285"/>
      <c r="HN101" s="285"/>
      <c r="HO101" s="285"/>
      <c r="HP101" s="285"/>
      <c r="HQ101" s="285"/>
      <c r="HR101" s="285"/>
      <c r="HS101" s="285"/>
      <c r="HT101" s="285"/>
      <c r="HU101" s="285"/>
      <c r="HV101" s="285"/>
      <c r="HW101" s="285"/>
      <c r="HX101" s="285"/>
      <c r="HY101" s="285"/>
      <c r="HZ101" s="285"/>
      <c r="IA101" s="285"/>
      <c r="IB101" s="285"/>
      <c r="IC101" s="285"/>
      <c r="ID101" s="285"/>
      <c r="IE101" s="285"/>
      <c r="IF101" s="285"/>
      <c r="IG101" s="285"/>
      <c r="IH101" s="285"/>
      <c r="II101" s="285"/>
      <c r="IJ101" s="285"/>
      <c r="IK101" s="285"/>
      <c r="IL101" s="285"/>
      <c r="IM101" s="285"/>
      <c r="IN101" s="285"/>
      <c r="IO101" s="285"/>
      <c r="IP101" s="285"/>
      <c r="IQ101" s="285"/>
      <c r="IR101" s="285"/>
      <c r="IS101" s="285"/>
      <c r="IT101" s="285"/>
      <c r="IU101" s="285"/>
      <c r="IV101" s="285"/>
      <c r="IW101" s="285"/>
      <c r="IX101" s="285"/>
      <c r="IY101" s="285"/>
      <c r="IZ101" s="285"/>
      <c r="JA101" s="285"/>
      <c r="JB101" s="285"/>
      <c r="JC101" s="285"/>
      <c r="JD101" s="285"/>
      <c r="JE101" s="285"/>
      <c r="JF101" s="285"/>
      <c r="JG101" s="285"/>
      <c r="JH101" s="285"/>
      <c r="JI101" s="285"/>
      <c r="JJ101" s="285"/>
      <c r="JK101" s="285"/>
      <c r="JL101" s="285"/>
      <c r="JM101" s="285"/>
      <c r="JN101" s="285"/>
      <c r="JO101" s="285"/>
      <c r="JP101" s="285"/>
      <c r="JQ101" s="285"/>
      <c r="JR101" s="285"/>
      <c r="JS101" s="285"/>
      <c r="JT101" s="285"/>
      <c r="JU101" s="285"/>
      <c r="JV101" s="285"/>
      <c r="JW101" s="285"/>
      <c r="JX101" s="285"/>
      <c r="JY101" s="285"/>
      <c r="JZ101" s="285"/>
      <c r="KA101" s="285"/>
      <c r="KB101" s="285"/>
      <c r="KC101" s="285"/>
      <c r="KD101" s="285"/>
      <c r="KE101" s="285"/>
      <c r="KF101" s="285"/>
      <c r="KG101" s="285"/>
      <c r="KH101" s="285"/>
      <c r="KI101" s="285"/>
      <c r="KJ101" s="285"/>
      <c r="KK101" s="285"/>
      <c r="KL101" s="285"/>
      <c r="KM101" s="285"/>
      <c r="KN101" s="285"/>
      <c r="KO101" s="285"/>
      <c r="KP101" s="285"/>
      <c r="KQ101" s="285"/>
      <c r="KR101" s="285"/>
      <c r="KS101" s="285"/>
      <c r="KT101" s="285"/>
      <c r="KU101" s="285"/>
      <c r="KV101" s="285"/>
      <c r="KW101" s="285"/>
      <c r="KX101" s="285"/>
      <c r="KY101" s="285"/>
      <c r="KZ101" s="285"/>
      <c r="LA101" s="285"/>
      <c r="LB101" s="285"/>
      <c r="LC101" s="285"/>
      <c r="LD101" s="285"/>
      <c r="LE101" s="285"/>
      <c r="LF101" s="285"/>
      <c r="LG101" s="285"/>
      <c r="LH101" s="285"/>
      <c r="LI101" s="285"/>
      <c r="LJ101" s="285"/>
      <c r="LK101" s="285"/>
      <c r="LL101" s="285"/>
      <c r="LM101" s="285"/>
      <c r="LN101" s="285"/>
      <c r="LO101" s="285"/>
      <c r="LP101" s="285"/>
      <c r="LQ101" s="285"/>
      <c r="LR101" s="285"/>
      <c r="LS101" s="285"/>
      <c r="LT101" s="285"/>
      <c r="LU101" s="285"/>
      <c r="LV101" s="285"/>
      <c r="LW101" s="285"/>
      <c r="LX101" s="285"/>
      <c r="LY101" s="285"/>
      <c r="LZ101" s="285"/>
      <c r="MA101" s="285"/>
      <c r="MB101" s="285"/>
      <c r="MC101" s="285"/>
      <c r="MD101" s="285"/>
      <c r="ME101" s="285"/>
      <c r="MF101" s="285"/>
      <c r="MG101" s="285"/>
      <c r="MH101" s="285"/>
      <c r="MI101" s="285"/>
      <c r="MJ101" s="285"/>
      <c r="MK101" s="285"/>
      <c r="ML101" s="285"/>
      <c r="MM101" s="285"/>
      <c r="MN101" s="285"/>
      <c r="MO101" s="285"/>
      <c r="MP101" s="285"/>
      <c r="MQ101" s="285"/>
      <c r="MR101" s="285"/>
      <c r="MS101" s="285"/>
      <c r="MT101" s="285"/>
      <c r="MU101" s="285"/>
      <c r="MV101" s="285"/>
      <c r="MW101" s="285"/>
      <c r="MX101" s="285"/>
      <c r="MY101" s="285"/>
      <c r="MZ101" s="285"/>
      <c r="NA101" s="285"/>
      <c r="NB101" s="285"/>
      <c r="NC101" s="285"/>
      <c r="ND101" s="285"/>
      <c r="NE101" s="285"/>
      <c r="NF101" s="285"/>
      <c r="NG101" s="285"/>
      <c r="NH101" s="285"/>
      <c r="NI101" s="285"/>
      <c r="NJ101" s="285"/>
      <c r="NK101" s="285"/>
      <c r="NL101" s="285"/>
      <c r="NM101" s="285"/>
      <c r="NN101" s="285"/>
      <c r="NO101" s="285"/>
      <c r="NP101" s="285"/>
      <c r="NQ101" s="285"/>
      <c r="NR101" s="285"/>
      <c r="NS101" s="285"/>
      <c r="NT101" s="285"/>
      <c r="NU101" s="285"/>
      <c r="NV101" s="285"/>
      <c r="NW101" s="285"/>
      <c r="NX101" s="285"/>
      <c r="NY101" s="285"/>
      <c r="NZ101" s="285"/>
      <c r="OA101" s="285"/>
      <c r="OB101" s="285"/>
      <c r="OC101" s="285"/>
      <c r="OD101" s="285"/>
      <c r="OE101" s="285"/>
      <c r="OF101" s="285"/>
      <c r="OG101" s="285"/>
      <c r="OH101" s="285"/>
      <c r="OI101" s="285"/>
      <c r="OJ101" s="285"/>
      <c r="OK101" s="285"/>
      <c r="OL101" s="285"/>
      <c r="OM101" s="285"/>
      <c r="ON101" s="285"/>
      <c r="OO101" s="285"/>
      <c r="OP101" s="285"/>
      <c r="OQ101" s="285"/>
      <c r="OR101" s="285"/>
      <c r="OS101" s="285"/>
      <c r="OT101" s="285"/>
      <c r="OU101" s="285"/>
      <c r="OV101" s="285"/>
      <c r="OW101" s="285"/>
      <c r="OX101" s="285"/>
      <c r="OY101" s="285"/>
      <c r="OZ101" s="285"/>
      <c r="PA101" s="285"/>
      <c r="PB101" s="285"/>
      <c r="PC101" s="285"/>
      <c r="PD101" s="285"/>
      <c r="PE101" s="285"/>
      <c r="PF101" s="285"/>
      <c r="PG101" s="285"/>
      <c r="PH101" s="285"/>
      <c r="PI101" s="285"/>
      <c r="PJ101" s="285"/>
      <c r="PK101" s="285"/>
      <c r="PL101" s="285"/>
      <c r="PM101" s="285"/>
      <c r="PN101" s="285"/>
      <c r="PO101" s="285"/>
      <c r="PP101" s="285"/>
      <c r="PQ101" s="285"/>
      <c r="PR101" s="285"/>
      <c r="PS101" s="285"/>
      <c r="PT101" s="285"/>
      <c r="PU101" s="285"/>
      <c r="PV101" s="285"/>
      <c r="PW101" s="285"/>
      <c r="PX101" s="285"/>
      <c r="PY101" s="285"/>
      <c r="PZ101" s="285"/>
      <c r="QA101" s="285"/>
      <c r="QB101" s="285"/>
      <c r="QC101" s="285"/>
      <c r="QD101" s="285"/>
      <c r="QE101" s="285"/>
      <c r="QF101" s="285"/>
      <c r="QG101" s="285"/>
      <c r="QH101" s="285"/>
      <c r="QI101" s="285"/>
      <c r="QJ101" s="285"/>
      <c r="QK101" s="285"/>
      <c r="QL101" s="285"/>
      <c r="QM101" s="285"/>
      <c r="QN101" s="285"/>
      <c r="QO101" s="285"/>
      <c r="QP101" s="285"/>
      <c r="QQ101" s="285"/>
      <c r="QR101" s="285"/>
      <c r="QS101" s="285"/>
      <c r="QT101" s="285"/>
      <c r="QU101" s="285"/>
      <c r="QV101" s="285"/>
      <c r="QW101" s="285"/>
      <c r="QX101" s="285"/>
      <c r="QY101" s="285"/>
      <c r="QZ101" s="285"/>
      <c r="RA101" s="285"/>
      <c r="RB101" s="285"/>
      <c r="RC101" s="285"/>
      <c r="RD101" s="285"/>
      <c r="RE101" s="285"/>
      <c r="RF101" s="285"/>
      <c r="RG101" s="285"/>
      <c r="RH101" s="285"/>
      <c r="RI101" s="285"/>
      <c r="RJ101" s="285"/>
      <c r="RK101" s="285"/>
      <c r="RL101" s="285"/>
      <c r="RM101" s="285"/>
      <c r="RN101" s="285"/>
      <c r="RO101" s="285"/>
      <c r="RP101" s="285"/>
      <c r="RQ101" s="285"/>
      <c r="RR101" s="285"/>
      <c r="RS101" s="285"/>
      <c r="RT101" s="285"/>
      <c r="RU101" s="285"/>
      <c r="RV101" s="285"/>
      <c r="RW101" s="285"/>
      <c r="RX101" s="285"/>
      <c r="RY101" s="285"/>
      <c r="RZ101" s="285"/>
      <c r="SA101" s="285"/>
      <c r="SB101" s="285"/>
      <c r="SC101" s="285"/>
      <c r="SD101" s="285"/>
      <c r="SE101" s="285"/>
      <c r="SF101" s="285"/>
      <c r="SG101" s="285"/>
      <c r="SH101" s="285"/>
      <c r="SI101" s="285"/>
      <c r="SJ101" s="285"/>
      <c r="SK101" s="285"/>
      <c r="SL101" s="285"/>
      <c r="SM101" s="285"/>
      <c r="SN101" s="285"/>
      <c r="SO101" s="285"/>
      <c r="SP101" s="285"/>
      <c r="SQ101" s="285"/>
      <c r="SR101" s="285"/>
      <c r="SS101" s="285"/>
      <c r="ST101" s="285"/>
      <c r="SU101" s="285"/>
      <c r="SV101" s="285"/>
      <c r="SW101" s="285"/>
      <c r="SX101" s="285"/>
      <c r="SY101" s="285"/>
      <c r="SZ101" s="285"/>
      <c r="TA101" s="285"/>
      <c r="TB101" s="285"/>
      <c r="TC101" s="285"/>
      <c r="TD101" s="285"/>
      <c r="TE101" s="285"/>
      <c r="TF101" s="285"/>
      <c r="TG101" s="285"/>
      <c r="TH101" s="285"/>
      <c r="TI101" s="285"/>
      <c r="TJ101" s="285"/>
      <c r="TK101" s="285"/>
      <c r="TL101" s="285"/>
      <c r="TM101" s="285"/>
      <c r="TN101" s="285"/>
      <c r="TO101" s="285"/>
      <c r="TP101" s="285"/>
      <c r="TQ101" s="285"/>
      <c r="TR101" s="285"/>
      <c r="TS101" s="285"/>
      <c r="TT101" s="285"/>
      <c r="TU101" s="285"/>
      <c r="TV101" s="285"/>
      <c r="TW101" s="285"/>
      <c r="TX101" s="285"/>
      <c r="TY101" s="285"/>
      <c r="TZ101" s="285"/>
      <c r="UA101" s="285"/>
      <c r="UB101" s="285"/>
      <c r="UC101" s="285"/>
      <c r="UD101" s="285"/>
      <c r="UE101" s="285"/>
      <c r="UF101" s="285"/>
      <c r="UG101" s="285"/>
      <c r="UH101" s="285"/>
      <c r="UI101" s="285"/>
      <c r="UJ101" s="285"/>
      <c r="UK101" s="285"/>
      <c r="UL101" s="285"/>
      <c r="UM101" s="285"/>
      <c r="UN101" s="285"/>
      <c r="UO101" s="285"/>
      <c r="UP101" s="285"/>
      <c r="UQ101" s="285"/>
      <c r="UR101" s="285"/>
      <c r="US101" s="285"/>
      <c r="UT101" s="285"/>
      <c r="UU101" s="285"/>
      <c r="UV101" s="285"/>
      <c r="UW101" s="285"/>
      <c r="UX101" s="285"/>
      <c r="UY101" s="285"/>
      <c r="UZ101" s="285"/>
      <c r="VA101" s="285"/>
      <c r="VB101" s="285"/>
      <c r="VC101" s="285"/>
      <c r="VD101" s="285"/>
      <c r="VE101" s="285"/>
      <c r="VF101" s="285"/>
      <c r="VG101" s="285"/>
      <c r="VH101" s="285"/>
      <c r="VI101" s="285"/>
      <c r="VJ101" s="285"/>
      <c r="VK101" s="285"/>
      <c r="VL101" s="285"/>
      <c r="VM101" s="285"/>
      <c r="VN101" s="285"/>
      <c r="VO101" s="285"/>
      <c r="VP101" s="285"/>
      <c r="VQ101" s="285"/>
      <c r="VR101" s="285"/>
      <c r="VS101" s="285"/>
      <c r="VT101" s="285"/>
      <c r="VU101" s="285"/>
      <c r="VV101" s="285"/>
      <c r="VW101" s="285"/>
      <c r="VX101" s="285"/>
      <c r="VY101" s="285"/>
      <c r="VZ101" s="285"/>
      <c r="WA101" s="285"/>
      <c r="WB101" s="285"/>
      <c r="WC101" s="285"/>
      <c r="WD101" s="285"/>
      <c r="WE101" s="285"/>
      <c r="WF101" s="285"/>
      <c r="WG101" s="285"/>
      <c r="WH101" s="285"/>
      <c r="WI101" s="285"/>
      <c r="WJ101" s="285"/>
      <c r="WK101" s="285"/>
      <c r="WL101" s="285"/>
      <c r="WM101" s="285"/>
      <c r="WN101" s="285"/>
      <c r="WO101" s="285"/>
      <c r="WP101" s="285"/>
      <c r="WQ101" s="285"/>
      <c r="WR101" s="285"/>
      <c r="WS101" s="285"/>
      <c r="WT101" s="285"/>
      <c r="WU101" s="285"/>
      <c r="WV101" s="285"/>
      <c r="WW101" s="285"/>
      <c r="WX101" s="285"/>
      <c r="WY101" s="285"/>
      <c r="WZ101" s="285"/>
      <c r="XA101" s="285"/>
      <c r="XB101" s="285"/>
      <c r="XC101" s="285"/>
      <c r="XD101" s="285"/>
      <c r="XE101" s="285"/>
      <c r="XF101" s="285"/>
      <c r="XG101" s="285"/>
      <c r="XH101" s="285"/>
      <c r="XI101" s="285"/>
      <c r="XJ101" s="285"/>
      <c r="XK101" s="285"/>
      <c r="XL101" s="285"/>
      <c r="XM101" s="285"/>
      <c r="XN101" s="285"/>
      <c r="XO101" s="285"/>
      <c r="XP101" s="285"/>
      <c r="XQ101" s="285"/>
      <c r="XR101" s="285"/>
      <c r="XS101" s="285"/>
      <c r="XT101" s="285"/>
      <c r="XU101" s="285"/>
      <c r="XV101" s="285"/>
      <c r="XW101" s="285"/>
      <c r="XX101" s="285"/>
      <c r="XY101" s="285"/>
      <c r="XZ101" s="285"/>
      <c r="YA101" s="285"/>
      <c r="YB101" s="285"/>
      <c r="YC101" s="285"/>
      <c r="YD101" s="285"/>
      <c r="YE101" s="285"/>
      <c r="YF101" s="285"/>
      <c r="YG101" s="285"/>
      <c r="YH101" s="285"/>
      <c r="YI101" s="285"/>
      <c r="YJ101" s="285"/>
      <c r="YK101" s="285"/>
      <c r="YL101" s="285"/>
      <c r="YM101" s="285"/>
      <c r="YN101" s="285"/>
      <c r="YO101" s="285"/>
      <c r="YP101" s="285"/>
      <c r="YQ101" s="285"/>
      <c r="YR101" s="285"/>
      <c r="YS101" s="285"/>
      <c r="YT101" s="285"/>
      <c r="YU101" s="285"/>
      <c r="YV101" s="285"/>
      <c r="YW101" s="285"/>
      <c r="YX101" s="285"/>
      <c r="YY101" s="285"/>
      <c r="YZ101" s="285"/>
      <c r="ZA101" s="285"/>
      <c r="ZB101" s="285"/>
      <c r="ZC101" s="285"/>
      <c r="ZD101" s="285"/>
      <c r="ZE101" s="285"/>
      <c r="ZF101" s="285"/>
      <c r="ZG101" s="285"/>
      <c r="ZH101" s="285"/>
      <c r="ZI101" s="285"/>
      <c r="ZJ101" s="285"/>
      <c r="ZK101" s="285"/>
      <c r="ZL101" s="285"/>
      <c r="ZM101" s="285"/>
      <c r="ZN101" s="285"/>
      <c r="ZO101" s="285"/>
      <c r="ZP101" s="285"/>
      <c r="ZQ101" s="285"/>
      <c r="ZR101" s="285"/>
      <c r="ZS101" s="285"/>
      <c r="ZT101" s="285"/>
      <c r="ZU101" s="285"/>
      <c r="ZV101" s="285"/>
      <c r="ZW101" s="285"/>
      <c r="ZX101" s="285"/>
      <c r="ZY101" s="285"/>
      <c r="ZZ101" s="285"/>
      <c r="AAA101" s="285"/>
      <c r="AAB101" s="285"/>
      <c r="AAC101" s="285"/>
      <c r="AAD101" s="285"/>
      <c r="AAE101" s="285"/>
      <c r="AAF101" s="285"/>
      <c r="AAG101" s="285"/>
      <c r="AAH101" s="285"/>
      <c r="AAI101" s="285"/>
      <c r="AAJ101" s="285"/>
      <c r="AAK101" s="285"/>
      <c r="AAL101" s="285"/>
      <c r="AAM101" s="285"/>
      <c r="AAN101" s="285"/>
      <c r="AAO101" s="285"/>
      <c r="AAP101" s="285"/>
      <c r="AAQ101" s="285"/>
      <c r="AAR101" s="285"/>
      <c r="AAS101" s="285"/>
      <c r="AAT101" s="285"/>
      <c r="AAU101" s="285"/>
      <c r="AAV101" s="285"/>
      <c r="AAW101" s="285"/>
      <c r="AAX101" s="285"/>
      <c r="AAY101" s="285"/>
      <c r="AAZ101" s="285"/>
      <c r="ABA101" s="285"/>
      <c r="ABB101" s="285"/>
      <c r="ABC101" s="285"/>
      <c r="ABD101" s="285"/>
      <c r="ABE101" s="285"/>
      <c r="ABF101" s="285"/>
      <c r="ABG101" s="285"/>
      <c r="ABH101" s="285"/>
      <c r="ABI101" s="285"/>
      <c r="ABJ101" s="285"/>
      <c r="ABK101" s="285"/>
      <c r="ABL101" s="285"/>
      <c r="ABM101" s="285"/>
      <c r="ABN101" s="285"/>
      <c r="ABO101" s="285"/>
      <c r="ABP101" s="285"/>
      <c r="ABQ101" s="285"/>
      <c r="ABR101" s="285"/>
      <c r="ABS101" s="285"/>
      <c r="ABT101" s="285"/>
      <c r="ABU101" s="285"/>
      <c r="ABV101" s="285"/>
      <c r="ABW101" s="285"/>
      <c r="ABX101" s="285"/>
      <c r="ABY101" s="285"/>
      <c r="ABZ101" s="285"/>
      <c r="ACA101" s="285"/>
      <c r="ACB101" s="285"/>
      <c r="ACC101" s="285"/>
      <c r="ACD101" s="285"/>
      <c r="ACE101" s="285"/>
      <c r="ACF101" s="285"/>
      <c r="ACG101" s="285"/>
      <c r="ACH101" s="285"/>
      <c r="ACI101" s="285"/>
      <c r="ACJ101" s="285"/>
      <c r="ACK101" s="285"/>
      <c r="ACL101" s="285"/>
      <c r="ACM101" s="285"/>
      <c r="ACN101" s="285"/>
      <c r="ACO101" s="285"/>
      <c r="ACP101" s="285"/>
      <c r="ACQ101" s="285"/>
      <c r="ACR101" s="285"/>
      <c r="ACS101" s="285"/>
      <c r="ACT101" s="285"/>
      <c r="ACU101" s="285"/>
      <c r="ACV101" s="285"/>
      <c r="ACW101" s="285"/>
      <c r="ACX101" s="285"/>
      <c r="ACY101" s="285"/>
      <c r="ACZ101" s="285"/>
      <c r="ADA101" s="285"/>
      <c r="ADB101" s="285"/>
      <c r="ADC101" s="285"/>
      <c r="ADD101" s="285"/>
      <c r="ADE101" s="285"/>
      <c r="ADF101" s="285"/>
      <c r="ADG101" s="285"/>
      <c r="ADH101" s="285"/>
      <c r="ADI101" s="285"/>
      <c r="ADJ101" s="285"/>
      <c r="ADK101" s="285"/>
      <c r="ADL101" s="285"/>
      <c r="ADM101" s="285"/>
      <c r="ADN101" s="285"/>
      <c r="ADO101" s="285"/>
      <c r="ADP101" s="285"/>
      <c r="ADQ101" s="285"/>
      <c r="ADR101" s="285"/>
      <c r="ADS101" s="285"/>
      <c r="ADT101" s="285"/>
      <c r="ADU101" s="285"/>
      <c r="ADV101" s="285"/>
      <c r="ADW101" s="285"/>
      <c r="ADX101" s="285"/>
      <c r="ADY101" s="285"/>
      <c r="ADZ101" s="285"/>
      <c r="AEA101" s="285"/>
      <c r="AEB101" s="285"/>
      <c r="AEC101" s="285"/>
      <c r="AED101" s="285"/>
      <c r="AEE101" s="285"/>
      <c r="AEF101" s="285"/>
      <c r="AEG101" s="285"/>
      <c r="AEH101" s="285"/>
      <c r="AEI101" s="285"/>
      <c r="AEJ101" s="285"/>
      <c r="AEK101" s="285"/>
      <c r="AEL101" s="285"/>
      <c r="AEM101" s="285"/>
      <c r="AEN101" s="285"/>
      <c r="AEO101" s="285"/>
      <c r="AEP101" s="285"/>
      <c r="AEQ101" s="285"/>
      <c r="AER101" s="285"/>
      <c r="AES101" s="285"/>
      <c r="AET101" s="285"/>
      <c r="AEU101" s="285"/>
      <c r="AEV101" s="285"/>
      <c r="AEW101" s="285"/>
      <c r="AEX101" s="285"/>
      <c r="AEY101" s="285"/>
      <c r="AEZ101" s="285"/>
      <c r="AFA101" s="285"/>
      <c r="AFB101" s="285"/>
      <c r="AFC101" s="285"/>
      <c r="AFD101" s="285"/>
      <c r="AFE101" s="285"/>
      <c r="AFF101" s="285"/>
      <c r="AFG101" s="285"/>
      <c r="AFH101" s="285"/>
      <c r="AFI101" s="285"/>
      <c r="AFJ101" s="285"/>
      <c r="AFK101" s="285"/>
      <c r="AFL101" s="285"/>
      <c r="AFM101" s="285"/>
      <c r="AFN101" s="285"/>
      <c r="AFO101" s="285"/>
      <c r="AFP101" s="285"/>
      <c r="AFQ101" s="285"/>
      <c r="AFR101" s="285"/>
      <c r="AFS101" s="285"/>
      <c r="AFT101" s="285"/>
      <c r="AFU101" s="285"/>
      <c r="AFV101" s="285"/>
      <c r="AFW101" s="285"/>
      <c r="AFX101" s="285"/>
      <c r="AFY101" s="285"/>
      <c r="AFZ101" s="285"/>
      <c r="AGA101" s="285"/>
      <c r="AGB101" s="285"/>
      <c r="AGC101" s="285"/>
      <c r="AGD101" s="285"/>
      <c r="AGE101" s="285"/>
      <c r="AGF101" s="285"/>
      <c r="AGG101" s="285"/>
      <c r="AGH101" s="285"/>
      <c r="AGI101" s="285"/>
      <c r="AGJ101" s="285"/>
      <c r="AGK101" s="285"/>
      <c r="AGL101" s="285"/>
      <c r="AGM101" s="285"/>
      <c r="AGN101" s="285"/>
      <c r="AGO101" s="285"/>
      <c r="AGP101" s="285"/>
      <c r="AGQ101" s="285"/>
      <c r="AGR101" s="285"/>
      <c r="AGS101" s="285"/>
      <c r="AGT101" s="285"/>
      <c r="AGU101" s="285"/>
      <c r="AGV101" s="285"/>
      <c r="AGW101" s="285"/>
      <c r="AGX101" s="285"/>
      <c r="AGY101" s="285"/>
      <c r="AGZ101" s="285"/>
      <c r="AHA101" s="285"/>
      <c r="AHB101" s="285"/>
      <c r="AHC101" s="285"/>
      <c r="AHD101" s="285"/>
      <c r="AHE101" s="285"/>
      <c r="AHF101" s="285"/>
      <c r="AHG101" s="285"/>
      <c r="AHH101" s="285"/>
      <c r="AHI101" s="285"/>
      <c r="AHJ101" s="285"/>
      <c r="AHK101" s="285"/>
      <c r="AHL101" s="285"/>
      <c r="AHM101" s="285"/>
      <c r="AHN101" s="285"/>
      <c r="AHO101" s="285"/>
      <c r="AHP101" s="285"/>
      <c r="AHQ101" s="285"/>
      <c r="AHR101" s="285"/>
      <c r="AHS101" s="285"/>
      <c r="AHT101" s="285"/>
      <c r="AHU101" s="285"/>
      <c r="AHV101" s="285"/>
      <c r="AHW101" s="285"/>
      <c r="AHX101" s="285"/>
      <c r="AHY101" s="285"/>
      <c r="AHZ101" s="285"/>
      <c r="AIA101" s="285"/>
      <c r="AIB101" s="285"/>
      <c r="AIC101" s="285"/>
      <c r="AID101" s="285"/>
      <c r="AIE101" s="285"/>
      <c r="AIF101" s="285"/>
      <c r="AIG101" s="285"/>
      <c r="AIH101" s="285"/>
      <c r="AII101" s="285"/>
      <c r="AIJ101" s="285"/>
      <c r="AIK101" s="285"/>
      <c r="AIL101" s="285"/>
      <c r="AIM101" s="285"/>
      <c r="AIN101" s="285"/>
      <c r="AIO101" s="285"/>
      <c r="AIP101" s="285"/>
      <c r="AIQ101" s="285"/>
      <c r="AIR101" s="285"/>
      <c r="AIS101" s="285"/>
      <c r="AIT101" s="285"/>
      <c r="AIU101" s="285"/>
      <c r="AIV101" s="285"/>
      <c r="AIW101" s="285"/>
      <c r="AIX101" s="285"/>
      <c r="AIY101" s="285"/>
      <c r="AIZ101" s="285"/>
      <c r="AJA101" s="285"/>
      <c r="AJB101" s="285"/>
      <c r="AJC101" s="285"/>
      <c r="AJD101" s="285"/>
      <c r="AJE101" s="285"/>
      <c r="AJF101" s="285"/>
      <c r="AJG101" s="285"/>
      <c r="AJH101" s="285"/>
      <c r="AJI101" s="285"/>
      <c r="AJJ101" s="285"/>
      <c r="AJK101" s="285"/>
      <c r="AJL101" s="285"/>
      <c r="AJM101" s="285"/>
      <c r="AJN101" s="285"/>
      <c r="AJO101" s="285"/>
      <c r="AJP101" s="285"/>
      <c r="AJQ101" s="285"/>
      <c r="AJR101" s="285"/>
      <c r="AJS101" s="285"/>
      <c r="AJT101" s="285"/>
      <c r="AJU101" s="285"/>
      <c r="AJV101" s="285"/>
      <c r="AJW101" s="285"/>
      <c r="AJX101" s="285"/>
      <c r="AJY101" s="285"/>
      <c r="AJZ101" s="285"/>
      <c r="AKA101" s="285"/>
      <c r="AKB101" s="285"/>
      <c r="AKC101" s="285"/>
      <c r="AKD101" s="285"/>
      <c r="AKE101" s="285"/>
      <c r="AKF101" s="285"/>
      <c r="AKG101" s="285"/>
      <c r="AKH101" s="285"/>
      <c r="AKI101" s="285"/>
      <c r="AKJ101" s="285"/>
      <c r="AKK101" s="285"/>
      <c r="AKL101" s="285"/>
      <c r="AKM101" s="285"/>
      <c r="AKN101" s="285"/>
      <c r="AKO101" s="285"/>
      <c r="AKP101" s="285"/>
      <c r="AKQ101" s="285"/>
      <c r="AKR101" s="285"/>
      <c r="AKS101" s="285"/>
      <c r="AKT101" s="285"/>
      <c r="AKU101" s="285"/>
      <c r="AKV101" s="285"/>
      <c r="AKW101" s="285"/>
      <c r="AKX101" s="285"/>
      <c r="AKY101" s="285"/>
      <c r="AKZ101" s="285"/>
      <c r="ALA101" s="285"/>
      <c r="ALB101" s="285"/>
      <c r="ALC101" s="285"/>
      <c r="ALD101" s="285"/>
      <c r="ALE101" s="285"/>
      <c r="ALF101" s="285"/>
      <c r="ALG101" s="285"/>
      <c r="ALH101" s="285"/>
      <c r="ALI101" s="285"/>
      <c r="ALJ101" s="285"/>
      <c r="ALK101" s="285"/>
      <c r="ALL101" s="285"/>
      <c r="ALM101" s="285"/>
      <c r="ALN101" s="285"/>
      <c r="ALO101" s="285"/>
      <c r="ALP101" s="285"/>
      <c r="ALQ101" s="285"/>
      <c r="ALR101" s="285"/>
      <c r="ALS101" s="285"/>
      <c r="ALT101" s="285"/>
      <c r="ALU101" s="285"/>
      <c r="ALV101" s="285"/>
      <c r="ALW101" s="285"/>
      <c r="ALX101" s="285"/>
      <c r="ALY101" s="285"/>
      <c r="ALZ101" s="285"/>
      <c r="AMA101" s="285"/>
      <c r="AMB101" s="285"/>
      <c r="AMC101" s="285"/>
      <c r="AMD101" s="285"/>
      <c r="AME101" s="285"/>
      <c r="AMF101" s="285"/>
      <c r="AMG101" s="285"/>
      <c r="AMH101" s="285"/>
      <c r="AMI101" s="285"/>
      <c r="AMJ101" s="285"/>
      <c r="AMK101" s="285"/>
      <c r="AML101" s="285"/>
      <c r="AMM101" s="285"/>
      <c r="AMN101" s="285"/>
      <c r="AMO101" s="285"/>
      <c r="AMP101" s="285"/>
      <c r="AMQ101" s="285"/>
      <c r="AMR101" s="285"/>
      <c r="AMS101" s="285"/>
      <c r="AMT101" s="285"/>
      <c r="AMU101" s="285"/>
      <c r="AMV101" s="285"/>
      <c r="AMW101" s="285"/>
      <c r="AMX101" s="285"/>
      <c r="AMY101" s="285"/>
      <c r="AMZ101" s="285"/>
      <c r="ANA101" s="285"/>
      <c r="ANB101" s="285"/>
      <c r="ANC101" s="285"/>
      <c r="AND101" s="285"/>
      <c r="ANE101" s="285"/>
      <c r="ANF101" s="285"/>
      <c r="ANG101" s="285"/>
      <c r="ANH101" s="285"/>
      <c r="ANI101" s="285"/>
      <c r="ANJ101" s="285"/>
      <c r="ANK101" s="285"/>
      <c r="ANL101" s="285"/>
      <c r="ANM101" s="285"/>
      <c r="ANN101" s="285"/>
      <c r="ANO101" s="285"/>
      <c r="ANP101" s="285"/>
      <c r="ANQ101" s="285"/>
      <c r="ANR101" s="285"/>
      <c r="ANS101" s="285"/>
      <c r="ANT101" s="285"/>
      <c r="ANU101" s="285"/>
      <c r="ANV101" s="285"/>
      <c r="ANW101" s="285"/>
      <c r="ANX101" s="285"/>
      <c r="ANY101" s="285"/>
      <c r="ANZ101" s="285"/>
      <c r="AOA101" s="285"/>
      <c r="AOB101" s="285"/>
      <c r="AOC101" s="285"/>
      <c r="AOD101" s="285"/>
      <c r="AOE101" s="285"/>
      <c r="AOF101" s="285"/>
      <c r="AOG101" s="285"/>
      <c r="AOH101" s="285"/>
      <c r="AOI101" s="285"/>
      <c r="AOJ101" s="285"/>
      <c r="AOK101" s="285"/>
      <c r="AOL101" s="285"/>
      <c r="AOM101" s="285"/>
      <c r="AON101" s="285"/>
      <c r="AOO101" s="285"/>
      <c r="AOP101" s="285"/>
      <c r="AOQ101" s="285"/>
      <c r="AOR101" s="285"/>
      <c r="AOS101" s="285"/>
      <c r="AOT101" s="285"/>
      <c r="AOU101" s="285"/>
      <c r="AOV101" s="285"/>
      <c r="AOW101" s="285"/>
      <c r="AOX101" s="285"/>
      <c r="AOY101" s="285"/>
      <c r="AOZ101" s="285"/>
      <c r="APA101" s="285"/>
      <c r="APB101" s="285"/>
      <c r="APC101" s="285"/>
      <c r="APD101" s="285"/>
      <c r="APE101" s="285"/>
      <c r="APF101" s="285"/>
      <c r="APG101" s="285"/>
      <c r="APH101" s="285"/>
      <c r="API101" s="285"/>
      <c r="APJ101" s="285"/>
      <c r="APK101" s="285"/>
      <c r="APL101" s="285"/>
      <c r="APM101" s="285"/>
      <c r="APN101" s="285"/>
      <c r="APO101" s="285"/>
      <c r="APP101" s="285"/>
      <c r="APQ101" s="285"/>
      <c r="APR101" s="285"/>
      <c r="APS101" s="285"/>
      <c r="APT101" s="285"/>
      <c r="APU101" s="285"/>
      <c r="APV101" s="285"/>
      <c r="APW101" s="285"/>
      <c r="APX101" s="285"/>
      <c r="APY101" s="285"/>
      <c r="APZ101" s="285"/>
      <c r="AQA101" s="285"/>
      <c r="AQB101" s="285"/>
      <c r="AQC101" s="285"/>
      <c r="AQD101" s="285"/>
      <c r="AQE101" s="285"/>
      <c r="AQF101" s="285"/>
      <c r="AQG101" s="285"/>
      <c r="AQH101" s="285"/>
      <c r="AQI101" s="285"/>
      <c r="AQJ101" s="285"/>
      <c r="AQK101" s="285"/>
      <c r="AQL101" s="285"/>
      <c r="AQM101" s="285"/>
      <c r="AQN101" s="285"/>
      <c r="AQO101" s="285"/>
      <c r="AQP101" s="285"/>
      <c r="AQQ101" s="285"/>
      <c r="AQR101" s="285"/>
      <c r="AQS101" s="285"/>
      <c r="AQT101" s="285"/>
      <c r="AQU101" s="285"/>
      <c r="AQV101" s="285"/>
      <c r="AQW101" s="285"/>
      <c r="AQX101" s="285"/>
      <c r="AQY101" s="285"/>
      <c r="AQZ101" s="285"/>
      <c r="ARA101" s="285"/>
      <c r="ARB101" s="285"/>
      <c r="ARC101" s="285"/>
      <c r="ARD101" s="285"/>
      <c r="ARE101" s="285"/>
      <c r="ARF101" s="285"/>
      <c r="ARG101" s="285"/>
      <c r="ARH101" s="285"/>
      <c r="ARI101" s="285"/>
      <c r="ARJ101" s="285"/>
      <c r="ARK101" s="285"/>
      <c r="ARL101" s="285"/>
      <c r="ARM101" s="285"/>
      <c r="ARN101" s="285"/>
      <c r="ARO101" s="285"/>
      <c r="ARP101" s="285"/>
      <c r="ARQ101" s="285"/>
      <c r="ARR101" s="285"/>
      <c r="ARS101" s="285"/>
      <c r="ART101" s="285"/>
      <c r="ARU101" s="285"/>
      <c r="ARV101" s="285"/>
      <c r="ARW101" s="285"/>
      <c r="ARX101" s="285"/>
      <c r="ARY101" s="285"/>
      <c r="ARZ101" s="285"/>
      <c r="ASA101" s="285"/>
      <c r="ASB101" s="285"/>
      <c r="ASC101" s="285"/>
      <c r="ASD101" s="285"/>
      <c r="ASE101" s="285"/>
      <c r="ASF101" s="285"/>
      <c r="ASG101" s="285"/>
      <c r="ASH101" s="285"/>
      <c r="ASI101" s="285"/>
      <c r="ASJ101" s="285"/>
      <c r="ASK101" s="285"/>
      <c r="ASL101" s="285"/>
      <c r="ASM101" s="285"/>
      <c r="ASN101" s="285"/>
      <c r="ASO101" s="285"/>
      <c r="ASP101" s="285"/>
      <c r="ASQ101" s="285"/>
      <c r="ASR101" s="285"/>
      <c r="ASS101" s="285"/>
      <c r="AST101" s="285"/>
      <c r="ASU101" s="285"/>
      <c r="ASV101" s="285"/>
      <c r="ASW101" s="285"/>
      <c r="ASX101" s="285"/>
      <c r="ASY101" s="285"/>
      <c r="ASZ101" s="285"/>
      <c r="ATA101" s="285"/>
      <c r="ATB101" s="285"/>
      <c r="ATC101" s="285"/>
      <c r="ATD101" s="285"/>
      <c r="ATE101" s="285"/>
      <c r="ATF101" s="285"/>
      <c r="ATG101" s="285"/>
      <c r="ATH101" s="285"/>
      <c r="ATI101" s="285"/>
      <c r="ATJ101" s="285"/>
      <c r="ATK101" s="285"/>
      <c r="ATL101" s="285"/>
      <c r="ATM101" s="285"/>
      <c r="ATN101" s="285"/>
      <c r="ATO101" s="285"/>
      <c r="ATP101" s="285"/>
      <c r="ATQ101" s="285"/>
      <c r="ATR101" s="285"/>
      <c r="ATS101" s="285"/>
      <c r="ATT101" s="285"/>
      <c r="ATU101" s="285"/>
      <c r="ATV101" s="285"/>
      <c r="ATW101" s="285"/>
      <c r="ATX101" s="285"/>
      <c r="ATY101" s="285"/>
      <c r="ATZ101" s="285"/>
      <c r="AUA101" s="285"/>
      <c r="AUB101" s="285"/>
      <c r="AUC101" s="285"/>
      <c r="AUD101" s="285"/>
      <c r="AUE101" s="285"/>
      <c r="AUF101" s="285"/>
      <c r="AUG101" s="285"/>
      <c r="AUH101" s="285"/>
      <c r="AUI101" s="285"/>
      <c r="AUJ101" s="285"/>
      <c r="AUK101" s="285"/>
      <c r="AUL101" s="285"/>
      <c r="AUM101" s="285"/>
      <c r="AUN101" s="285"/>
      <c r="AUO101" s="285"/>
      <c r="AUP101" s="285"/>
      <c r="AUQ101" s="285"/>
      <c r="AUR101" s="285"/>
      <c r="AUS101" s="285"/>
      <c r="AUT101" s="285"/>
      <c r="AUU101" s="285"/>
      <c r="AUV101" s="285"/>
      <c r="AUW101" s="285"/>
      <c r="AUX101" s="285"/>
      <c r="AUY101" s="285"/>
      <c r="AUZ101" s="285"/>
      <c r="AVA101" s="285"/>
      <c r="AVB101" s="285"/>
      <c r="AVC101" s="285"/>
      <c r="AVD101" s="285"/>
      <c r="AVE101" s="285"/>
      <c r="AVF101" s="285"/>
      <c r="AVG101" s="285"/>
      <c r="AVH101" s="285"/>
      <c r="AVI101" s="285"/>
      <c r="AVJ101" s="285"/>
      <c r="AVK101" s="285"/>
      <c r="AVL101" s="285"/>
      <c r="AVM101" s="285"/>
      <c r="AVN101" s="285"/>
      <c r="AVO101" s="285"/>
      <c r="AVP101" s="285"/>
      <c r="AVQ101" s="285"/>
      <c r="AVR101" s="285"/>
      <c r="AVS101" s="285"/>
      <c r="AVT101" s="285"/>
      <c r="AVU101" s="285"/>
      <c r="AVV101" s="285"/>
      <c r="AVW101" s="285"/>
      <c r="AVX101" s="285"/>
      <c r="AVY101" s="285"/>
      <c r="AVZ101" s="285"/>
      <c r="AWA101" s="285"/>
      <c r="AWB101" s="285"/>
      <c r="AWC101" s="285"/>
      <c r="AWD101" s="285"/>
      <c r="AWE101" s="285"/>
      <c r="AWF101" s="285"/>
      <c r="AWG101" s="285"/>
      <c r="AWH101" s="285"/>
      <c r="AWI101" s="285"/>
      <c r="AWJ101" s="285"/>
      <c r="AWK101" s="285"/>
      <c r="AWL101" s="285"/>
      <c r="AWM101" s="285"/>
      <c r="AWN101" s="285"/>
      <c r="AWO101" s="285"/>
      <c r="AWP101" s="285"/>
      <c r="AWQ101" s="285"/>
      <c r="AWR101" s="285"/>
      <c r="AWS101" s="285"/>
      <c r="AWT101" s="285"/>
      <c r="AWU101" s="285"/>
      <c r="AWV101" s="285"/>
      <c r="AWW101" s="285"/>
      <c r="AWX101" s="285"/>
      <c r="AWY101" s="285"/>
      <c r="AWZ101" s="285"/>
      <c r="AXA101" s="285"/>
      <c r="AXB101" s="285"/>
      <c r="AXC101" s="285"/>
      <c r="AXD101" s="285"/>
      <c r="AXE101" s="285"/>
      <c r="AXF101" s="285"/>
      <c r="AXG101" s="285"/>
      <c r="AXH101" s="285"/>
      <c r="AXI101" s="285"/>
      <c r="AXJ101" s="285"/>
      <c r="AXK101" s="285"/>
      <c r="AXL101" s="285"/>
      <c r="AXM101" s="285"/>
      <c r="AXN101" s="285"/>
      <c r="AXO101" s="285"/>
      <c r="AXP101" s="285"/>
      <c r="AXQ101" s="285"/>
      <c r="AXR101" s="285"/>
      <c r="AXS101" s="285"/>
      <c r="AXT101" s="285"/>
      <c r="AXU101" s="285"/>
      <c r="AXV101" s="285"/>
      <c r="AXW101" s="285"/>
      <c r="AXX101" s="285"/>
      <c r="AXY101" s="285"/>
      <c r="AXZ101" s="285"/>
      <c r="AYA101" s="285"/>
      <c r="AYB101" s="285"/>
      <c r="AYC101" s="285"/>
      <c r="AYD101" s="285"/>
      <c r="AYE101" s="285"/>
      <c r="AYF101" s="285"/>
      <c r="AYG101" s="285"/>
      <c r="AYH101" s="285"/>
      <c r="AYI101" s="285"/>
      <c r="AYJ101" s="285"/>
      <c r="AYK101" s="285"/>
      <c r="AYL101" s="285"/>
      <c r="AYM101" s="285"/>
      <c r="AYN101" s="285"/>
      <c r="AYO101" s="285"/>
      <c r="AYP101" s="285"/>
      <c r="AYQ101" s="285"/>
      <c r="AYR101" s="285"/>
      <c r="AYS101" s="285"/>
      <c r="AYT101" s="285"/>
      <c r="AYU101" s="285"/>
      <c r="AYV101" s="285"/>
      <c r="AYW101" s="285"/>
      <c r="AYX101" s="285"/>
      <c r="AYY101" s="285"/>
      <c r="AYZ101" s="285"/>
      <c r="AZA101" s="285"/>
      <c r="AZB101" s="285"/>
      <c r="AZC101" s="285"/>
      <c r="AZD101" s="285"/>
      <c r="AZE101" s="285"/>
      <c r="AZF101" s="285"/>
      <c r="AZG101" s="285"/>
      <c r="AZH101" s="285"/>
      <c r="AZI101" s="285"/>
      <c r="AZJ101" s="285"/>
      <c r="AZK101" s="285"/>
      <c r="AZL101" s="285"/>
      <c r="AZM101" s="285"/>
      <c r="AZN101" s="285"/>
      <c r="AZO101" s="285"/>
      <c r="AZP101" s="285"/>
      <c r="AZQ101" s="285"/>
      <c r="AZR101" s="285"/>
      <c r="AZS101" s="285"/>
      <c r="AZT101" s="285"/>
      <c r="AZU101" s="285"/>
      <c r="AZV101" s="285"/>
      <c r="AZW101" s="285"/>
      <c r="AZX101" s="285"/>
      <c r="AZY101" s="285"/>
      <c r="AZZ101" s="285"/>
      <c r="BAA101" s="285"/>
      <c r="BAB101" s="285"/>
      <c r="BAC101" s="285"/>
      <c r="BAD101" s="285"/>
      <c r="BAE101" s="285"/>
      <c r="BAF101" s="285"/>
      <c r="BAG101" s="285"/>
      <c r="BAH101" s="285"/>
      <c r="BAI101" s="285"/>
      <c r="BAJ101" s="285"/>
      <c r="BAK101" s="285"/>
      <c r="BAL101" s="285"/>
      <c r="BAM101" s="285"/>
      <c r="BAN101" s="285"/>
      <c r="BAO101" s="285"/>
      <c r="BAP101" s="285"/>
      <c r="BAQ101" s="285"/>
      <c r="BAR101" s="285"/>
      <c r="BAS101" s="285"/>
      <c r="BAT101" s="285"/>
      <c r="BAU101" s="285"/>
      <c r="BAV101" s="285"/>
      <c r="BAW101" s="285"/>
      <c r="BAX101" s="285"/>
      <c r="BAY101" s="285"/>
      <c r="BAZ101" s="285"/>
      <c r="BBA101" s="285"/>
      <c r="BBB101" s="285"/>
      <c r="BBC101" s="285"/>
      <c r="BBD101" s="285"/>
      <c r="BBE101" s="285"/>
      <c r="BBF101" s="285"/>
      <c r="BBG101" s="285"/>
      <c r="BBH101" s="285"/>
      <c r="BBI101" s="285"/>
      <c r="BBJ101" s="285"/>
      <c r="BBK101" s="285"/>
      <c r="BBL101" s="285"/>
      <c r="BBM101" s="285"/>
      <c r="BBN101" s="285"/>
      <c r="BBO101" s="285"/>
      <c r="BBP101" s="285"/>
      <c r="BBQ101" s="285"/>
      <c r="BBR101" s="285"/>
      <c r="BBS101" s="285"/>
      <c r="BBT101" s="285"/>
      <c r="BBU101" s="285"/>
      <c r="BBV101" s="285"/>
      <c r="BBW101" s="285"/>
      <c r="BBX101" s="285"/>
      <c r="BBY101" s="285"/>
      <c r="BBZ101" s="285"/>
      <c r="BCA101" s="285"/>
      <c r="BCB101" s="285"/>
      <c r="BCC101" s="285"/>
      <c r="BCD101" s="285"/>
      <c r="BCE101" s="285"/>
      <c r="BCF101" s="285"/>
      <c r="BCG101" s="285"/>
      <c r="BCH101" s="285"/>
      <c r="BCI101" s="285"/>
      <c r="BCJ101" s="285"/>
      <c r="BCK101" s="285"/>
      <c r="BCL101" s="285"/>
      <c r="BCM101" s="285"/>
      <c r="BCN101" s="285"/>
      <c r="BCO101" s="285"/>
      <c r="BCP101" s="285"/>
      <c r="BCQ101" s="285"/>
      <c r="BCR101" s="285"/>
      <c r="BCS101" s="285"/>
      <c r="BCT101" s="285"/>
      <c r="BCU101" s="285"/>
      <c r="BCV101" s="285"/>
      <c r="BCW101" s="285"/>
      <c r="BCX101" s="285"/>
      <c r="BCY101" s="285"/>
      <c r="BCZ101" s="285"/>
      <c r="BDA101" s="285"/>
      <c r="BDB101" s="285"/>
      <c r="BDC101" s="285"/>
      <c r="BDD101" s="285"/>
      <c r="BDE101" s="285"/>
      <c r="BDF101" s="285"/>
      <c r="BDG101" s="285"/>
      <c r="BDH101" s="285"/>
      <c r="BDI101" s="285"/>
      <c r="BDJ101" s="285"/>
      <c r="BDK101" s="285"/>
      <c r="BDL101" s="285"/>
      <c r="BDM101" s="285"/>
      <c r="BDN101" s="285"/>
      <c r="BDO101" s="285"/>
      <c r="BDP101" s="285"/>
      <c r="BDQ101" s="285"/>
      <c r="BDR101" s="285"/>
      <c r="BDS101" s="285"/>
      <c r="BDT101" s="285"/>
      <c r="BDU101" s="285"/>
      <c r="BDV101" s="285"/>
      <c r="BDW101" s="285"/>
      <c r="BDX101" s="285"/>
      <c r="BDY101" s="285"/>
      <c r="BDZ101" s="285"/>
      <c r="BEA101" s="285"/>
      <c r="BEB101" s="285"/>
      <c r="BEC101" s="285"/>
      <c r="BED101" s="285"/>
      <c r="BEE101" s="285"/>
      <c r="BEF101" s="285"/>
      <c r="BEG101" s="285"/>
      <c r="BEH101" s="285"/>
      <c r="BEI101" s="285"/>
      <c r="BEJ101" s="285"/>
      <c r="BEK101" s="285"/>
      <c r="BEL101" s="285"/>
      <c r="BEM101" s="285"/>
      <c r="BEN101" s="285"/>
      <c r="BEO101" s="285"/>
      <c r="BEP101" s="285"/>
      <c r="BEQ101" s="285"/>
      <c r="BER101" s="285"/>
      <c r="BES101" s="285"/>
      <c r="BET101" s="285"/>
      <c r="BEU101" s="285"/>
      <c r="BEV101" s="285"/>
      <c r="BEW101" s="285"/>
      <c r="BEX101" s="285"/>
      <c r="BEY101" s="285"/>
      <c r="BEZ101" s="285"/>
      <c r="BFA101" s="285"/>
      <c r="BFB101" s="285"/>
      <c r="BFC101" s="285"/>
      <c r="BFD101" s="285"/>
      <c r="BFE101" s="285"/>
      <c r="BFF101" s="285"/>
      <c r="BFG101" s="285"/>
      <c r="BFH101" s="285"/>
      <c r="BFI101" s="285"/>
      <c r="BFJ101" s="285"/>
      <c r="BFK101" s="285"/>
      <c r="BFL101" s="285"/>
      <c r="BFM101" s="285"/>
      <c r="BFN101" s="285"/>
      <c r="BFO101" s="285"/>
      <c r="BFP101" s="285"/>
      <c r="BFQ101" s="285"/>
      <c r="BFR101" s="285"/>
      <c r="BFS101" s="285"/>
      <c r="BFT101" s="285"/>
      <c r="BFU101" s="285"/>
      <c r="BFV101" s="285"/>
      <c r="BFW101" s="285"/>
      <c r="BFX101" s="285"/>
      <c r="BFY101" s="285"/>
      <c r="BFZ101" s="285"/>
      <c r="BGA101" s="285"/>
      <c r="BGB101" s="285"/>
      <c r="BGC101" s="285"/>
      <c r="BGD101" s="285"/>
      <c r="BGE101" s="285"/>
      <c r="BGF101" s="285"/>
      <c r="BGG101" s="285"/>
      <c r="BGH101" s="285"/>
      <c r="BGI101" s="285"/>
      <c r="BGJ101" s="285"/>
      <c r="BGK101" s="285"/>
      <c r="BGL101" s="285"/>
      <c r="BGM101" s="285"/>
      <c r="BGN101" s="285"/>
      <c r="BGO101" s="285"/>
      <c r="BGP101" s="285"/>
      <c r="BGQ101" s="285"/>
      <c r="BGR101" s="285"/>
      <c r="BGS101" s="285"/>
      <c r="BGT101" s="285"/>
      <c r="BGU101" s="285"/>
      <c r="BGV101" s="285"/>
      <c r="BGW101" s="285"/>
      <c r="BGX101" s="285"/>
      <c r="BGY101" s="285"/>
      <c r="BGZ101" s="285"/>
      <c r="BHA101" s="285"/>
      <c r="BHB101" s="285"/>
      <c r="BHC101" s="285"/>
      <c r="BHD101" s="285"/>
      <c r="BHE101" s="285"/>
      <c r="BHF101" s="285"/>
      <c r="BHG101" s="285"/>
      <c r="BHH101" s="285"/>
      <c r="BHI101" s="285"/>
      <c r="BHJ101" s="285"/>
      <c r="BHK101" s="285"/>
      <c r="BHL101" s="285"/>
      <c r="BHM101" s="285"/>
      <c r="BHN101" s="285"/>
      <c r="BHO101" s="285"/>
      <c r="BHP101" s="285"/>
      <c r="BHQ101" s="285"/>
      <c r="BHR101" s="285"/>
      <c r="BHS101" s="285"/>
      <c r="BHT101" s="285"/>
      <c r="BHU101" s="285"/>
      <c r="BHV101" s="285"/>
      <c r="BHW101" s="285"/>
      <c r="BHX101" s="285"/>
      <c r="BHY101" s="285"/>
      <c r="BHZ101" s="285"/>
      <c r="BIA101" s="285"/>
      <c r="BIB101" s="285"/>
      <c r="BIC101" s="285"/>
      <c r="BID101" s="285"/>
      <c r="BIE101" s="285"/>
      <c r="BIF101" s="285"/>
      <c r="BIG101" s="285"/>
      <c r="BIH101" s="285"/>
      <c r="BII101" s="285"/>
      <c r="BIJ101" s="285"/>
      <c r="BIK101" s="285"/>
      <c r="BIL101" s="285"/>
      <c r="BIM101" s="285"/>
      <c r="BIN101" s="285"/>
      <c r="BIO101" s="285"/>
      <c r="BIP101" s="285"/>
      <c r="BIQ101" s="285"/>
      <c r="BIR101" s="285"/>
      <c r="BIS101" s="285"/>
      <c r="BIT101" s="285"/>
      <c r="BIU101" s="285"/>
      <c r="BIV101" s="285"/>
      <c r="BIW101" s="285"/>
      <c r="BIX101" s="285"/>
      <c r="BIY101" s="285"/>
      <c r="BIZ101" s="285"/>
      <c r="BJA101" s="285"/>
      <c r="BJB101" s="285"/>
      <c r="BJC101" s="285"/>
      <c r="BJD101" s="285"/>
      <c r="BJE101" s="285"/>
      <c r="BJF101" s="285"/>
      <c r="BJG101" s="285"/>
      <c r="BJH101" s="285"/>
      <c r="BJI101" s="285"/>
      <c r="BJJ101" s="285"/>
      <c r="BJK101" s="285"/>
      <c r="BJL101" s="285"/>
      <c r="BJM101" s="285"/>
      <c r="BJN101" s="285"/>
      <c r="BJO101" s="285"/>
      <c r="BJP101" s="285"/>
      <c r="BJQ101" s="285"/>
      <c r="BJR101" s="285"/>
      <c r="BJS101" s="285"/>
      <c r="BJT101" s="285"/>
      <c r="BJU101" s="285"/>
      <c r="BJV101" s="285"/>
      <c r="BJW101" s="285"/>
      <c r="BJX101" s="285"/>
      <c r="BJY101" s="285"/>
      <c r="BJZ101" s="285"/>
      <c r="BKA101" s="285"/>
      <c r="BKB101" s="285"/>
      <c r="BKC101" s="285"/>
      <c r="BKD101" s="285"/>
      <c r="BKE101" s="285"/>
      <c r="BKF101" s="285"/>
      <c r="BKG101" s="285"/>
      <c r="BKH101" s="285"/>
      <c r="BKI101" s="285"/>
      <c r="BKJ101" s="285"/>
      <c r="BKK101" s="285"/>
      <c r="BKL101" s="285"/>
      <c r="BKM101" s="285"/>
      <c r="BKN101" s="285"/>
      <c r="BKO101" s="285"/>
      <c r="BKP101" s="285"/>
      <c r="BKQ101" s="285"/>
      <c r="BKR101" s="285"/>
      <c r="BKS101" s="285"/>
      <c r="BKT101" s="285"/>
      <c r="BKU101" s="285"/>
      <c r="BKV101" s="285"/>
      <c r="BKW101" s="285"/>
      <c r="BKX101" s="285"/>
      <c r="BKY101" s="285"/>
      <c r="BKZ101" s="285"/>
      <c r="BLA101" s="285"/>
      <c r="BLB101" s="285"/>
      <c r="BLC101" s="285"/>
      <c r="BLD101" s="285"/>
      <c r="BLE101" s="285"/>
      <c r="BLF101" s="285"/>
      <c r="BLG101" s="285"/>
      <c r="BLH101" s="285"/>
      <c r="BLI101" s="285"/>
      <c r="BLJ101" s="285"/>
      <c r="BLK101" s="285"/>
      <c r="BLL101" s="285"/>
      <c r="BLM101" s="285"/>
      <c r="BLN101" s="285"/>
      <c r="BLO101" s="285"/>
      <c r="BLP101" s="285"/>
      <c r="BLQ101" s="285"/>
      <c r="BLR101" s="285"/>
      <c r="BLS101" s="285"/>
      <c r="BLT101" s="285"/>
      <c r="BLU101" s="285"/>
      <c r="BLV101" s="285"/>
      <c r="BLW101" s="285"/>
      <c r="BLX101" s="285"/>
      <c r="BLY101" s="285"/>
      <c r="BLZ101" s="285"/>
      <c r="BMA101" s="285"/>
      <c r="BMB101" s="285"/>
      <c r="BMC101" s="285"/>
      <c r="BMD101" s="285"/>
      <c r="BME101" s="285"/>
      <c r="BMF101" s="285"/>
      <c r="BMG101" s="285"/>
      <c r="BMH101" s="285"/>
      <c r="BMI101" s="285"/>
      <c r="BMJ101" s="285"/>
      <c r="BMK101" s="285"/>
      <c r="BML101" s="285"/>
      <c r="BMM101" s="285"/>
      <c r="BMN101" s="285"/>
      <c r="BMO101" s="285"/>
      <c r="BMP101" s="285"/>
      <c r="BMQ101" s="285"/>
      <c r="BMR101" s="285"/>
      <c r="BMS101" s="285"/>
      <c r="BMT101" s="285"/>
      <c r="BMU101" s="285"/>
      <c r="BMV101" s="285"/>
      <c r="BMW101" s="285"/>
      <c r="BMX101" s="285"/>
      <c r="BMY101" s="285"/>
      <c r="BMZ101" s="285"/>
      <c r="BNA101" s="285"/>
      <c r="BNB101" s="285"/>
      <c r="BNC101" s="285"/>
      <c r="BND101" s="285"/>
      <c r="BNE101" s="285"/>
      <c r="BNF101" s="285"/>
      <c r="BNG101" s="285"/>
      <c r="BNH101" s="285"/>
      <c r="BNI101" s="285"/>
      <c r="BNJ101" s="285"/>
      <c r="BNK101" s="285"/>
      <c r="BNL101" s="285"/>
      <c r="BNM101" s="285"/>
      <c r="BNN101" s="285"/>
      <c r="BNO101" s="285"/>
      <c r="BNP101" s="285"/>
      <c r="BNQ101" s="285"/>
      <c r="BNR101" s="285"/>
      <c r="BNS101" s="285"/>
      <c r="BNT101" s="285"/>
      <c r="BNU101" s="285"/>
      <c r="BNV101" s="285"/>
      <c r="BNW101" s="285"/>
      <c r="BNX101" s="285"/>
      <c r="BNY101" s="285"/>
      <c r="BNZ101" s="285"/>
      <c r="BOA101" s="285"/>
      <c r="BOB101" s="285"/>
      <c r="BOC101" s="285"/>
      <c r="BOD101" s="285"/>
      <c r="BOE101" s="285"/>
      <c r="BOF101" s="285"/>
      <c r="BOG101" s="285"/>
      <c r="BOH101" s="285"/>
      <c r="BOI101" s="285"/>
      <c r="BOJ101" s="285"/>
      <c r="BOK101" s="285"/>
      <c r="BOL101" s="285"/>
      <c r="BOM101" s="285"/>
      <c r="BON101" s="285"/>
      <c r="BOO101" s="285"/>
      <c r="BOP101" s="285"/>
      <c r="BOQ101" s="285"/>
      <c r="BOR101" s="285"/>
      <c r="BOS101" s="285"/>
      <c r="BOT101" s="285"/>
      <c r="BOU101" s="285"/>
      <c r="BOV101" s="285"/>
      <c r="BOW101" s="285"/>
      <c r="BOX101" s="285"/>
      <c r="BOY101" s="285"/>
      <c r="BOZ101" s="285"/>
      <c r="BPA101" s="285"/>
      <c r="BPB101" s="285"/>
      <c r="BPC101" s="285"/>
      <c r="BPD101" s="285"/>
      <c r="BPE101" s="285"/>
      <c r="BPF101" s="285"/>
      <c r="BPG101" s="285"/>
      <c r="BPH101" s="285"/>
      <c r="BPI101" s="285"/>
      <c r="BPJ101" s="285"/>
      <c r="BPK101" s="285"/>
      <c r="BPL101" s="285"/>
      <c r="BPM101" s="285"/>
      <c r="BPN101" s="285"/>
      <c r="BPO101" s="285"/>
      <c r="BPP101" s="285"/>
      <c r="BPQ101" s="285"/>
      <c r="BPR101" s="285"/>
      <c r="BPS101" s="285"/>
      <c r="BPT101" s="285"/>
      <c r="BPU101" s="285"/>
      <c r="BPV101" s="285"/>
      <c r="BPW101" s="285"/>
      <c r="BPX101" s="285"/>
      <c r="BPY101" s="285"/>
      <c r="BPZ101" s="285"/>
      <c r="BQA101" s="285"/>
      <c r="BQB101" s="285"/>
      <c r="BQC101" s="285"/>
      <c r="BQD101" s="285"/>
      <c r="BQE101" s="285"/>
      <c r="BQF101" s="285"/>
      <c r="BQG101" s="285"/>
      <c r="BQH101" s="285"/>
      <c r="BQI101" s="285"/>
      <c r="BQJ101" s="285"/>
      <c r="BQK101" s="285"/>
      <c r="BQL101" s="285"/>
      <c r="BQM101" s="285"/>
      <c r="BQN101" s="285"/>
      <c r="BQO101" s="285"/>
      <c r="BQP101" s="285"/>
      <c r="BQQ101" s="285"/>
      <c r="BQR101" s="285"/>
      <c r="BQS101" s="285"/>
      <c r="BQT101" s="285"/>
      <c r="BQU101" s="285"/>
      <c r="BQV101" s="285"/>
      <c r="BQW101" s="285"/>
      <c r="BQX101" s="285"/>
      <c r="BQY101" s="285"/>
      <c r="BQZ101" s="285"/>
      <c r="BRA101" s="285"/>
      <c r="BRB101" s="285"/>
      <c r="BRC101" s="285"/>
      <c r="BRD101" s="285"/>
      <c r="BRE101" s="285"/>
      <c r="BRF101" s="285"/>
      <c r="BRG101" s="285"/>
      <c r="BRH101" s="285"/>
      <c r="BRI101" s="285"/>
      <c r="BRJ101" s="285"/>
      <c r="BRK101" s="285"/>
      <c r="BRL101" s="285"/>
      <c r="BRM101" s="285"/>
      <c r="BRN101" s="285"/>
      <c r="BRO101" s="285"/>
      <c r="BRP101" s="285"/>
      <c r="BRQ101" s="285"/>
      <c r="BRR101" s="285"/>
      <c r="BRS101" s="285"/>
      <c r="BRT101" s="285"/>
      <c r="BRU101" s="285"/>
      <c r="BRV101" s="285"/>
      <c r="BRW101" s="285"/>
      <c r="BRX101" s="285"/>
      <c r="BRY101" s="285"/>
      <c r="BRZ101" s="285"/>
      <c r="BSA101" s="285"/>
      <c r="BSB101" s="285"/>
      <c r="BSC101" s="285"/>
      <c r="BSD101" s="285"/>
      <c r="BSE101" s="285"/>
      <c r="BSF101" s="285"/>
      <c r="BSG101" s="285"/>
      <c r="BSH101" s="285"/>
      <c r="BSI101" s="285"/>
      <c r="BSJ101" s="285"/>
      <c r="BSK101" s="285"/>
      <c r="BSL101" s="285"/>
      <c r="BSM101" s="285"/>
      <c r="BSN101" s="285"/>
      <c r="BSO101" s="285"/>
      <c r="BSP101" s="285"/>
      <c r="BSQ101" s="285"/>
      <c r="BSR101" s="285"/>
      <c r="BSS101" s="285"/>
      <c r="BST101" s="285"/>
      <c r="BSU101" s="285"/>
      <c r="BSV101" s="285"/>
      <c r="BSW101" s="285"/>
      <c r="BSX101" s="285"/>
      <c r="BSY101" s="285"/>
      <c r="BSZ101" s="285"/>
      <c r="BTA101" s="285"/>
      <c r="BTB101" s="285"/>
      <c r="BTC101" s="285"/>
      <c r="BTD101" s="285"/>
      <c r="BTE101" s="285"/>
      <c r="BTF101" s="285"/>
      <c r="BTG101" s="285"/>
      <c r="BTH101" s="285"/>
      <c r="BTI101" s="285"/>
      <c r="BTJ101" s="285"/>
      <c r="BTK101" s="285"/>
      <c r="BTL101" s="285"/>
      <c r="BTM101" s="285"/>
      <c r="BTN101" s="285"/>
      <c r="BTO101" s="285"/>
      <c r="BTP101" s="285"/>
      <c r="BTQ101" s="285"/>
      <c r="BTR101" s="285"/>
      <c r="BTS101" s="285"/>
      <c r="BTT101" s="285"/>
      <c r="BTU101" s="285"/>
      <c r="BTV101" s="285"/>
      <c r="BTW101" s="285"/>
      <c r="BTX101" s="285"/>
      <c r="BTY101" s="285"/>
      <c r="BTZ101" s="285"/>
      <c r="BUA101" s="285"/>
      <c r="BUB101" s="285"/>
      <c r="BUC101" s="285"/>
      <c r="BUD101" s="285"/>
      <c r="BUE101" s="285"/>
      <c r="BUF101" s="285"/>
      <c r="BUG101" s="285"/>
      <c r="BUH101" s="285"/>
      <c r="BUI101" s="285"/>
      <c r="BUJ101" s="285"/>
      <c r="BUK101" s="285"/>
      <c r="BUL101" s="285"/>
      <c r="BUM101" s="285"/>
      <c r="BUN101" s="285"/>
      <c r="BUO101" s="285"/>
      <c r="BUP101" s="285"/>
      <c r="BUQ101" s="285"/>
      <c r="BUR101" s="285"/>
      <c r="BUS101" s="285"/>
      <c r="BUT101" s="285"/>
      <c r="BUU101" s="285"/>
      <c r="BUV101" s="285"/>
      <c r="BUW101" s="285"/>
      <c r="BUX101" s="285"/>
      <c r="BUY101" s="285"/>
      <c r="BUZ101" s="285"/>
      <c r="BVA101" s="285"/>
      <c r="BVB101" s="285"/>
      <c r="BVC101" s="285"/>
      <c r="BVD101" s="285"/>
      <c r="BVE101" s="285"/>
      <c r="BVF101" s="285"/>
      <c r="BVG101" s="285"/>
      <c r="BVH101" s="285"/>
      <c r="BVI101" s="285"/>
      <c r="BVJ101" s="285"/>
      <c r="BVK101" s="285"/>
      <c r="BVL101" s="285"/>
      <c r="BVM101" s="285"/>
      <c r="BVN101" s="285"/>
      <c r="BVO101" s="285"/>
      <c r="BVP101" s="285"/>
      <c r="BVQ101" s="285"/>
      <c r="BVR101" s="285"/>
      <c r="BVS101" s="285"/>
      <c r="BVT101" s="285"/>
      <c r="BVU101" s="285"/>
      <c r="BVV101" s="285"/>
      <c r="BVW101" s="285"/>
      <c r="BVX101" s="285"/>
      <c r="BVY101" s="285"/>
      <c r="BVZ101" s="285"/>
      <c r="BWA101" s="285"/>
      <c r="BWB101" s="285"/>
      <c r="BWC101" s="285"/>
      <c r="BWD101" s="285"/>
      <c r="BWE101" s="285"/>
      <c r="BWF101" s="285"/>
      <c r="BWG101" s="285"/>
      <c r="BWH101" s="285"/>
      <c r="BWI101" s="285"/>
      <c r="BWJ101" s="285"/>
      <c r="BWK101" s="285"/>
      <c r="BWL101" s="285"/>
      <c r="BWM101" s="285"/>
      <c r="BWN101" s="285"/>
      <c r="BWO101" s="285"/>
      <c r="BWP101" s="285"/>
      <c r="BWQ101" s="285"/>
      <c r="BWR101" s="285"/>
      <c r="BWS101" s="285"/>
      <c r="BWT101" s="285"/>
      <c r="BWU101" s="285"/>
      <c r="BWV101" s="285"/>
      <c r="BWW101" s="285"/>
      <c r="BWX101" s="285"/>
      <c r="BWY101" s="285"/>
      <c r="BWZ101" s="285"/>
      <c r="BXA101" s="285"/>
      <c r="BXB101" s="285"/>
      <c r="BXC101" s="285"/>
      <c r="BXD101" s="285"/>
      <c r="BXE101" s="285"/>
      <c r="BXF101" s="285"/>
      <c r="BXG101" s="285"/>
      <c r="BXH101" s="285"/>
      <c r="BXI101" s="285"/>
      <c r="BXJ101" s="285"/>
      <c r="BXK101" s="285"/>
      <c r="BXL101" s="285"/>
      <c r="BXM101" s="285"/>
      <c r="BXN101" s="285"/>
      <c r="BXO101" s="285"/>
      <c r="BXP101" s="285"/>
      <c r="BXQ101" s="285"/>
      <c r="BXR101" s="285"/>
      <c r="BXS101" s="285"/>
      <c r="BXT101" s="285"/>
      <c r="BXU101" s="285"/>
      <c r="BXV101" s="285"/>
      <c r="BXW101" s="285"/>
      <c r="BXX101" s="285"/>
      <c r="BXY101" s="285"/>
      <c r="BXZ101" s="285"/>
      <c r="BYA101" s="285"/>
      <c r="BYB101" s="285"/>
      <c r="BYC101" s="285"/>
      <c r="BYD101" s="285"/>
      <c r="BYE101" s="285"/>
      <c r="BYF101" s="285"/>
      <c r="BYG101" s="285"/>
      <c r="BYH101" s="285"/>
      <c r="BYI101" s="285"/>
      <c r="BYJ101" s="285"/>
      <c r="BYK101" s="285"/>
      <c r="BYL101" s="285"/>
      <c r="BYM101" s="285"/>
      <c r="BYN101" s="285"/>
      <c r="BYO101" s="285"/>
      <c r="BYP101" s="285"/>
      <c r="BYQ101" s="285"/>
      <c r="BYR101" s="285"/>
      <c r="BYS101" s="285"/>
      <c r="BYT101" s="285"/>
      <c r="BYU101" s="285"/>
      <c r="BYV101" s="285"/>
      <c r="BYW101" s="285"/>
      <c r="BYX101" s="285"/>
      <c r="BYY101" s="285"/>
      <c r="BYZ101" s="285"/>
      <c r="BZA101" s="285"/>
      <c r="BZB101" s="285"/>
      <c r="BZC101" s="285"/>
      <c r="BZD101" s="285"/>
      <c r="BZE101" s="285"/>
      <c r="BZF101" s="285"/>
      <c r="BZG101" s="285"/>
      <c r="BZH101" s="285"/>
      <c r="BZI101" s="285"/>
      <c r="BZJ101" s="285"/>
      <c r="BZK101" s="285"/>
      <c r="BZL101" s="285"/>
      <c r="BZM101" s="285"/>
      <c r="BZN101" s="285"/>
      <c r="BZO101" s="285"/>
      <c r="BZP101" s="285"/>
      <c r="BZQ101" s="285"/>
      <c r="BZR101" s="285"/>
      <c r="BZS101" s="285"/>
      <c r="BZT101" s="285"/>
      <c r="BZU101" s="285"/>
      <c r="BZV101" s="285"/>
      <c r="BZW101" s="285"/>
      <c r="BZX101" s="285"/>
      <c r="BZY101" s="285"/>
      <c r="BZZ101" s="285"/>
      <c r="CAA101" s="285"/>
      <c r="CAB101" s="285"/>
      <c r="CAC101" s="285"/>
      <c r="CAD101" s="285"/>
      <c r="CAE101" s="285"/>
      <c r="CAF101" s="285"/>
      <c r="CAG101" s="285"/>
      <c r="CAH101" s="285"/>
      <c r="CAI101" s="285"/>
      <c r="CAJ101" s="285"/>
      <c r="CAK101" s="285"/>
      <c r="CAL101" s="285"/>
      <c r="CAM101" s="285"/>
      <c r="CAN101" s="285"/>
      <c r="CAO101" s="285"/>
      <c r="CAP101" s="285"/>
      <c r="CAQ101" s="285"/>
      <c r="CAR101" s="285"/>
      <c r="CAS101" s="285"/>
      <c r="CAT101" s="285"/>
      <c r="CAU101" s="285"/>
      <c r="CAV101" s="285"/>
      <c r="CAW101" s="285"/>
      <c r="CAX101" s="285"/>
      <c r="CAY101" s="285"/>
      <c r="CAZ101" s="285"/>
      <c r="CBA101" s="285"/>
      <c r="CBB101" s="285"/>
      <c r="CBC101" s="285"/>
      <c r="CBD101" s="285"/>
      <c r="CBE101" s="285"/>
      <c r="CBF101" s="285"/>
      <c r="CBG101" s="285"/>
      <c r="CBH101" s="285"/>
      <c r="CBI101" s="285"/>
      <c r="CBJ101" s="285"/>
      <c r="CBK101" s="285"/>
      <c r="CBL101" s="285"/>
      <c r="CBM101" s="285"/>
      <c r="CBN101" s="285"/>
      <c r="CBO101" s="285"/>
      <c r="CBP101" s="285"/>
      <c r="CBQ101" s="285"/>
      <c r="CBR101" s="285"/>
      <c r="CBS101" s="285"/>
      <c r="CBT101" s="285"/>
      <c r="CBU101" s="285"/>
      <c r="CBV101" s="285"/>
      <c r="CBW101" s="285"/>
      <c r="CBX101" s="285"/>
      <c r="CBY101" s="285"/>
      <c r="CBZ101" s="285"/>
      <c r="CCA101" s="285"/>
      <c r="CCB101" s="285"/>
      <c r="CCC101" s="285"/>
      <c r="CCD101" s="285"/>
      <c r="CCE101" s="285"/>
      <c r="CCF101" s="285"/>
      <c r="CCG101" s="285"/>
      <c r="CCH101" s="285"/>
      <c r="CCI101" s="285"/>
      <c r="CCJ101" s="285"/>
      <c r="CCK101" s="285"/>
      <c r="CCL101" s="285"/>
      <c r="CCM101" s="285"/>
      <c r="CCN101" s="285"/>
      <c r="CCO101" s="285"/>
      <c r="CCP101" s="285"/>
      <c r="CCQ101" s="285"/>
      <c r="CCR101" s="285"/>
      <c r="CCS101" s="285"/>
      <c r="CCT101" s="285"/>
      <c r="CCU101" s="285"/>
      <c r="CCV101" s="285"/>
      <c r="CCW101" s="285"/>
      <c r="CCX101" s="285"/>
      <c r="CCY101" s="285"/>
      <c r="CCZ101" s="285"/>
      <c r="CDA101" s="285"/>
      <c r="CDB101" s="285"/>
      <c r="CDC101" s="285"/>
      <c r="CDD101" s="285"/>
      <c r="CDE101" s="285"/>
      <c r="CDF101" s="285"/>
      <c r="CDG101" s="285"/>
      <c r="CDH101" s="285"/>
      <c r="CDI101" s="285"/>
      <c r="CDJ101" s="285"/>
      <c r="CDK101" s="285"/>
      <c r="CDL101" s="285"/>
      <c r="CDM101" s="285"/>
      <c r="CDN101" s="285"/>
      <c r="CDO101" s="285"/>
      <c r="CDP101" s="285"/>
      <c r="CDQ101" s="285"/>
      <c r="CDR101" s="285"/>
      <c r="CDS101" s="285"/>
      <c r="CDT101" s="285"/>
      <c r="CDU101" s="285"/>
      <c r="CDV101" s="285"/>
      <c r="CDW101" s="285"/>
      <c r="CDX101" s="285"/>
      <c r="CDY101" s="285"/>
      <c r="CDZ101" s="285"/>
      <c r="CEA101" s="285"/>
      <c r="CEB101" s="285"/>
      <c r="CEC101" s="285"/>
      <c r="CED101" s="285"/>
      <c r="CEE101" s="285"/>
      <c r="CEF101" s="285"/>
      <c r="CEG101" s="285"/>
      <c r="CEH101" s="285"/>
      <c r="CEI101" s="285"/>
      <c r="CEJ101" s="285"/>
      <c r="CEK101" s="285"/>
      <c r="CEL101" s="285"/>
      <c r="CEM101" s="285"/>
      <c r="CEN101" s="285"/>
      <c r="CEO101" s="285"/>
      <c r="CEP101" s="285"/>
      <c r="CEQ101" s="285"/>
      <c r="CER101" s="285"/>
      <c r="CES101" s="285"/>
      <c r="CET101" s="285"/>
      <c r="CEU101" s="285"/>
      <c r="CEV101" s="285"/>
      <c r="CEW101" s="285"/>
      <c r="CEX101" s="285"/>
      <c r="CEY101" s="285"/>
      <c r="CEZ101" s="285"/>
      <c r="CFA101" s="285"/>
      <c r="CFB101" s="285"/>
      <c r="CFC101" s="285"/>
      <c r="CFD101" s="285"/>
      <c r="CFE101" s="285"/>
      <c r="CFF101" s="285"/>
      <c r="CFG101" s="285"/>
      <c r="CFH101" s="285"/>
      <c r="CFI101" s="285"/>
      <c r="CFJ101" s="285"/>
      <c r="CFK101" s="285"/>
      <c r="CFL101" s="285"/>
      <c r="CFM101" s="285"/>
      <c r="CFN101" s="285"/>
      <c r="CFO101" s="285"/>
      <c r="CFP101" s="285"/>
      <c r="CFQ101" s="285"/>
      <c r="CFR101" s="285"/>
      <c r="CFS101" s="285"/>
      <c r="CFT101" s="285"/>
      <c r="CFU101" s="285"/>
      <c r="CFV101" s="285"/>
      <c r="CFW101" s="285"/>
      <c r="CFX101" s="285"/>
      <c r="CFY101" s="285"/>
      <c r="CFZ101" s="285"/>
      <c r="CGA101" s="285"/>
      <c r="CGB101" s="285"/>
      <c r="CGC101" s="285"/>
      <c r="CGD101" s="285"/>
      <c r="CGE101" s="285"/>
      <c r="CGF101" s="285"/>
      <c r="CGG101" s="285"/>
      <c r="CGH101" s="285"/>
      <c r="CGI101" s="285"/>
      <c r="CGJ101" s="285"/>
      <c r="CGK101" s="285"/>
      <c r="CGL101" s="285"/>
      <c r="CGM101" s="285"/>
      <c r="CGN101" s="285"/>
      <c r="CGO101" s="285"/>
      <c r="CGP101" s="285"/>
      <c r="CGQ101" s="285"/>
      <c r="CGR101" s="285"/>
      <c r="CGS101" s="285"/>
      <c r="CGT101" s="285"/>
      <c r="CGU101" s="285"/>
      <c r="CGV101" s="285"/>
      <c r="CGW101" s="285"/>
      <c r="CGX101" s="285"/>
      <c r="CGY101" s="285"/>
      <c r="CGZ101" s="285"/>
      <c r="CHA101" s="285"/>
      <c r="CHB101" s="285"/>
      <c r="CHC101" s="285"/>
      <c r="CHD101" s="285"/>
      <c r="CHE101" s="285"/>
      <c r="CHF101" s="285"/>
      <c r="CHG101" s="285"/>
      <c r="CHH101" s="285"/>
      <c r="CHI101" s="285"/>
      <c r="CHJ101" s="285"/>
      <c r="CHK101" s="285"/>
      <c r="CHL101" s="285"/>
      <c r="CHM101" s="285"/>
      <c r="CHN101" s="285"/>
      <c r="CHO101" s="285"/>
      <c r="CHP101" s="285"/>
      <c r="CHQ101" s="285"/>
      <c r="CHR101" s="285"/>
      <c r="CHS101" s="285"/>
      <c r="CHT101" s="285"/>
      <c r="CHU101" s="285"/>
      <c r="CHV101" s="285"/>
      <c r="CHW101" s="285"/>
      <c r="CHX101" s="285"/>
      <c r="CHY101" s="285"/>
      <c r="CHZ101" s="285"/>
      <c r="CIA101" s="285"/>
      <c r="CIB101" s="285"/>
      <c r="CIC101" s="285"/>
      <c r="CID101" s="285"/>
      <c r="CIE101" s="285"/>
      <c r="CIF101" s="285"/>
      <c r="CIG101" s="285"/>
      <c r="CIH101" s="285"/>
      <c r="CII101" s="285"/>
      <c r="CIJ101" s="285"/>
      <c r="CIK101" s="285"/>
      <c r="CIL101" s="285"/>
      <c r="CIM101" s="285"/>
      <c r="CIN101" s="285"/>
      <c r="CIO101" s="285"/>
      <c r="CIP101" s="285"/>
      <c r="CIQ101" s="285"/>
      <c r="CIR101" s="285"/>
      <c r="CIS101" s="285"/>
      <c r="CIT101" s="285"/>
      <c r="CIU101" s="285"/>
      <c r="CIV101" s="285"/>
      <c r="CIW101" s="285"/>
      <c r="CIX101" s="285"/>
      <c r="CIY101" s="285"/>
      <c r="CIZ101" s="285"/>
      <c r="CJA101" s="285"/>
      <c r="CJB101" s="285"/>
      <c r="CJC101" s="285"/>
      <c r="CJD101" s="285"/>
      <c r="CJE101" s="285"/>
      <c r="CJF101" s="285"/>
      <c r="CJG101" s="285"/>
      <c r="CJH101" s="285"/>
      <c r="CJI101" s="285"/>
      <c r="CJJ101" s="285"/>
      <c r="CJK101" s="285"/>
      <c r="CJL101" s="285"/>
      <c r="CJM101" s="285"/>
      <c r="CJN101" s="285"/>
      <c r="CJO101" s="285"/>
      <c r="CJP101" s="285"/>
      <c r="CJQ101" s="285"/>
      <c r="CJR101" s="285"/>
      <c r="CJS101" s="285"/>
      <c r="CJT101" s="285"/>
      <c r="CJU101" s="285"/>
      <c r="CJV101" s="285"/>
      <c r="CJW101" s="285"/>
      <c r="CJX101" s="285"/>
      <c r="CJY101" s="285"/>
      <c r="CJZ101" s="285"/>
      <c r="CKA101" s="285"/>
      <c r="CKB101" s="285"/>
      <c r="CKC101" s="285"/>
      <c r="CKD101" s="285"/>
      <c r="CKE101" s="285"/>
      <c r="CKF101" s="285"/>
      <c r="CKG101" s="285"/>
      <c r="CKH101" s="285"/>
      <c r="CKI101" s="285"/>
      <c r="CKJ101" s="285"/>
      <c r="CKK101" s="285"/>
      <c r="CKL101" s="285"/>
      <c r="CKM101" s="285"/>
      <c r="CKN101" s="285"/>
      <c r="CKO101" s="285"/>
      <c r="CKP101" s="285"/>
      <c r="CKQ101" s="285"/>
      <c r="CKR101" s="285"/>
      <c r="CKS101" s="285"/>
      <c r="CKT101" s="285"/>
      <c r="CKU101" s="285"/>
      <c r="CKV101" s="285"/>
      <c r="CKW101" s="285"/>
      <c r="CKX101" s="285"/>
      <c r="CKY101" s="285"/>
      <c r="CKZ101" s="285"/>
      <c r="CLA101" s="285"/>
      <c r="CLB101" s="285"/>
      <c r="CLC101" s="285"/>
      <c r="CLD101" s="285"/>
      <c r="CLE101" s="285"/>
      <c r="CLF101" s="285"/>
      <c r="CLG101" s="285"/>
      <c r="CLH101" s="285"/>
      <c r="CLI101" s="285"/>
      <c r="CLJ101" s="285"/>
      <c r="CLK101" s="285"/>
      <c r="CLL101" s="285"/>
      <c r="CLM101" s="285"/>
      <c r="CLN101" s="285"/>
      <c r="CLO101" s="285"/>
      <c r="CLP101" s="285"/>
      <c r="CLQ101" s="285"/>
      <c r="CLR101" s="285"/>
      <c r="CLS101" s="285"/>
      <c r="CLT101" s="285"/>
      <c r="CLU101" s="285"/>
      <c r="CLV101" s="285"/>
      <c r="CLW101" s="285"/>
      <c r="CLX101" s="285"/>
      <c r="CLY101" s="285"/>
      <c r="CLZ101" s="285"/>
      <c r="CMA101" s="285"/>
      <c r="CMB101" s="285"/>
      <c r="CMC101" s="285"/>
      <c r="CMD101" s="285"/>
      <c r="CME101" s="285"/>
      <c r="CMF101" s="285"/>
      <c r="CMG101" s="285"/>
      <c r="CMH101" s="285"/>
      <c r="CMI101" s="285"/>
      <c r="CMJ101" s="285"/>
      <c r="CMK101" s="285"/>
      <c r="CML101" s="285"/>
      <c r="CMM101" s="285"/>
      <c r="CMN101" s="285"/>
      <c r="CMO101" s="285"/>
      <c r="CMP101" s="285"/>
      <c r="CMQ101" s="285"/>
      <c r="CMR101" s="285"/>
      <c r="CMS101" s="285"/>
      <c r="CMT101" s="285"/>
      <c r="CMU101" s="285"/>
      <c r="CMV101" s="285"/>
      <c r="CMW101" s="285"/>
      <c r="CMX101" s="285"/>
      <c r="CMY101" s="285"/>
      <c r="CMZ101" s="285"/>
      <c r="CNA101" s="285"/>
      <c r="CNB101" s="285"/>
      <c r="CNC101" s="285"/>
      <c r="CND101" s="285"/>
      <c r="CNE101" s="285"/>
      <c r="CNF101" s="285"/>
      <c r="CNG101" s="285"/>
      <c r="CNH101" s="285"/>
      <c r="CNI101" s="285"/>
      <c r="CNJ101" s="285"/>
      <c r="CNK101" s="285"/>
      <c r="CNL101" s="285"/>
      <c r="CNM101" s="285"/>
      <c r="CNN101" s="285"/>
      <c r="CNO101" s="285"/>
      <c r="CNP101" s="285"/>
      <c r="CNQ101" s="285"/>
      <c r="CNR101" s="285"/>
      <c r="CNS101" s="285"/>
      <c r="CNT101" s="285"/>
      <c r="CNU101" s="285"/>
      <c r="CNV101" s="285"/>
      <c r="CNW101" s="285"/>
      <c r="CNX101" s="285"/>
      <c r="CNY101" s="285"/>
      <c r="CNZ101" s="285"/>
      <c r="COA101" s="285"/>
      <c r="COB101" s="285"/>
      <c r="COC101" s="285"/>
      <c r="COD101" s="285"/>
      <c r="COE101" s="285"/>
      <c r="COF101" s="285"/>
      <c r="COG101" s="285"/>
      <c r="COH101" s="285"/>
      <c r="COI101" s="285"/>
      <c r="COJ101" s="285"/>
      <c r="COK101" s="285"/>
      <c r="COL101" s="285"/>
      <c r="COM101" s="285"/>
      <c r="CON101" s="285"/>
      <c r="COO101" s="285"/>
      <c r="COP101" s="285"/>
      <c r="COQ101" s="285"/>
      <c r="COR101" s="285"/>
      <c r="COS101" s="285"/>
      <c r="COT101" s="285"/>
      <c r="COU101" s="285"/>
      <c r="COV101" s="285"/>
      <c r="COW101" s="285"/>
      <c r="COX101" s="285"/>
      <c r="COY101" s="285"/>
      <c r="COZ101" s="285"/>
      <c r="CPA101" s="285"/>
      <c r="CPB101" s="285"/>
      <c r="CPC101" s="285"/>
      <c r="CPD101" s="285"/>
      <c r="CPE101" s="285"/>
      <c r="CPF101" s="285"/>
      <c r="CPG101" s="285"/>
      <c r="CPH101" s="285"/>
      <c r="CPI101" s="285"/>
      <c r="CPJ101" s="285"/>
      <c r="CPK101" s="285"/>
      <c r="CPL101" s="285"/>
      <c r="CPM101" s="285"/>
      <c r="CPN101" s="285"/>
      <c r="CPO101" s="285"/>
      <c r="CPP101" s="285"/>
      <c r="CPQ101" s="285"/>
      <c r="CPR101" s="285"/>
      <c r="CPS101" s="285"/>
      <c r="CPT101" s="285"/>
      <c r="CPU101" s="285"/>
      <c r="CPV101" s="285"/>
      <c r="CPW101" s="285"/>
      <c r="CPX101" s="285"/>
      <c r="CPY101" s="285"/>
      <c r="CPZ101" s="285"/>
      <c r="CQA101" s="285"/>
      <c r="CQB101" s="285"/>
      <c r="CQC101" s="285"/>
      <c r="CQD101" s="285"/>
      <c r="CQE101" s="285"/>
      <c r="CQF101" s="285"/>
      <c r="CQG101" s="285"/>
      <c r="CQH101" s="285"/>
      <c r="CQI101" s="285"/>
      <c r="CQJ101" s="285"/>
      <c r="CQK101" s="285"/>
      <c r="CQL101" s="285"/>
      <c r="CQM101" s="285"/>
      <c r="CQN101" s="285"/>
      <c r="CQO101" s="285"/>
      <c r="CQP101" s="285"/>
      <c r="CQQ101" s="285"/>
      <c r="CQR101" s="285"/>
      <c r="CQS101" s="285"/>
      <c r="CQT101" s="285"/>
      <c r="CQU101" s="285"/>
      <c r="CQV101" s="285"/>
      <c r="CQW101" s="285"/>
      <c r="CQX101" s="285"/>
      <c r="CQY101" s="285"/>
      <c r="CQZ101" s="285"/>
      <c r="CRA101" s="285"/>
      <c r="CRB101" s="285"/>
      <c r="CRC101" s="285"/>
      <c r="CRD101" s="285"/>
      <c r="CRE101" s="285"/>
      <c r="CRF101" s="285"/>
      <c r="CRG101" s="285"/>
      <c r="CRH101" s="285"/>
      <c r="CRI101" s="285"/>
      <c r="CRJ101" s="285"/>
      <c r="CRK101" s="285"/>
      <c r="CRL101" s="285"/>
      <c r="CRM101" s="285"/>
      <c r="CRN101" s="285"/>
      <c r="CRO101" s="285"/>
      <c r="CRP101" s="285"/>
      <c r="CRQ101" s="285"/>
      <c r="CRR101" s="285"/>
      <c r="CRS101" s="285"/>
      <c r="CRT101" s="285"/>
      <c r="CRU101" s="285"/>
      <c r="CRV101" s="285"/>
      <c r="CRW101" s="285"/>
      <c r="CRX101" s="285"/>
      <c r="CRY101" s="285"/>
      <c r="CRZ101" s="285"/>
      <c r="CSA101" s="285"/>
      <c r="CSB101" s="285"/>
      <c r="CSC101" s="285"/>
      <c r="CSD101" s="285"/>
      <c r="CSE101" s="285"/>
      <c r="CSF101" s="285"/>
      <c r="CSG101" s="285"/>
      <c r="CSH101" s="285"/>
      <c r="CSI101" s="285"/>
      <c r="CSJ101" s="285"/>
      <c r="CSK101" s="285"/>
      <c r="CSL101" s="285"/>
      <c r="CSM101" s="285"/>
      <c r="CSN101" s="285"/>
      <c r="CSO101" s="285"/>
      <c r="CSP101" s="285"/>
      <c r="CSQ101" s="285"/>
      <c r="CSR101" s="285"/>
      <c r="CSS101" s="285"/>
      <c r="CST101" s="285"/>
      <c r="CSU101" s="285"/>
      <c r="CSV101" s="285"/>
      <c r="CSW101" s="285"/>
      <c r="CSX101" s="285"/>
      <c r="CSY101" s="285"/>
      <c r="CSZ101" s="285"/>
      <c r="CTA101" s="285"/>
      <c r="CTB101" s="285"/>
      <c r="CTC101" s="285"/>
      <c r="CTD101" s="285"/>
      <c r="CTE101" s="285"/>
      <c r="CTF101" s="285"/>
      <c r="CTG101" s="285"/>
      <c r="CTH101" s="285"/>
      <c r="CTI101" s="285"/>
      <c r="CTJ101" s="285"/>
      <c r="CTK101" s="285"/>
      <c r="CTL101" s="285"/>
      <c r="CTM101" s="285"/>
      <c r="CTN101" s="285"/>
      <c r="CTO101" s="285"/>
      <c r="CTP101" s="285"/>
      <c r="CTQ101" s="285"/>
      <c r="CTR101" s="285"/>
      <c r="CTS101" s="285"/>
      <c r="CTT101" s="285"/>
      <c r="CTU101" s="285"/>
      <c r="CTV101" s="285"/>
      <c r="CTW101" s="285"/>
      <c r="CTX101" s="285"/>
      <c r="CTY101" s="285"/>
      <c r="CTZ101" s="285"/>
      <c r="CUA101" s="285"/>
      <c r="CUB101" s="285"/>
      <c r="CUC101" s="285"/>
      <c r="CUD101" s="285"/>
      <c r="CUE101" s="285"/>
      <c r="CUF101" s="285"/>
      <c r="CUG101" s="285"/>
      <c r="CUH101" s="285"/>
      <c r="CUI101" s="285"/>
      <c r="CUJ101" s="285"/>
      <c r="CUK101" s="285"/>
      <c r="CUL101" s="285"/>
      <c r="CUM101" s="285"/>
      <c r="CUN101" s="285"/>
      <c r="CUO101" s="285"/>
      <c r="CUP101" s="285"/>
      <c r="CUQ101" s="285"/>
      <c r="CUR101" s="285"/>
      <c r="CUS101" s="285"/>
      <c r="CUT101" s="285"/>
      <c r="CUU101" s="285"/>
      <c r="CUV101" s="285"/>
      <c r="CUW101" s="285"/>
      <c r="CUX101" s="285"/>
      <c r="CUY101" s="285"/>
      <c r="CUZ101" s="285"/>
      <c r="CVA101" s="285"/>
      <c r="CVB101" s="285"/>
      <c r="CVC101" s="285"/>
      <c r="CVD101" s="285"/>
      <c r="CVE101" s="285"/>
      <c r="CVF101" s="285"/>
      <c r="CVG101" s="285"/>
      <c r="CVH101" s="285"/>
      <c r="CVI101" s="285"/>
      <c r="CVJ101" s="285"/>
      <c r="CVK101" s="285"/>
      <c r="CVL101" s="285"/>
      <c r="CVM101" s="285"/>
      <c r="CVN101" s="285"/>
      <c r="CVO101" s="285"/>
      <c r="CVP101" s="285"/>
      <c r="CVQ101" s="285"/>
      <c r="CVR101" s="285"/>
      <c r="CVS101" s="285"/>
      <c r="CVT101" s="285"/>
      <c r="CVU101" s="285"/>
      <c r="CVV101" s="285"/>
      <c r="CVW101" s="285"/>
      <c r="CVX101" s="285"/>
      <c r="CVY101" s="285"/>
      <c r="CVZ101" s="285"/>
      <c r="CWA101" s="285"/>
      <c r="CWB101" s="285"/>
      <c r="CWC101" s="285"/>
      <c r="CWD101" s="285"/>
      <c r="CWE101" s="285"/>
      <c r="CWF101" s="285"/>
      <c r="CWG101" s="285"/>
      <c r="CWH101" s="285"/>
      <c r="CWI101" s="285"/>
      <c r="CWJ101" s="285"/>
      <c r="CWK101" s="285"/>
      <c r="CWL101" s="285"/>
      <c r="CWM101" s="285"/>
      <c r="CWN101" s="285"/>
      <c r="CWO101" s="285"/>
      <c r="CWP101" s="285"/>
      <c r="CWQ101" s="285"/>
      <c r="CWR101" s="285"/>
      <c r="CWS101" s="285"/>
      <c r="CWT101" s="285"/>
      <c r="CWU101" s="285"/>
      <c r="CWV101" s="285"/>
      <c r="CWW101" s="285"/>
      <c r="CWX101" s="285"/>
      <c r="CWY101" s="285"/>
      <c r="CWZ101" s="285"/>
      <c r="CXA101" s="285"/>
      <c r="CXB101" s="285"/>
      <c r="CXC101" s="285"/>
      <c r="CXD101" s="285"/>
      <c r="CXE101" s="285"/>
      <c r="CXF101" s="285"/>
      <c r="CXG101" s="285"/>
      <c r="CXH101" s="285"/>
      <c r="CXI101" s="285"/>
      <c r="CXJ101" s="285"/>
      <c r="CXK101" s="285"/>
      <c r="CXL101" s="285"/>
      <c r="CXM101" s="285"/>
      <c r="CXN101" s="285"/>
      <c r="CXO101" s="285"/>
      <c r="CXP101" s="285"/>
      <c r="CXQ101" s="285"/>
      <c r="CXR101" s="285"/>
      <c r="CXS101" s="285"/>
      <c r="CXT101" s="285"/>
      <c r="CXU101" s="285"/>
      <c r="CXV101" s="285"/>
      <c r="CXW101" s="285"/>
      <c r="CXX101" s="285"/>
      <c r="CXY101" s="285"/>
      <c r="CXZ101" s="285"/>
      <c r="CYA101" s="285"/>
      <c r="CYB101" s="285"/>
      <c r="CYC101" s="285"/>
      <c r="CYD101" s="285"/>
      <c r="CYE101" s="285"/>
      <c r="CYF101" s="285"/>
      <c r="CYG101" s="285"/>
      <c r="CYH101" s="285"/>
      <c r="CYI101" s="285"/>
      <c r="CYJ101" s="285"/>
      <c r="CYK101" s="285"/>
      <c r="CYL101" s="285"/>
      <c r="CYM101" s="285"/>
      <c r="CYN101" s="285"/>
      <c r="CYO101" s="285"/>
      <c r="CYP101" s="285"/>
      <c r="CYQ101" s="285"/>
      <c r="CYR101" s="285"/>
      <c r="CYS101" s="285"/>
      <c r="CYT101" s="285"/>
      <c r="CYU101" s="285"/>
      <c r="CYV101" s="285"/>
      <c r="CYW101" s="285"/>
      <c r="CYX101" s="285"/>
      <c r="CYY101" s="285"/>
      <c r="CYZ101" s="285"/>
      <c r="CZA101" s="285"/>
      <c r="CZB101" s="285"/>
      <c r="CZC101" s="285"/>
      <c r="CZD101" s="285"/>
      <c r="CZE101" s="285"/>
      <c r="CZF101" s="285"/>
      <c r="CZG101" s="285"/>
      <c r="CZH101" s="285"/>
      <c r="CZI101" s="285"/>
      <c r="CZJ101" s="285"/>
      <c r="CZK101" s="285"/>
      <c r="CZL101" s="285"/>
      <c r="CZM101" s="285"/>
      <c r="CZN101" s="285"/>
      <c r="CZO101" s="285"/>
      <c r="CZP101" s="285"/>
      <c r="CZQ101" s="285"/>
      <c r="CZR101" s="285"/>
      <c r="CZS101" s="285"/>
      <c r="CZT101" s="285"/>
      <c r="CZU101" s="285"/>
      <c r="CZV101" s="285"/>
      <c r="CZW101" s="285"/>
      <c r="CZX101" s="285"/>
      <c r="CZY101" s="285"/>
      <c r="CZZ101" s="285"/>
      <c r="DAA101" s="285"/>
      <c r="DAB101" s="285"/>
      <c r="DAC101" s="285"/>
      <c r="DAD101" s="285"/>
      <c r="DAE101" s="285"/>
      <c r="DAF101" s="285"/>
      <c r="DAG101" s="285"/>
      <c r="DAH101" s="285"/>
      <c r="DAI101" s="285"/>
      <c r="DAJ101" s="285"/>
      <c r="DAK101" s="285"/>
      <c r="DAL101" s="285"/>
      <c r="DAM101" s="285"/>
      <c r="DAN101" s="285"/>
      <c r="DAO101" s="285"/>
      <c r="DAP101" s="285"/>
      <c r="DAQ101" s="285"/>
      <c r="DAR101" s="285"/>
      <c r="DAS101" s="285"/>
      <c r="DAT101" s="285"/>
      <c r="DAU101" s="285"/>
      <c r="DAV101" s="285"/>
      <c r="DAW101" s="285"/>
      <c r="DAX101" s="285"/>
      <c r="DAY101" s="285"/>
      <c r="DAZ101" s="285"/>
      <c r="DBA101" s="285"/>
      <c r="DBB101" s="285"/>
      <c r="DBC101" s="285"/>
      <c r="DBD101" s="285"/>
      <c r="DBE101" s="285"/>
      <c r="DBF101" s="285"/>
      <c r="DBG101" s="285"/>
      <c r="DBH101" s="285"/>
      <c r="DBI101" s="285"/>
      <c r="DBJ101" s="285"/>
      <c r="DBK101" s="285"/>
      <c r="DBL101" s="285"/>
      <c r="DBM101" s="285"/>
      <c r="DBN101" s="285"/>
      <c r="DBO101" s="285"/>
      <c r="DBP101" s="285"/>
      <c r="DBQ101" s="285"/>
      <c r="DBR101" s="285"/>
      <c r="DBS101" s="285"/>
      <c r="DBT101" s="285"/>
      <c r="DBU101" s="285"/>
      <c r="DBV101" s="285"/>
      <c r="DBW101" s="285"/>
      <c r="DBX101" s="285"/>
      <c r="DBY101" s="285"/>
      <c r="DBZ101" s="285"/>
      <c r="DCA101" s="285"/>
      <c r="DCB101" s="285"/>
      <c r="DCC101" s="285"/>
      <c r="DCD101" s="285"/>
      <c r="DCE101" s="285"/>
      <c r="DCF101" s="285"/>
      <c r="DCG101" s="285"/>
      <c r="DCH101" s="285"/>
      <c r="DCI101" s="285"/>
      <c r="DCJ101" s="285"/>
      <c r="DCK101" s="285"/>
      <c r="DCL101" s="285"/>
      <c r="DCM101" s="285"/>
      <c r="DCN101" s="285"/>
      <c r="DCO101" s="285"/>
      <c r="DCP101" s="285"/>
      <c r="DCQ101" s="285"/>
      <c r="DCR101" s="285"/>
      <c r="DCS101" s="285"/>
      <c r="DCT101" s="285"/>
      <c r="DCU101" s="285"/>
      <c r="DCV101" s="285"/>
      <c r="DCW101" s="285"/>
      <c r="DCX101" s="285"/>
      <c r="DCY101" s="285"/>
      <c r="DCZ101" s="285"/>
      <c r="DDA101" s="285"/>
      <c r="DDB101" s="285"/>
      <c r="DDC101" s="285"/>
      <c r="DDD101" s="285"/>
      <c r="DDE101" s="285"/>
      <c r="DDF101" s="285"/>
      <c r="DDG101" s="285"/>
      <c r="DDH101" s="285"/>
      <c r="DDI101" s="285"/>
      <c r="DDJ101" s="285"/>
      <c r="DDK101" s="285"/>
      <c r="DDL101" s="285"/>
      <c r="DDM101" s="285"/>
      <c r="DDN101" s="285"/>
      <c r="DDO101" s="285"/>
      <c r="DDP101" s="285"/>
      <c r="DDQ101" s="285"/>
      <c r="DDR101" s="285"/>
      <c r="DDS101" s="285"/>
      <c r="DDT101" s="285"/>
      <c r="DDU101" s="285"/>
      <c r="DDV101" s="285"/>
      <c r="DDW101" s="285"/>
      <c r="DDX101" s="285"/>
      <c r="DDY101" s="285"/>
      <c r="DDZ101" s="285"/>
      <c r="DEA101" s="285"/>
      <c r="DEB101" s="285"/>
      <c r="DEC101" s="285"/>
      <c r="DED101" s="285"/>
      <c r="DEE101" s="285"/>
      <c r="DEF101" s="285"/>
      <c r="DEG101" s="285"/>
      <c r="DEH101" s="285"/>
      <c r="DEI101" s="285"/>
      <c r="DEJ101" s="285"/>
      <c r="DEK101" s="285"/>
      <c r="DEL101" s="285"/>
      <c r="DEM101" s="285"/>
      <c r="DEN101" s="285"/>
      <c r="DEO101" s="285"/>
      <c r="DEP101" s="285"/>
      <c r="DEQ101" s="285"/>
      <c r="DER101" s="285"/>
      <c r="DES101" s="285"/>
      <c r="DET101" s="285"/>
      <c r="DEU101" s="285"/>
      <c r="DEV101" s="285"/>
      <c r="DEW101" s="285"/>
      <c r="DEX101" s="285"/>
      <c r="DEY101" s="285"/>
      <c r="DEZ101" s="285"/>
      <c r="DFA101" s="285"/>
      <c r="DFB101" s="285"/>
      <c r="DFC101" s="285"/>
      <c r="DFD101" s="285"/>
      <c r="DFE101" s="285"/>
      <c r="DFF101" s="285"/>
      <c r="DFG101" s="285"/>
      <c r="DFH101" s="285"/>
      <c r="DFI101" s="285"/>
      <c r="DFJ101" s="285"/>
      <c r="DFK101" s="285"/>
      <c r="DFL101" s="285"/>
      <c r="DFM101" s="285"/>
      <c r="DFN101" s="285"/>
      <c r="DFO101" s="285"/>
      <c r="DFP101" s="285"/>
      <c r="DFQ101" s="285"/>
      <c r="DFR101" s="285"/>
      <c r="DFS101" s="285"/>
      <c r="DFT101" s="285"/>
      <c r="DFU101" s="285"/>
      <c r="DFV101" s="285"/>
      <c r="DFW101" s="285"/>
      <c r="DFX101" s="285"/>
      <c r="DFY101" s="285"/>
      <c r="DFZ101" s="285"/>
      <c r="DGA101" s="285"/>
      <c r="DGB101" s="285"/>
      <c r="DGC101" s="285"/>
      <c r="DGD101" s="285"/>
      <c r="DGE101" s="285"/>
      <c r="DGF101" s="285"/>
      <c r="DGG101" s="285"/>
      <c r="DGH101" s="285"/>
      <c r="DGI101" s="285"/>
      <c r="DGJ101" s="285"/>
      <c r="DGK101" s="285"/>
      <c r="DGL101" s="285"/>
      <c r="DGM101" s="285"/>
      <c r="DGN101" s="285"/>
      <c r="DGO101" s="285"/>
      <c r="DGP101" s="285"/>
      <c r="DGQ101" s="285"/>
      <c r="DGR101" s="285"/>
      <c r="DGS101" s="285"/>
      <c r="DGT101" s="285"/>
      <c r="DGU101" s="285"/>
      <c r="DGV101" s="285"/>
      <c r="DGW101" s="285"/>
      <c r="DGX101" s="285"/>
      <c r="DGY101" s="285"/>
      <c r="DGZ101" s="285"/>
      <c r="DHA101" s="285"/>
      <c r="DHB101" s="285"/>
      <c r="DHC101" s="285"/>
      <c r="DHD101" s="285"/>
      <c r="DHE101" s="285"/>
      <c r="DHF101" s="285"/>
      <c r="DHG101" s="285"/>
      <c r="DHH101" s="285"/>
      <c r="DHI101" s="285"/>
      <c r="DHJ101" s="285"/>
      <c r="DHK101" s="285"/>
      <c r="DHL101" s="285"/>
      <c r="DHM101" s="285"/>
      <c r="DHN101" s="285"/>
      <c r="DHO101" s="285"/>
      <c r="DHP101" s="285"/>
      <c r="DHQ101" s="285"/>
      <c r="DHR101" s="285"/>
      <c r="DHS101" s="285"/>
      <c r="DHT101" s="285"/>
      <c r="DHU101" s="285"/>
      <c r="DHV101" s="285"/>
      <c r="DHW101" s="285"/>
      <c r="DHX101" s="285"/>
      <c r="DHY101" s="285"/>
      <c r="DHZ101" s="285"/>
      <c r="DIA101" s="285"/>
      <c r="DIB101" s="285"/>
      <c r="DIC101" s="285"/>
      <c r="DID101" s="285"/>
      <c r="DIE101" s="285"/>
      <c r="DIF101" s="285"/>
      <c r="DIG101" s="285"/>
      <c r="DIH101" s="285"/>
      <c r="DII101" s="285"/>
      <c r="DIJ101" s="285"/>
      <c r="DIK101" s="285"/>
      <c r="DIL101" s="285"/>
      <c r="DIM101" s="285"/>
      <c r="DIN101" s="285"/>
      <c r="DIO101" s="285"/>
      <c r="DIP101" s="285"/>
      <c r="DIQ101" s="285"/>
      <c r="DIR101" s="285"/>
      <c r="DIS101" s="285"/>
      <c r="DIT101" s="285"/>
      <c r="DIU101" s="285"/>
      <c r="DIV101" s="285"/>
      <c r="DIW101" s="285"/>
      <c r="DIX101" s="285"/>
      <c r="DIY101" s="285"/>
      <c r="DIZ101" s="285"/>
      <c r="DJA101" s="285"/>
      <c r="DJB101" s="285"/>
      <c r="DJC101" s="285"/>
      <c r="DJD101" s="285"/>
      <c r="DJE101" s="285"/>
      <c r="DJF101" s="285"/>
      <c r="DJG101" s="285"/>
      <c r="DJH101" s="285"/>
      <c r="DJI101" s="285"/>
      <c r="DJJ101" s="285"/>
      <c r="DJK101" s="285"/>
      <c r="DJL101" s="285"/>
      <c r="DJM101" s="285"/>
      <c r="DJN101" s="285"/>
      <c r="DJO101" s="285"/>
      <c r="DJP101" s="285"/>
      <c r="DJQ101" s="285"/>
      <c r="DJR101" s="285"/>
      <c r="DJS101" s="285"/>
      <c r="DJT101" s="285"/>
      <c r="DJU101" s="285"/>
      <c r="DJV101" s="285"/>
      <c r="DJW101" s="285"/>
      <c r="DJX101" s="285"/>
      <c r="DJY101" s="285"/>
      <c r="DJZ101" s="285"/>
      <c r="DKA101" s="285"/>
      <c r="DKB101" s="285"/>
      <c r="DKC101" s="285"/>
      <c r="DKD101" s="285"/>
      <c r="DKE101" s="285"/>
      <c r="DKF101" s="285"/>
      <c r="DKG101" s="285"/>
      <c r="DKH101" s="285"/>
      <c r="DKI101" s="285"/>
      <c r="DKJ101" s="285"/>
      <c r="DKK101" s="285"/>
      <c r="DKL101" s="285"/>
      <c r="DKM101" s="285"/>
      <c r="DKN101" s="285"/>
      <c r="DKO101" s="285"/>
      <c r="DKP101" s="285"/>
      <c r="DKQ101" s="285"/>
      <c r="DKR101" s="285"/>
      <c r="DKS101" s="285"/>
      <c r="DKT101" s="285"/>
      <c r="DKU101" s="285"/>
      <c r="DKV101" s="285"/>
      <c r="DKW101" s="285"/>
      <c r="DKX101" s="285"/>
      <c r="DKY101" s="285"/>
      <c r="DKZ101" s="285"/>
      <c r="DLA101" s="285"/>
      <c r="DLB101" s="285"/>
      <c r="DLC101" s="285"/>
      <c r="DLD101" s="285"/>
      <c r="DLE101" s="285"/>
      <c r="DLF101" s="285"/>
      <c r="DLG101" s="285"/>
      <c r="DLH101" s="285"/>
      <c r="DLI101" s="285"/>
      <c r="DLJ101" s="285"/>
      <c r="DLK101" s="285"/>
      <c r="DLL101" s="285"/>
      <c r="DLM101" s="285"/>
      <c r="DLN101" s="285"/>
      <c r="DLO101" s="285"/>
      <c r="DLP101" s="285"/>
      <c r="DLQ101" s="285"/>
      <c r="DLR101" s="285"/>
      <c r="DLS101" s="285"/>
      <c r="DLT101" s="285"/>
      <c r="DLU101" s="285"/>
      <c r="DLV101" s="285"/>
      <c r="DLW101" s="285"/>
      <c r="DLX101" s="285"/>
      <c r="DLY101" s="285"/>
      <c r="DLZ101" s="285"/>
      <c r="DMA101" s="285"/>
      <c r="DMB101" s="285"/>
      <c r="DMC101" s="285"/>
      <c r="DMD101" s="285"/>
      <c r="DME101" s="285"/>
      <c r="DMF101" s="285"/>
      <c r="DMG101" s="285"/>
      <c r="DMH101" s="285"/>
      <c r="DMI101" s="285"/>
      <c r="DMJ101" s="285"/>
      <c r="DMK101" s="285"/>
      <c r="DML101" s="285"/>
      <c r="DMM101" s="285"/>
      <c r="DMN101" s="285"/>
      <c r="DMO101" s="285"/>
      <c r="DMP101" s="285"/>
      <c r="DMQ101" s="285"/>
      <c r="DMR101" s="285"/>
      <c r="DMS101" s="285"/>
      <c r="DMT101" s="285"/>
      <c r="DMU101" s="285"/>
      <c r="DMV101" s="285"/>
      <c r="DMW101" s="285"/>
      <c r="DMX101" s="285"/>
      <c r="DMY101" s="285"/>
      <c r="DMZ101" s="285"/>
      <c r="DNA101" s="285"/>
      <c r="DNB101" s="285"/>
      <c r="DNC101" s="285"/>
      <c r="DND101" s="285"/>
      <c r="DNE101" s="285"/>
      <c r="DNF101" s="285"/>
      <c r="DNG101" s="285"/>
      <c r="DNH101" s="285"/>
      <c r="DNI101" s="285"/>
      <c r="DNJ101" s="285"/>
      <c r="DNK101" s="285"/>
      <c r="DNL101" s="285"/>
      <c r="DNM101" s="285"/>
      <c r="DNN101" s="285"/>
      <c r="DNO101" s="285"/>
      <c r="DNP101" s="285"/>
      <c r="DNQ101" s="285"/>
      <c r="DNR101" s="285"/>
      <c r="DNS101" s="285"/>
      <c r="DNT101" s="285"/>
      <c r="DNU101" s="285"/>
      <c r="DNV101" s="285"/>
      <c r="DNW101" s="285"/>
      <c r="DNX101" s="285"/>
      <c r="DNY101" s="285"/>
      <c r="DNZ101" s="285"/>
      <c r="DOA101" s="285"/>
      <c r="DOB101" s="285"/>
      <c r="DOC101" s="285"/>
      <c r="DOD101" s="285"/>
      <c r="DOE101" s="285"/>
      <c r="DOF101" s="285"/>
      <c r="DOG101" s="285"/>
      <c r="DOH101" s="285"/>
      <c r="DOI101" s="285"/>
      <c r="DOJ101" s="285"/>
      <c r="DOK101" s="285"/>
      <c r="DOL101" s="285"/>
      <c r="DOM101" s="285"/>
      <c r="DON101" s="285"/>
      <c r="DOO101" s="285"/>
      <c r="DOP101" s="285"/>
      <c r="DOQ101" s="285"/>
      <c r="DOR101" s="285"/>
      <c r="DOS101" s="285"/>
      <c r="DOT101" s="285"/>
      <c r="DOU101" s="285"/>
      <c r="DOV101" s="285"/>
      <c r="DOW101" s="285"/>
      <c r="DOX101" s="285"/>
      <c r="DOY101" s="285"/>
      <c r="DOZ101" s="285"/>
      <c r="DPA101" s="285"/>
      <c r="DPB101" s="285"/>
      <c r="DPC101" s="285"/>
      <c r="DPD101" s="285"/>
      <c r="DPE101" s="285"/>
      <c r="DPF101" s="285"/>
      <c r="DPG101" s="285"/>
      <c r="DPH101" s="285"/>
      <c r="DPI101" s="285"/>
      <c r="DPJ101" s="285"/>
      <c r="DPK101" s="285"/>
      <c r="DPL101" s="285"/>
      <c r="DPM101" s="285"/>
      <c r="DPN101" s="285"/>
      <c r="DPO101" s="285"/>
      <c r="DPP101" s="285"/>
      <c r="DPQ101" s="285"/>
      <c r="DPR101" s="285"/>
      <c r="DPS101" s="285"/>
      <c r="DPT101" s="285"/>
      <c r="DPU101" s="285"/>
      <c r="DPV101" s="285"/>
      <c r="DPW101" s="285"/>
      <c r="DPX101" s="285"/>
      <c r="DPY101" s="285"/>
      <c r="DPZ101" s="285"/>
      <c r="DQA101" s="285"/>
      <c r="DQB101" s="285"/>
      <c r="DQC101" s="285"/>
      <c r="DQD101" s="285"/>
      <c r="DQE101" s="285"/>
      <c r="DQF101" s="285"/>
      <c r="DQG101" s="285"/>
      <c r="DQH101" s="285"/>
      <c r="DQI101" s="285"/>
      <c r="DQJ101" s="285"/>
      <c r="DQK101" s="285"/>
      <c r="DQL101" s="285"/>
      <c r="DQM101" s="285"/>
      <c r="DQN101" s="285"/>
      <c r="DQO101" s="285"/>
      <c r="DQP101" s="285"/>
      <c r="DQQ101" s="285"/>
      <c r="DQR101" s="285"/>
      <c r="DQS101" s="285"/>
      <c r="DQT101" s="285"/>
      <c r="DQU101" s="285"/>
      <c r="DQV101" s="285"/>
      <c r="DQW101" s="285"/>
      <c r="DQX101" s="285"/>
      <c r="DQY101" s="285"/>
      <c r="DQZ101" s="285"/>
      <c r="DRA101" s="285"/>
      <c r="DRB101" s="285"/>
      <c r="DRC101" s="285"/>
      <c r="DRD101" s="285"/>
      <c r="DRE101" s="285"/>
      <c r="DRF101" s="285"/>
      <c r="DRG101" s="285"/>
      <c r="DRH101" s="285"/>
      <c r="DRI101" s="285"/>
      <c r="DRJ101" s="285"/>
      <c r="DRK101" s="285"/>
      <c r="DRL101" s="285"/>
      <c r="DRM101" s="285"/>
      <c r="DRN101" s="285"/>
      <c r="DRO101" s="285"/>
      <c r="DRP101" s="285"/>
      <c r="DRQ101" s="285"/>
      <c r="DRR101" s="285"/>
      <c r="DRS101" s="285"/>
      <c r="DRT101" s="285"/>
      <c r="DRU101" s="285"/>
      <c r="DRV101" s="285"/>
      <c r="DRW101" s="285"/>
      <c r="DRX101" s="285"/>
      <c r="DRY101" s="285"/>
      <c r="DRZ101" s="285"/>
      <c r="DSA101" s="285"/>
      <c r="DSB101" s="285"/>
      <c r="DSC101" s="285"/>
      <c r="DSD101" s="285"/>
      <c r="DSE101" s="285"/>
      <c r="DSF101" s="285"/>
      <c r="DSG101" s="285"/>
      <c r="DSH101" s="285"/>
      <c r="DSI101" s="285"/>
      <c r="DSJ101" s="285"/>
      <c r="DSK101" s="285"/>
      <c r="DSL101" s="285"/>
      <c r="DSM101" s="285"/>
      <c r="DSN101" s="285"/>
      <c r="DSO101" s="285"/>
      <c r="DSP101" s="285"/>
      <c r="DSQ101" s="285"/>
      <c r="DSR101" s="285"/>
      <c r="DSS101" s="285"/>
      <c r="DST101" s="285"/>
      <c r="DSU101" s="285"/>
      <c r="DSV101" s="285"/>
      <c r="DSW101" s="285"/>
      <c r="DSX101" s="285"/>
      <c r="DSY101" s="285"/>
      <c r="DSZ101" s="285"/>
      <c r="DTA101" s="285"/>
      <c r="DTB101" s="285"/>
      <c r="DTC101" s="285"/>
      <c r="DTD101" s="285"/>
      <c r="DTE101" s="285"/>
      <c r="DTF101" s="285"/>
      <c r="DTG101" s="285"/>
      <c r="DTH101" s="285"/>
      <c r="DTI101" s="285"/>
      <c r="DTJ101" s="285"/>
      <c r="DTK101" s="285"/>
      <c r="DTL101" s="285"/>
      <c r="DTM101" s="285"/>
      <c r="DTN101" s="285"/>
      <c r="DTO101" s="285"/>
      <c r="DTP101" s="285"/>
      <c r="DTQ101" s="285"/>
      <c r="DTR101" s="285"/>
      <c r="DTS101" s="285"/>
      <c r="DTT101" s="285"/>
      <c r="DTU101" s="285"/>
      <c r="DTV101" s="285"/>
      <c r="DTW101" s="285"/>
      <c r="DTX101" s="285"/>
      <c r="DTY101" s="285"/>
      <c r="DTZ101" s="285"/>
      <c r="DUA101" s="285"/>
      <c r="DUB101" s="285"/>
      <c r="DUC101" s="285"/>
      <c r="DUD101" s="285"/>
      <c r="DUE101" s="285"/>
      <c r="DUF101" s="285"/>
      <c r="DUG101" s="285"/>
      <c r="DUH101" s="285"/>
      <c r="DUI101" s="285"/>
      <c r="DUJ101" s="285"/>
      <c r="DUK101" s="285"/>
      <c r="DUL101" s="285"/>
      <c r="DUM101" s="285"/>
      <c r="DUN101" s="285"/>
      <c r="DUO101" s="285"/>
      <c r="DUP101" s="285"/>
      <c r="DUQ101" s="285"/>
      <c r="DUR101" s="285"/>
      <c r="DUS101" s="285"/>
      <c r="DUT101" s="285"/>
      <c r="DUU101" s="285"/>
      <c r="DUV101" s="285"/>
      <c r="DUW101" s="285"/>
      <c r="DUX101" s="285"/>
      <c r="DUY101" s="285"/>
      <c r="DUZ101" s="285"/>
      <c r="DVA101" s="285"/>
      <c r="DVB101" s="285"/>
      <c r="DVC101" s="285"/>
      <c r="DVD101" s="285"/>
      <c r="DVE101" s="285"/>
      <c r="DVF101" s="285"/>
      <c r="DVG101" s="285"/>
      <c r="DVH101" s="285"/>
      <c r="DVI101" s="285"/>
      <c r="DVJ101" s="285"/>
      <c r="DVK101" s="285"/>
      <c r="DVL101" s="285"/>
      <c r="DVM101" s="285"/>
      <c r="DVN101" s="285"/>
      <c r="DVO101" s="285"/>
      <c r="DVP101" s="285"/>
      <c r="DVQ101" s="285"/>
      <c r="DVR101" s="285"/>
      <c r="DVS101" s="285"/>
      <c r="DVT101" s="285"/>
      <c r="DVU101" s="285"/>
      <c r="DVV101" s="285"/>
      <c r="DVW101" s="285"/>
      <c r="DVX101" s="285"/>
      <c r="DVY101" s="285"/>
      <c r="DVZ101" s="285"/>
      <c r="DWA101" s="285"/>
      <c r="DWB101" s="285"/>
      <c r="DWC101" s="285"/>
      <c r="DWD101" s="285"/>
      <c r="DWE101" s="285"/>
      <c r="DWF101" s="285"/>
      <c r="DWG101" s="285"/>
      <c r="DWH101" s="285"/>
      <c r="DWI101" s="285"/>
      <c r="DWJ101" s="285"/>
      <c r="DWK101" s="285"/>
      <c r="DWL101" s="285"/>
      <c r="DWM101" s="285"/>
      <c r="DWN101" s="285"/>
      <c r="DWO101" s="285"/>
      <c r="DWP101" s="285"/>
      <c r="DWQ101" s="285"/>
      <c r="DWR101" s="285"/>
      <c r="DWS101" s="285"/>
      <c r="DWT101" s="285"/>
      <c r="DWU101" s="285"/>
      <c r="DWV101" s="285"/>
      <c r="DWW101" s="285"/>
      <c r="DWX101" s="285"/>
      <c r="DWY101" s="285"/>
      <c r="DWZ101" s="285"/>
      <c r="DXA101" s="285"/>
      <c r="DXB101" s="285"/>
      <c r="DXC101" s="285"/>
      <c r="DXD101" s="285"/>
      <c r="DXE101" s="285"/>
      <c r="DXF101" s="285"/>
      <c r="DXG101" s="285"/>
      <c r="DXH101" s="285"/>
      <c r="DXI101" s="285"/>
      <c r="DXJ101" s="285"/>
      <c r="DXK101" s="285"/>
      <c r="DXL101" s="285"/>
      <c r="DXM101" s="285"/>
      <c r="DXN101" s="285"/>
      <c r="DXO101" s="285"/>
      <c r="DXP101" s="285"/>
      <c r="DXQ101" s="285"/>
      <c r="DXR101" s="285"/>
      <c r="DXS101" s="285"/>
      <c r="DXT101" s="285"/>
      <c r="DXU101" s="285"/>
      <c r="DXV101" s="285"/>
      <c r="DXW101" s="285"/>
      <c r="DXX101" s="285"/>
      <c r="DXY101" s="285"/>
      <c r="DXZ101" s="285"/>
      <c r="DYA101" s="285"/>
      <c r="DYB101" s="285"/>
      <c r="DYC101" s="285"/>
      <c r="DYD101" s="285"/>
      <c r="DYE101" s="285"/>
      <c r="DYF101" s="285"/>
      <c r="DYG101" s="285"/>
      <c r="DYH101" s="285"/>
      <c r="DYI101" s="285"/>
      <c r="DYJ101" s="285"/>
      <c r="DYK101" s="285"/>
      <c r="DYL101" s="285"/>
      <c r="DYM101" s="285"/>
      <c r="DYN101" s="285"/>
      <c r="DYO101" s="285"/>
      <c r="DYP101" s="285"/>
      <c r="DYQ101" s="285"/>
      <c r="DYR101" s="285"/>
      <c r="DYS101" s="285"/>
      <c r="DYT101" s="285"/>
      <c r="DYU101" s="285"/>
      <c r="DYV101" s="285"/>
      <c r="DYW101" s="285"/>
      <c r="DYX101" s="285"/>
      <c r="DYY101" s="285"/>
      <c r="DYZ101" s="285"/>
      <c r="DZA101" s="285"/>
      <c r="DZB101" s="285"/>
      <c r="DZC101" s="285"/>
      <c r="DZD101" s="285"/>
      <c r="DZE101" s="285"/>
      <c r="DZF101" s="285"/>
      <c r="DZG101" s="285"/>
      <c r="DZH101" s="285"/>
      <c r="DZI101" s="285"/>
      <c r="DZJ101" s="285"/>
      <c r="DZK101" s="285"/>
      <c r="DZL101" s="285"/>
      <c r="DZM101" s="285"/>
      <c r="DZN101" s="285"/>
      <c r="DZO101" s="285"/>
      <c r="DZP101" s="285"/>
      <c r="DZQ101" s="285"/>
      <c r="DZR101" s="285"/>
      <c r="DZS101" s="285"/>
      <c r="DZT101" s="285"/>
      <c r="DZU101" s="285"/>
      <c r="DZV101" s="285"/>
      <c r="DZW101" s="285"/>
      <c r="DZX101" s="285"/>
      <c r="DZY101" s="285"/>
      <c r="DZZ101" s="285"/>
      <c r="EAA101" s="285"/>
      <c r="EAB101" s="285"/>
      <c r="EAC101" s="285"/>
      <c r="EAD101" s="285"/>
      <c r="EAE101" s="285"/>
      <c r="EAF101" s="285"/>
      <c r="EAG101" s="285"/>
      <c r="EAH101" s="285"/>
      <c r="EAI101" s="285"/>
      <c r="EAJ101" s="285"/>
      <c r="EAK101" s="285"/>
      <c r="EAL101" s="285"/>
      <c r="EAM101" s="285"/>
      <c r="EAN101" s="285"/>
      <c r="EAO101" s="285"/>
      <c r="EAP101" s="285"/>
      <c r="EAQ101" s="285"/>
      <c r="EAR101" s="285"/>
      <c r="EAS101" s="285"/>
      <c r="EAT101" s="285"/>
      <c r="EAU101" s="285"/>
      <c r="EAV101" s="285"/>
      <c r="EAW101" s="285"/>
      <c r="EAX101" s="285"/>
      <c r="EAY101" s="285"/>
      <c r="EAZ101" s="285"/>
      <c r="EBA101" s="285"/>
      <c r="EBB101" s="285"/>
      <c r="EBC101" s="285"/>
      <c r="EBD101" s="285"/>
      <c r="EBE101" s="285"/>
      <c r="EBF101" s="285"/>
      <c r="EBG101" s="285"/>
      <c r="EBH101" s="285"/>
      <c r="EBI101" s="285"/>
      <c r="EBJ101" s="285"/>
      <c r="EBK101" s="285"/>
      <c r="EBL101" s="285"/>
      <c r="EBM101" s="285"/>
      <c r="EBN101" s="285"/>
      <c r="EBO101" s="285"/>
      <c r="EBP101" s="285"/>
      <c r="EBQ101" s="285"/>
      <c r="EBR101" s="285"/>
      <c r="EBS101" s="285"/>
      <c r="EBT101" s="285"/>
      <c r="EBU101" s="285"/>
      <c r="EBV101" s="285"/>
      <c r="EBW101" s="285"/>
      <c r="EBX101" s="285"/>
      <c r="EBY101" s="285"/>
      <c r="EBZ101" s="285"/>
      <c r="ECA101" s="285"/>
      <c r="ECB101" s="285"/>
      <c r="ECC101" s="285"/>
      <c r="ECD101" s="285"/>
      <c r="ECE101" s="285"/>
      <c r="ECF101" s="285"/>
      <c r="ECG101" s="285"/>
      <c r="ECH101" s="285"/>
      <c r="ECI101" s="285"/>
      <c r="ECJ101" s="285"/>
      <c r="ECK101" s="285"/>
      <c r="ECL101" s="285"/>
      <c r="ECM101" s="285"/>
      <c r="ECN101" s="285"/>
      <c r="ECO101" s="285"/>
      <c r="ECP101" s="285"/>
      <c r="ECQ101" s="285"/>
      <c r="ECR101" s="285"/>
      <c r="ECS101" s="285"/>
      <c r="ECT101" s="285"/>
      <c r="ECU101" s="285"/>
      <c r="ECV101" s="285"/>
      <c r="ECW101" s="285"/>
      <c r="ECX101" s="285"/>
      <c r="ECY101" s="285"/>
      <c r="ECZ101" s="285"/>
      <c r="EDA101" s="285"/>
      <c r="EDB101" s="285"/>
      <c r="EDC101" s="285"/>
      <c r="EDD101" s="285"/>
      <c r="EDE101" s="285"/>
      <c r="EDF101" s="285"/>
      <c r="EDG101" s="285"/>
      <c r="EDH101" s="285"/>
      <c r="EDI101" s="285"/>
      <c r="EDJ101" s="285"/>
      <c r="EDK101" s="285"/>
      <c r="EDL101" s="285"/>
      <c r="EDM101" s="285"/>
      <c r="EDN101" s="285"/>
      <c r="EDO101" s="285"/>
      <c r="EDP101" s="285"/>
      <c r="EDQ101" s="285"/>
      <c r="EDR101" s="285"/>
      <c r="EDS101" s="285"/>
      <c r="EDT101" s="285"/>
      <c r="EDU101" s="285"/>
      <c r="EDV101" s="285"/>
      <c r="EDW101" s="285"/>
      <c r="EDX101" s="285"/>
      <c r="EDY101" s="285"/>
      <c r="EDZ101" s="285"/>
      <c r="EEA101" s="285"/>
      <c r="EEB101" s="285"/>
      <c r="EEC101" s="285"/>
      <c r="EED101" s="285"/>
      <c r="EEE101" s="285"/>
      <c r="EEF101" s="285"/>
      <c r="EEG101" s="285"/>
      <c r="EEH101" s="285"/>
      <c r="EEI101" s="285"/>
      <c r="EEJ101" s="285"/>
      <c r="EEK101" s="285"/>
      <c r="EEL101" s="285"/>
      <c r="EEM101" s="285"/>
      <c r="EEN101" s="285"/>
      <c r="EEO101" s="285"/>
      <c r="EEP101" s="285"/>
      <c r="EEQ101" s="285"/>
      <c r="EER101" s="285"/>
      <c r="EES101" s="285"/>
      <c r="EET101" s="285"/>
      <c r="EEU101" s="285"/>
      <c r="EEV101" s="285"/>
      <c r="EEW101" s="285"/>
      <c r="EEX101" s="285"/>
      <c r="EEY101" s="285"/>
      <c r="EEZ101" s="285"/>
      <c r="EFA101" s="285"/>
      <c r="EFB101" s="285"/>
      <c r="EFC101" s="285"/>
      <c r="EFD101" s="285"/>
      <c r="EFE101" s="285"/>
      <c r="EFF101" s="285"/>
      <c r="EFG101" s="285"/>
      <c r="EFH101" s="285"/>
      <c r="EFI101" s="285"/>
      <c r="EFJ101" s="285"/>
      <c r="EFK101" s="285"/>
      <c r="EFL101" s="285"/>
      <c r="EFM101" s="285"/>
      <c r="EFN101" s="285"/>
      <c r="EFO101" s="285"/>
      <c r="EFP101" s="285"/>
      <c r="EFQ101" s="285"/>
      <c r="EFR101" s="285"/>
      <c r="EFS101" s="285"/>
      <c r="EFT101" s="285"/>
      <c r="EFU101" s="285"/>
      <c r="EFV101" s="285"/>
      <c r="EFW101" s="285"/>
      <c r="EFX101" s="285"/>
      <c r="EFY101" s="285"/>
      <c r="EFZ101" s="285"/>
      <c r="EGA101" s="285"/>
      <c r="EGB101" s="285"/>
      <c r="EGC101" s="285"/>
      <c r="EGD101" s="285"/>
      <c r="EGE101" s="285"/>
      <c r="EGF101" s="285"/>
      <c r="EGG101" s="285"/>
      <c r="EGH101" s="285"/>
      <c r="EGI101" s="285"/>
      <c r="EGJ101" s="285"/>
      <c r="EGK101" s="285"/>
      <c r="EGL101" s="285"/>
      <c r="EGM101" s="285"/>
      <c r="EGN101" s="285"/>
      <c r="EGO101" s="285"/>
      <c r="EGP101" s="285"/>
      <c r="EGQ101" s="285"/>
      <c r="EGR101" s="285"/>
      <c r="EGS101" s="285"/>
      <c r="EGT101" s="285"/>
      <c r="EGU101" s="285"/>
      <c r="EGV101" s="285"/>
      <c r="EGW101" s="285"/>
      <c r="EGX101" s="285"/>
      <c r="EGY101" s="285"/>
      <c r="EGZ101" s="285"/>
      <c r="EHA101" s="285"/>
      <c r="EHB101" s="285"/>
      <c r="EHC101" s="285"/>
      <c r="EHD101" s="285"/>
      <c r="EHE101" s="285"/>
      <c r="EHF101" s="285"/>
      <c r="EHG101" s="285"/>
      <c r="EHH101" s="285"/>
      <c r="EHI101" s="285"/>
      <c r="EHJ101" s="285"/>
      <c r="EHK101" s="285"/>
      <c r="EHL101" s="285"/>
      <c r="EHM101" s="285"/>
      <c r="EHN101" s="285"/>
      <c r="EHO101" s="285"/>
      <c r="EHP101" s="285"/>
      <c r="EHQ101" s="285"/>
      <c r="EHR101" s="285"/>
      <c r="EHS101" s="285"/>
      <c r="EHT101" s="285"/>
      <c r="EHU101" s="285"/>
      <c r="EHV101" s="285"/>
      <c r="EHW101" s="285"/>
      <c r="EHX101" s="285"/>
      <c r="EHY101" s="285"/>
      <c r="EHZ101" s="285"/>
      <c r="EIA101" s="285"/>
      <c r="EIB101" s="285"/>
      <c r="EIC101" s="285"/>
      <c r="EID101" s="285"/>
      <c r="EIE101" s="285"/>
      <c r="EIF101" s="285"/>
      <c r="EIG101" s="285"/>
      <c r="EIH101" s="285"/>
      <c r="EII101" s="285"/>
      <c r="EIJ101" s="285"/>
      <c r="EIK101" s="285"/>
      <c r="EIL101" s="285"/>
      <c r="EIM101" s="285"/>
      <c r="EIN101" s="285"/>
      <c r="EIO101" s="285"/>
      <c r="EIP101" s="285"/>
      <c r="EIQ101" s="285"/>
      <c r="EIR101" s="285"/>
      <c r="EIS101" s="285"/>
      <c r="EIT101" s="285"/>
      <c r="EIU101" s="285"/>
      <c r="EIV101" s="285"/>
      <c r="EIW101" s="285"/>
      <c r="EIX101" s="285"/>
      <c r="EIY101" s="285"/>
      <c r="EIZ101" s="285"/>
      <c r="EJA101" s="285"/>
      <c r="EJB101" s="285"/>
      <c r="EJC101" s="285"/>
      <c r="EJD101" s="285"/>
      <c r="EJE101" s="285"/>
      <c r="EJF101" s="285"/>
      <c r="EJG101" s="285"/>
      <c r="EJH101" s="285"/>
      <c r="EJI101" s="285"/>
      <c r="EJJ101" s="285"/>
      <c r="EJK101" s="285"/>
      <c r="EJL101" s="285"/>
      <c r="EJM101" s="285"/>
      <c r="EJN101" s="285"/>
      <c r="EJO101" s="285"/>
      <c r="EJP101" s="285"/>
      <c r="EJQ101" s="285"/>
      <c r="EJR101" s="285"/>
      <c r="EJS101" s="285"/>
      <c r="EJT101" s="285"/>
      <c r="EJU101" s="285"/>
      <c r="EJV101" s="285"/>
      <c r="EJW101" s="285"/>
      <c r="EJX101" s="285"/>
      <c r="EJY101" s="285"/>
      <c r="EJZ101" s="285"/>
      <c r="EKA101" s="285"/>
      <c r="EKB101" s="285"/>
      <c r="EKC101" s="285"/>
      <c r="EKD101" s="285"/>
      <c r="EKE101" s="285"/>
      <c r="EKF101" s="285"/>
      <c r="EKG101" s="285"/>
      <c r="EKH101" s="285"/>
      <c r="EKI101" s="285"/>
      <c r="EKJ101" s="285"/>
      <c r="EKK101" s="285"/>
      <c r="EKL101" s="285"/>
      <c r="EKM101" s="285"/>
      <c r="EKN101" s="285"/>
      <c r="EKO101" s="285"/>
      <c r="EKP101" s="285"/>
      <c r="EKQ101" s="285"/>
      <c r="EKR101" s="285"/>
      <c r="EKS101" s="285"/>
      <c r="EKT101" s="285"/>
      <c r="EKU101" s="285"/>
      <c r="EKV101" s="285"/>
      <c r="EKW101" s="285"/>
      <c r="EKX101" s="285"/>
      <c r="EKY101" s="285"/>
      <c r="EKZ101" s="285"/>
      <c r="ELA101" s="285"/>
      <c r="ELB101" s="285"/>
      <c r="ELC101" s="285"/>
      <c r="ELD101" s="285"/>
      <c r="ELE101" s="285"/>
      <c r="ELF101" s="285"/>
      <c r="ELG101" s="285"/>
      <c r="ELH101" s="285"/>
      <c r="ELI101" s="285"/>
      <c r="ELJ101" s="285"/>
      <c r="ELK101" s="285"/>
      <c r="ELL101" s="285"/>
      <c r="ELM101" s="285"/>
      <c r="ELN101" s="285"/>
      <c r="ELO101" s="285"/>
      <c r="ELP101" s="285"/>
      <c r="ELQ101" s="285"/>
      <c r="ELR101" s="285"/>
      <c r="ELS101" s="285"/>
      <c r="ELT101" s="285"/>
      <c r="ELU101" s="285"/>
      <c r="ELV101" s="285"/>
      <c r="ELW101" s="285"/>
      <c r="ELX101" s="285"/>
      <c r="ELY101" s="285"/>
      <c r="ELZ101" s="285"/>
      <c r="EMA101" s="285"/>
      <c r="EMB101" s="285"/>
      <c r="EMC101" s="285"/>
      <c r="EMD101" s="285"/>
      <c r="EME101" s="285"/>
      <c r="EMF101" s="285"/>
      <c r="EMG101" s="285"/>
      <c r="EMH101" s="285"/>
      <c r="EMI101" s="285"/>
      <c r="EMJ101" s="285"/>
      <c r="EMK101" s="285"/>
      <c r="EML101" s="285"/>
      <c r="EMM101" s="285"/>
      <c r="EMN101" s="285"/>
      <c r="EMO101" s="285"/>
      <c r="EMP101" s="285"/>
      <c r="EMQ101" s="285"/>
      <c r="EMR101" s="285"/>
      <c r="EMS101" s="285"/>
      <c r="EMT101" s="285"/>
      <c r="EMU101" s="285"/>
      <c r="EMV101" s="285"/>
      <c r="EMW101" s="285"/>
      <c r="EMX101" s="285"/>
      <c r="EMY101" s="285"/>
      <c r="EMZ101" s="285"/>
      <c r="ENA101" s="285"/>
      <c r="ENB101" s="285"/>
      <c r="ENC101" s="285"/>
      <c r="END101" s="285"/>
      <c r="ENE101" s="285"/>
      <c r="ENF101" s="285"/>
      <c r="ENG101" s="285"/>
      <c r="ENH101" s="285"/>
      <c r="ENI101" s="285"/>
      <c r="ENJ101" s="285"/>
      <c r="ENK101" s="285"/>
      <c r="ENL101" s="285"/>
      <c r="ENM101" s="285"/>
      <c r="ENN101" s="285"/>
      <c r="ENO101" s="285"/>
      <c r="ENP101" s="285"/>
      <c r="ENQ101" s="285"/>
      <c r="ENR101" s="285"/>
      <c r="ENS101" s="285"/>
      <c r="ENT101" s="285"/>
      <c r="ENU101" s="285"/>
      <c r="ENV101" s="285"/>
      <c r="ENW101" s="285"/>
      <c r="ENX101" s="285"/>
      <c r="ENY101" s="285"/>
      <c r="ENZ101" s="285"/>
      <c r="EOA101" s="285"/>
      <c r="EOB101" s="285"/>
      <c r="EOC101" s="285"/>
      <c r="EOD101" s="285"/>
      <c r="EOE101" s="285"/>
      <c r="EOF101" s="285"/>
      <c r="EOG101" s="285"/>
      <c r="EOH101" s="285"/>
      <c r="EOI101" s="285"/>
      <c r="EOJ101" s="285"/>
      <c r="EOK101" s="285"/>
      <c r="EOL101" s="285"/>
      <c r="EOM101" s="285"/>
      <c r="EON101" s="285"/>
      <c r="EOO101" s="285"/>
      <c r="EOP101" s="285"/>
      <c r="EOQ101" s="285"/>
      <c r="EOR101" s="285"/>
      <c r="EOS101" s="285"/>
      <c r="EOT101" s="285"/>
      <c r="EOU101" s="285"/>
      <c r="EOV101" s="285"/>
      <c r="EOW101" s="285"/>
      <c r="EOX101" s="285"/>
      <c r="EOY101" s="285"/>
      <c r="EOZ101" s="285"/>
      <c r="EPA101" s="285"/>
      <c r="EPB101" s="285"/>
      <c r="EPC101" s="285"/>
      <c r="EPD101" s="285"/>
      <c r="EPE101" s="285"/>
      <c r="EPF101" s="285"/>
      <c r="EPG101" s="285"/>
      <c r="EPH101" s="285"/>
      <c r="EPI101" s="285"/>
      <c r="EPJ101" s="285"/>
      <c r="EPK101" s="285"/>
      <c r="EPL101" s="285"/>
      <c r="EPM101" s="285"/>
      <c r="EPN101" s="285"/>
      <c r="EPO101" s="285"/>
      <c r="EPP101" s="285"/>
      <c r="EPQ101" s="285"/>
      <c r="EPR101" s="285"/>
      <c r="EPS101" s="285"/>
      <c r="EPT101" s="285"/>
      <c r="EPU101" s="285"/>
      <c r="EPV101" s="285"/>
      <c r="EPW101" s="285"/>
      <c r="EPX101" s="285"/>
      <c r="EPY101" s="285"/>
      <c r="EPZ101" s="285"/>
      <c r="EQA101" s="285"/>
      <c r="EQB101" s="285"/>
      <c r="EQC101" s="285"/>
      <c r="EQD101" s="285"/>
      <c r="EQE101" s="285"/>
      <c r="EQF101" s="285"/>
      <c r="EQG101" s="285"/>
      <c r="EQH101" s="285"/>
      <c r="EQI101" s="285"/>
      <c r="EQJ101" s="285"/>
      <c r="EQK101" s="285"/>
      <c r="EQL101" s="285"/>
      <c r="EQM101" s="285"/>
      <c r="EQN101" s="285"/>
      <c r="EQO101" s="285"/>
      <c r="EQP101" s="285"/>
      <c r="EQQ101" s="285"/>
      <c r="EQR101" s="285"/>
      <c r="EQS101" s="285"/>
      <c r="EQT101" s="285"/>
      <c r="EQU101" s="285"/>
      <c r="EQV101" s="285"/>
      <c r="EQW101" s="285"/>
      <c r="EQX101" s="285"/>
      <c r="EQY101" s="285"/>
      <c r="EQZ101" s="285"/>
      <c r="ERA101" s="285"/>
      <c r="ERB101" s="285"/>
      <c r="ERC101" s="285"/>
      <c r="ERD101" s="285"/>
      <c r="ERE101" s="285"/>
      <c r="ERF101" s="285"/>
      <c r="ERG101" s="285"/>
      <c r="ERH101" s="285"/>
      <c r="ERI101" s="285"/>
      <c r="ERJ101" s="285"/>
      <c r="ERK101" s="285"/>
      <c r="ERL101" s="285"/>
      <c r="ERM101" s="285"/>
      <c r="ERN101" s="285"/>
      <c r="ERO101" s="285"/>
      <c r="ERP101" s="285"/>
      <c r="ERQ101" s="285"/>
      <c r="ERR101" s="285"/>
      <c r="ERS101" s="285"/>
      <c r="ERT101" s="285"/>
      <c r="ERU101" s="285"/>
      <c r="ERV101" s="285"/>
      <c r="ERW101" s="285"/>
      <c r="ERX101" s="285"/>
      <c r="ERY101" s="285"/>
      <c r="ERZ101" s="285"/>
      <c r="ESA101" s="285"/>
      <c r="ESB101" s="285"/>
      <c r="ESC101" s="285"/>
      <c r="ESD101" s="285"/>
      <c r="ESE101" s="285"/>
      <c r="ESF101" s="285"/>
      <c r="ESG101" s="285"/>
      <c r="ESH101" s="285"/>
      <c r="ESI101" s="285"/>
      <c r="ESJ101" s="285"/>
      <c r="ESK101" s="285"/>
      <c r="ESL101" s="285"/>
      <c r="ESM101" s="285"/>
      <c r="ESN101" s="285"/>
      <c r="ESO101" s="285"/>
      <c r="ESP101" s="285"/>
      <c r="ESQ101" s="285"/>
      <c r="ESR101" s="285"/>
      <c r="ESS101" s="285"/>
      <c r="EST101" s="285"/>
      <c r="ESU101" s="285"/>
      <c r="ESV101" s="285"/>
      <c r="ESW101" s="285"/>
      <c r="ESX101" s="285"/>
      <c r="ESY101" s="285"/>
      <c r="ESZ101" s="285"/>
      <c r="ETA101" s="285"/>
      <c r="ETB101" s="285"/>
      <c r="ETC101" s="285"/>
      <c r="ETD101" s="285"/>
      <c r="ETE101" s="285"/>
      <c r="ETF101" s="285"/>
      <c r="ETG101" s="285"/>
      <c r="ETH101" s="285"/>
      <c r="ETI101" s="285"/>
      <c r="ETJ101" s="285"/>
      <c r="ETK101" s="285"/>
      <c r="ETL101" s="285"/>
      <c r="ETM101" s="285"/>
      <c r="ETN101" s="285"/>
      <c r="ETO101" s="285"/>
      <c r="ETP101" s="285"/>
      <c r="ETQ101" s="285"/>
      <c r="ETR101" s="285"/>
      <c r="ETS101" s="285"/>
      <c r="ETT101" s="285"/>
      <c r="ETU101" s="285"/>
      <c r="ETV101" s="285"/>
      <c r="ETW101" s="285"/>
      <c r="ETX101" s="285"/>
      <c r="ETY101" s="285"/>
      <c r="ETZ101" s="285"/>
      <c r="EUA101" s="285"/>
      <c r="EUB101" s="285"/>
      <c r="EUC101" s="285"/>
      <c r="EUD101" s="285"/>
      <c r="EUE101" s="285"/>
      <c r="EUF101" s="285"/>
      <c r="EUG101" s="285"/>
      <c r="EUH101" s="285"/>
      <c r="EUI101" s="285"/>
      <c r="EUJ101" s="285"/>
      <c r="EUK101" s="285"/>
      <c r="EUL101" s="285"/>
      <c r="EUM101" s="285"/>
      <c r="EUN101" s="285"/>
      <c r="EUO101" s="285"/>
      <c r="EUP101" s="285"/>
      <c r="EUQ101" s="285"/>
      <c r="EUR101" s="285"/>
      <c r="EUS101" s="285"/>
      <c r="EUT101" s="285"/>
      <c r="EUU101" s="285"/>
      <c r="EUV101" s="285"/>
      <c r="EUW101" s="285"/>
      <c r="EUX101" s="285"/>
      <c r="EUY101" s="285"/>
      <c r="EUZ101" s="285"/>
      <c r="EVA101" s="285"/>
      <c r="EVB101" s="285"/>
      <c r="EVC101" s="285"/>
      <c r="EVD101" s="285"/>
      <c r="EVE101" s="285"/>
      <c r="EVF101" s="285"/>
      <c r="EVG101" s="285"/>
      <c r="EVH101" s="285"/>
      <c r="EVI101" s="285"/>
      <c r="EVJ101" s="285"/>
      <c r="EVK101" s="285"/>
      <c r="EVL101" s="285"/>
      <c r="EVM101" s="285"/>
      <c r="EVN101" s="285"/>
      <c r="EVO101" s="285"/>
      <c r="EVP101" s="285"/>
      <c r="EVQ101" s="285"/>
      <c r="EVR101" s="285"/>
      <c r="EVS101" s="285"/>
      <c r="EVT101" s="285"/>
      <c r="EVU101" s="285"/>
      <c r="EVV101" s="285"/>
      <c r="EVW101" s="285"/>
      <c r="EVX101" s="285"/>
      <c r="EVY101" s="285"/>
      <c r="EVZ101" s="285"/>
      <c r="EWA101" s="285"/>
      <c r="EWB101" s="285"/>
      <c r="EWC101" s="285"/>
      <c r="EWD101" s="285"/>
      <c r="EWE101" s="285"/>
      <c r="EWF101" s="285"/>
      <c r="EWG101" s="285"/>
      <c r="EWH101" s="285"/>
      <c r="EWI101" s="285"/>
      <c r="EWJ101" s="285"/>
      <c r="EWK101" s="285"/>
      <c r="EWL101" s="285"/>
      <c r="EWM101" s="285"/>
      <c r="EWN101" s="285"/>
      <c r="EWO101" s="285"/>
      <c r="EWP101" s="285"/>
      <c r="EWQ101" s="285"/>
      <c r="EWR101" s="285"/>
      <c r="EWS101" s="285"/>
      <c r="EWT101" s="285"/>
      <c r="EWU101" s="285"/>
      <c r="EWV101" s="285"/>
      <c r="EWW101" s="285"/>
      <c r="EWX101" s="285"/>
      <c r="EWY101" s="285"/>
      <c r="EWZ101" s="285"/>
      <c r="EXA101" s="285"/>
      <c r="EXB101" s="285"/>
      <c r="EXC101" s="285"/>
      <c r="EXD101" s="285"/>
      <c r="EXE101" s="285"/>
      <c r="EXF101" s="285"/>
      <c r="EXG101" s="285"/>
      <c r="EXH101" s="285"/>
      <c r="EXI101" s="285"/>
      <c r="EXJ101" s="285"/>
      <c r="EXK101" s="285"/>
      <c r="EXL101" s="285"/>
      <c r="EXM101" s="285"/>
      <c r="EXN101" s="285"/>
      <c r="EXO101" s="285"/>
      <c r="EXP101" s="285"/>
      <c r="EXQ101" s="285"/>
      <c r="EXR101" s="285"/>
      <c r="EXS101" s="285"/>
      <c r="EXT101" s="285"/>
      <c r="EXU101" s="285"/>
      <c r="EXV101" s="285"/>
      <c r="EXW101" s="285"/>
      <c r="EXX101" s="285"/>
      <c r="EXY101" s="285"/>
      <c r="EXZ101" s="285"/>
      <c r="EYA101" s="285"/>
      <c r="EYB101" s="285"/>
      <c r="EYC101" s="285"/>
      <c r="EYD101" s="285"/>
      <c r="EYE101" s="285"/>
      <c r="EYF101" s="285"/>
      <c r="EYG101" s="285"/>
      <c r="EYH101" s="285"/>
      <c r="EYI101" s="285"/>
      <c r="EYJ101" s="285"/>
      <c r="EYK101" s="285"/>
      <c r="EYL101" s="285"/>
      <c r="EYM101" s="285"/>
      <c r="EYN101" s="285"/>
      <c r="EYO101" s="285"/>
      <c r="EYP101" s="285"/>
      <c r="EYQ101" s="285"/>
      <c r="EYR101" s="285"/>
      <c r="EYS101" s="285"/>
      <c r="EYT101" s="285"/>
      <c r="EYU101" s="285"/>
      <c r="EYV101" s="285"/>
      <c r="EYW101" s="285"/>
      <c r="EYX101" s="285"/>
      <c r="EYY101" s="285"/>
      <c r="EYZ101" s="285"/>
      <c r="EZA101" s="285"/>
      <c r="EZB101" s="285"/>
      <c r="EZC101" s="285"/>
      <c r="EZD101" s="285"/>
      <c r="EZE101" s="285"/>
      <c r="EZF101" s="285"/>
      <c r="EZG101" s="285"/>
      <c r="EZH101" s="285"/>
      <c r="EZI101" s="285"/>
      <c r="EZJ101" s="285"/>
      <c r="EZK101" s="285"/>
      <c r="EZL101" s="285"/>
      <c r="EZM101" s="285"/>
      <c r="EZN101" s="285"/>
      <c r="EZO101" s="285"/>
      <c r="EZP101" s="285"/>
      <c r="EZQ101" s="285"/>
      <c r="EZR101" s="285"/>
      <c r="EZS101" s="285"/>
      <c r="EZT101" s="285"/>
      <c r="EZU101" s="285"/>
      <c r="EZV101" s="285"/>
      <c r="EZW101" s="285"/>
      <c r="EZX101" s="285"/>
      <c r="EZY101" s="285"/>
      <c r="EZZ101" s="285"/>
      <c r="FAA101" s="285"/>
      <c r="FAB101" s="285"/>
      <c r="FAC101" s="285"/>
      <c r="FAD101" s="285"/>
      <c r="FAE101" s="285"/>
      <c r="FAF101" s="285"/>
      <c r="FAG101" s="285"/>
      <c r="FAH101" s="285"/>
      <c r="FAI101" s="285"/>
      <c r="FAJ101" s="285"/>
      <c r="FAK101" s="285"/>
      <c r="FAL101" s="285"/>
      <c r="FAM101" s="285"/>
      <c r="FAN101" s="285"/>
      <c r="FAO101" s="285"/>
      <c r="FAP101" s="285"/>
      <c r="FAQ101" s="285"/>
      <c r="FAR101" s="285"/>
      <c r="FAS101" s="285"/>
      <c r="FAT101" s="285"/>
      <c r="FAU101" s="285"/>
      <c r="FAV101" s="285"/>
      <c r="FAW101" s="285"/>
      <c r="FAX101" s="285"/>
      <c r="FAY101" s="285"/>
      <c r="FAZ101" s="285"/>
      <c r="FBA101" s="285"/>
      <c r="FBB101" s="285"/>
      <c r="FBC101" s="285"/>
      <c r="FBD101" s="285"/>
      <c r="FBE101" s="285"/>
      <c r="FBF101" s="285"/>
      <c r="FBG101" s="285"/>
      <c r="FBH101" s="285"/>
      <c r="FBI101" s="285"/>
      <c r="FBJ101" s="285"/>
      <c r="FBK101" s="285"/>
      <c r="FBL101" s="285"/>
      <c r="FBM101" s="285"/>
      <c r="FBN101" s="285"/>
      <c r="FBO101" s="285"/>
      <c r="FBP101" s="285"/>
      <c r="FBQ101" s="285"/>
      <c r="FBR101" s="285"/>
      <c r="FBS101" s="285"/>
      <c r="FBT101" s="285"/>
      <c r="FBU101" s="285"/>
      <c r="FBV101" s="285"/>
      <c r="FBW101" s="285"/>
      <c r="FBX101" s="285"/>
      <c r="FBY101" s="285"/>
      <c r="FBZ101" s="285"/>
      <c r="FCA101" s="285"/>
      <c r="FCB101" s="285"/>
      <c r="FCC101" s="285"/>
      <c r="FCD101" s="285"/>
      <c r="FCE101" s="285"/>
      <c r="FCF101" s="285"/>
      <c r="FCG101" s="285"/>
      <c r="FCH101" s="285"/>
      <c r="FCI101" s="285"/>
      <c r="FCJ101" s="285"/>
      <c r="FCK101" s="285"/>
      <c r="FCL101" s="285"/>
      <c r="FCM101" s="285"/>
      <c r="FCN101" s="285"/>
      <c r="FCO101" s="285"/>
      <c r="FCP101" s="285"/>
      <c r="FCQ101" s="285"/>
      <c r="FCR101" s="285"/>
      <c r="FCS101" s="285"/>
      <c r="FCT101" s="285"/>
      <c r="FCU101" s="285"/>
      <c r="FCV101" s="285"/>
      <c r="FCW101" s="285"/>
      <c r="FCX101" s="285"/>
      <c r="FCY101" s="285"/>
      <c r="FCZ101" s="285"/>
      <c r="FDA101" s="285"/>
      <c r="FDB101" s="285"/>
      <c r="FDC101" s="285"/>
      <c r="FDD101" s="285"/>
      <c r="FDE101" s="285"/>
      <c r="FDF101" s="285"/>
      <c r="FDG101" s="285"/>
      <c r="FDH101" s="285"/>
      <c r="FDI101" s="285"/>
      <c r="FDJ101" s="285"/>
      <c r="FDK101" s="285"/>
      <c r="FDL101" s="285"/>
      <c r="FDM101" s="285"/>
      <c r="FDN101" s="285"/>
      <c r="FDO101" s="285"/>
      <c r="FDP101" s="285"/>
      <c r="FDQ101" s="285"/>
      <c r="FDR101" s="285"/>
      <c r="FDS101" s="285"/>
      <c r="FDT101" s="285"/>
      <c r="FDU101" s="285"/>
      <c r="FDV101" s="285"/>
      <c r="FDW101" s="285"/>
      <c r="FDX101" s="285"/>
      <c r="FDY101" s="285"/>
      <c r="FDZ101" s="285"/>
      <c r="FEA101" s="285"/>
      <c r="FEB101" s="285"/>
      <c r="FEC101" s="285"/>
      <c r="FED101" s="285"/>
      <c r="FEE101" s="285"/>
      <c r="FEF101" s="285"/>
      <c r="FEG101" s="285"/>
      <c r="FEH101" s="285"/>
      <c r="FEI101" s="285"/>
      <c r="FEJ101" s="285"/>
      <c r="FEK101" s="285"/>
      <c r="FEL101" s="285"/>
      <c r="FEM101" s="285"/>
      <c r="FEN101" s="285"/>
      <c r="FEO101" s="285"/>
      <c r="FEP101" s="285"/>
      <c r="FEQ101" s="285"/>
      <c r="FER101" s="285"/>
      <c r="FES101" s="285"/>
      <c r="FET101" s="285"/>
      <c r="FEU101" s="285"/>
      <c r="FEV101" s="285"/>
      <c r="FEW101" s="285"/>
      <c r="FEX101" s="285"/>
      <c r="FEY101" s="285"/>
      <c r="FEZ101" s="285"/>
      <c r="FFA101" s="285"/>
      <c r="FFB101" s="285"/>
      <c r="FFC101" s="285"/>
      <c r="FFD101" s="285"/>
      <c r="FFE101" s="285"/>
      <c r="FFF101" s="285"/>
      <c r="FFG101" s="285"/>
      <c r="FFH101" s="285"/>
      <c r="FFI101" s="285"/>
      <c r="FFJ101" s="285"/>
      <c r="FFK101" s="285"/>
      <c r="FFL101" s="285"/>
      <c r="FFM101" s="285"/>
      <c r="FFN101" s="285"/>
      <c r="FFO101" s="285"/>
      <c r="FFP101" s="285"/>
      <c r="FFQ101" s="285"/>
      <c r="FFR101" s="285"/>
      <c r="FFS101" s="285"/>
      <c r="FFT101" s="285"/>
      <c r="FFU101" s="285"/>
      <c r="FFV101" s="285"/>
      <c r="FFW101" s="285"/>
      <c r="FFX101" s="285"/>
      <c r="FFY101" s="285"/>
      <c r="FFZ101" s="285"/>
      <c r="FGA101" s="285"/>
      <c r="FGB101" s="285"/>
      <c r="FGC101" s="285"/>
      <c r="FGD101" s="285"/>
      <c r="FGE101" s="285"/>
      <c r="FGF101" s="285"/>
      <c r="FGG101" s="285"/>
      <c r="FGH101" s="285"/>
      <c r="FGI101" s="285"/>
      <c r="FGJ101" s="285"/>
      <c r="FGK101" s="285"/>
      <c r="FGL101" s="285"/>
      <c r="FGM101" s="285"/>
      <c r="FGN101" s="285"/>
      <c r="FGO101" s="285"/>
      <c r="FGP101" s="285"/>
      <c r="FGQ101" s="285"/>
      <c r="FGR101" s="285"/>
      <c r="FGS101" s="285"/>
      <c r="FGT101" s="285"/>
      <c r="FGU101" s="285"/>
      <c r="FGV101" s="285"/>
      <c r="FGW101" s="285"/>
      <c r="FGX101" s="285"/>
      <c r="FGY101" s="285"/>
      <c r="FGZ101" s="285"/>
      <c r="FHA101" s="285"/>
      <c r="FHB101" s="285"/>
      <c r="FHC101" s="285"/>
      <c r="FHD101" s="285"/>
      <c r="FHE101" s="285"/>
      <c r="FHF101" s="285"/>
      <c r="FHG101" s="285"/>
      <c r="FHH101" s="285"/>
      <c r="FHI101" s="285"/>
      <c r="FHJ101" s="285"/>
      <c r="FHK101" s="285"/>
      <c r="FHL101" s="285"/>
      <c r="FHM101" s="285"/>
      <c r="FHN101" s="285"/>
      <c r="FHO101" s="285"/>
      <c r="FHP101" s="285"/>
      <c r="FHQ101" s="285"/>
      <c r="FHR101" s="285"/>
      <c r="FHS101" s="285"/>
      <c r="FHT101" s="285"/>
      <c r="FHU101" s="285"/>
      <c r="FHV101" s="285"/>
      <c r="FHW101" s="285"/>
      <c r="FHX101" s="285"/>
      <c r="FHY101" s="285"/>
      <c r="FHZ101" s="285"/>
      <c r="FIA101" s="285"/>
      <c r="FIB101" s="285"/>
      <c r="FIC101" s="285"/>
      <c r="FID101" s="285"/>
      <c r="FIE101" s="285"/>
      <c r="FIF101" s="285"/>
      <c r="FIG101" s="285"/>
      <c r="FIH101" s="285"/>
      <c r="FII101" s="285"/>
      <c r="FIJ101" s="285"/>
      <c r="FIK101" s="285"/>
      <c r="FIL101" s="285"/>
      <c r="FIM101" s="285"/>
      <c r="FIN101" s="285"/>
      <c r="FIO101" s="285"/>
      <c r="FIP101" s="285"/>
      <c r="FIQ101" s="285"/>
      <c r="FIR101" s="285"/>
      <c r="FIS101" s="285"/>
      <c r="FIT101" s="285"/>
      <c r="FIU101" s="285"/>
      <c r="FIV101" s="285"/>
      <c r="FIW101" s="285"/>
      <c r="FIX101" s="285"/>
      <c r="FIY101" s="285"/>
      <c r="FIZ101" s="285"/>
      <c r="FJA101" s="285"/>
      <c r="FJB101" s="285"/>
      <c r="FJC101" s="285"/>
      <c r="FJD101" s="285"/>
      <c r="FJE101" s="285"/>
      <c r="FJF101" s="285"/>
      <c r="FJG101" s="285"/>
      <c r="FJH101" s="285"/>
      <c r="FJI101" s="285"/>
      <c r="FJJ101" s="285"/>
      <c r="FJK101" s="285"/>
      <c r="FJL101" s="285"/>
      <c r="FJM101" s="285"/>
      <c r="FJN101" s="285"/>
      <c r="FJO101" s="285"/>
      <c r="FJP101" s="285"/>
      <c r="FJQ101" s="285"/>
      <c r="FJR101" s="285"/>
      <c r="FJS101" s="285"/>
      <c r="FJT101" s="285"/>
      <c r="FJU101" s="285"/>
      <c r="FJV101" s="285"/>
      <c r="FJW101" s="285"/>
      <c r="FJX101" s="285"/>
      <c r="FJY101" s="285"/>
      <c r="FJZ101" s="285"/>
      <c r="FKA101" s="285"/>
      <c r="FKB101" s="285"/>
      <c r="FKC101" s="285"/>
      <c r="FKD101" s="285"/>
      <c r="FKE101" s="285"/>
      <c r="FKF101" s="285"/>
      <c r="FKG101" s="285"/>
      <c r="FKH101" s="285"/>
      <c r="FKI101" s="285"/>
      <c r="FKJ101" s="285"/>
      <c r="FKK101" s="285"/>
      <c r="FKL101" s="285"/>
      <c r="FKM101" s="285"/>
      <c r="FKN101" s="285"/>
      <c r="FKO101" s="285"/>
      <c r="FKP101" s="285"/>
      <c r="FKQ101" s="285"/>
      <c r="FKR101" s="285"/>
      <c r="FKS101" s="285"/>
      <c r="FKT101" s="285"/>
      <c r="FKU101" s="285"/>
      <c r="FKV101" s="285"/>
      <c r="FKW101" s="285"/>
      <c r="FKX101" s="285"/>
      <c r="FKY101" s="285"/>
      <c r="FKZ101" s="285"/>
      <c r="FLA101" s="285"/>
      <c r="FLB101" s="285"/>
      <c r="FLC101" s="285"/>
      <c r="FLD101" s="285"/>
      <c r="FLE101" s="285"/>
      <c r="FLF101" s="285"/>
      <c r="FLG101" s="285"/>
      <c r="FLH101" s="285"/>
      <c r="FLI101" s="285"/>
      <c r="FLJ101" s="285"/>
      <c r="FLK101" s="285"/>
      <c r="FLL101" s="285"/>
      <c r="FLM101" s="285"/>
      <c r="FLN101" s="285"/>
      <c r="FLO101" s="285"/>
      <c r="FLP101" s="285"/>
      <c r="FLQ101" s="285"/>
      <c r="FLR101" s="285"/>
      <c r="FLS101" s="285"/>
      <c r="FLT101" s="285"/>
      <c r="FLU101" s="285"/>
      <c r="FLV101" s="285"/>
      <c r="FLW101" s="285"/>
      <c r="FLX101" s="285"/>
      <c r="FLY101" s="285"/>
      <c r="FLZ101" s="285"/>
      <c r="FMA101" s="285"/>
      <c r="FMB101" s="285"/>
      <c r="FMC101" s="285"/>
      <c r="FMD101" s="285"/>
      <c r="FME101" s="285"/>
      <c r="FMF101" s="285"/>
      <c r="FMG101" s="285"/>
      <c r="FMH101" s="285"/>
      <c r="FMI101" s="285"/>
      <c r="FMJ101" s="285"/>
      <c r="FMK101" s="285"/>
      <c r="FML101" s="285"/>
      <c r="FMM101" s="285"/>
      <c r="FMN101" s="285"/>
      <c r="FMO101" s="285"/>
      <c r="FMP101" s="285"/>
      <c r="FMQ101" s="285"/>
      <c r="FMR101" s="285"/>
      <c r="FMS101" s="285"/>
      <c r="FMT101" s="285"/>
      <c r="FMU101" s="285"/>
      <c r="FMV101" s="285"/>
      <c r="FMW101" s="285"/>
      <c r="FMX101" s="285"/>
      <c r="FMY101" s="285"/>
      <c r="FMZ101" s="285"/>
      <c r="FNA101" s="285"/>
      <c r="FNB101" s="285"/>
      <c r="FNC101" s="285"/>
      <c r="FND101" s="285"/>
      <c r="FNE101" s="285"/>
      <c r="FNF101" s="285"/>
      <c r="FNG101" s="285"/>
      <c r="FNH101" s="285"/>
      <c r="FNI101" s="285"/>
      <c r="FNJ101" s="285"/>
      <c r="FNK101" s="285"/>
      <c r="FNL101" s="285"/>
      <c r="FNM101" s="285"/>
      <c r="FNN101" s="285"/>
      <c r="FNO101" s="285"/>
      <c r="FNP101" s="285"/>
      <c r="FNQ101" s="285"/>
      <c r="FNR101" s="285"/>
      <c r="FNS101" s="285"/>
      <c r="FNT101" s="285"/>
      <c r="FNU101" s="285"/>
      <c r="FNV101" s="285"/>
      <c r="FNW101" s="285"/>
      <c r="FNX101" s="285"/>
      <c r="FNY101" s="285"/>
      <c r="FNZ101" s="285"/>
      <c r="FOA101" s="285"/>
      <c r="FOB101" s="285"/>
      <c r="FOC101" s="285"/>
      <c r="FOD101" s="285"/>
      <c r="FOE101" s="285"/>
      <c r="FOF101" s="285"/>
      <c r="FOG101" s="285"/>
      <c r="FOH101" s="285"/>
      <c r="FOI101" s="285"/>
      <c r="FOJ101" s="285"/>
      <c r="FOK101" s="285"/>
      <c r="FOL101" s="285"/>
      <c r="FOM101" s="285"/>
      <c r="FON101" s="285"/>
      <c r="FOO101" s="285"/>
      <c r="FOP101" s="285"/>
      <c r="FOQ101" s="285"/>
      <c r="FOR101" s="285"/>
      <c r="FOS101" s="285"/>
      <c r="FOT101" s="285"/>
      <c r="FOU101" s="285"/>
      <c r="FOV101" s="285"/>
      <c r="FOW101" s="285"/>
      <c r="FOX101" s="285"/>
      <c r="FOY101" s="285"/>
      <c r="FOZ101" s="285"/>
      <c r="FPA101" s="285"/>
      <c r="FPB101" s="285"/>
      <c r="FPC101" s="285"/>
      <c r="FPD101" s="285"/>
      <c r="FPE101" s="285"/>
      <c r="FPF101" s="285"/>
      <c r="FPG101" s="285"/>
      <c r="FPH101" s="285"/>
      <c r="FPI101" s="285"/>
      <c r="FPJ101" s="285"/>
      <c r="FPK101" s="285"/>
      <c r="FPL101" s="285"/>
      <c r="FPM101" s="285"/>
      <c r="FPN101" s="285"/>
      <c r="FPO101" s="285"/>
      <c r="FPP101" s="285"/>
      <c r="FPQ101" s="285"/>
      <c r="FPR101" s="285"/>
      <c r="FPS101" s="285"/>
      <c r="FPT101" s="285"/>
      <c r="FPU101" s="285"/>
      <c r="FPV101" s="285"/>
      <c r="FPW101" s="285"/>
      <c r="FPX101" s="285"/>
      <c r="FPY101" s="285"/>
      <c r="FPZ101" s="285"/>
      <c r="FQA101" s="285"/>
      <c r="FQB101" s="285"/>
      <c r="FQC101" s="285"/>
      <c r="FQD101" s="285"/>
      <c r="FQE101" s="285"/>
      <c r="FQF101" s="285"/>
      <c r="FQG101" s="285"/>
      <c r="FQH101" s="285"/>
      <c r="FQI101" s="285"/>
      <c r="FQJ101" s="285"/>
      <c r="FQK101" s="285"/>
      <c r="FQL101" s="285"/>
      <c r="FQM101" s="285"/>
      <c r="FQN101" s="285"/>
      <c r="FQO101" s="285"/>
      <c r="FQP101" s="285"/>
      <c r="FQQ101" s="285"/>
      <c r="FQR101" s="285"/>
      <c r="FQS101" s="285"/>
      <c r="FQT101" s="285"/>
      <c r="FQU101" s="285"/>
      <c r="FQV101" s="285"/>
      <c r="FQW101" s="285"/>
      <c r="FQX101" s="285"/>
      <c r="FQY101" s="285"/>
      <c r="FQZ101" s="285"/>
      <c r="FRA101" s="285"/>
      <c r="FRB101" s="285"/>
      <c r="FRC101" s="285"/>
      <c r="FRD101" s="285"/>
      <c r="FRE101" s="285"/>
      <c r="FRF101" s="285"/>
      <c r="FRG101" s="285"/>
      <c r="FRH101" s="285"/>
      <c r="FRI101" s="285"/>
      <c r="FRJ101" s="285"/>
      <c r="FRK101" s="285"/>
      <c r="FRL101" s="285"/>
      <c r="FRM101" s="285"/>
      <c r="FRN101" s="285"/>
      <c r="FRO101" s="285"/>
      <c r="FRP101" s="285"/>
      <c r="FRQ101" s="285"/>
      <c r="FRR101" s="285"/>
      <c r="FRS101" s="285"/>
      <c r="FRT101" s="285"/>
      <c r="FRU101" s="285"/>
      <c r="FRV101" s="285"/>
      <c r="FRW101" s="285"/>
      <c r="FRX101" s="285"/>
      <c r="FRY101" s="285"/>
      <c r="FRZ101" s="285"/>
      <c r="FSA101" s="285"/>
      <c r="FSB101" s="285"/>
      <c r="FSC101" s="285"/>
      <c r="FSD101" s="285"/>
      <c r="FSE101" s="285"/>
      <c r="FSF101" s="285"/>
      <c r="FSG101" s="285"/>
      <c r="FSH101" s="285"/>
      <c r="FSI101" s="285"/>
      <c r="FSJ101" s="285"/>
      <c r="FSK101" s="285"/>
      <c r="FSL101" s="285"/>
      <c r="FSM101" s="285"/>
      <c r="FSN101" s="285"/>
      <c r="FSO101" s="285"/>
      <c r="FSP101" s="285"/>
      <c r="FSQ101" s="285"/>
      <c r="FSR101" s="285"/>
      <c r="FSS101" s="285"/>
      <c r="FST101" s="285"/>
      <c r="FSU101" s="285"/>
      <c r="FSV101" s="285"/>
      <c r="FSW101" s="285"/>
      <c r="FSX101" s="285"/>
      <c r="FSY101" s="285"/>
      <c r="FSZ101" s="285"/>
      <c r="FTA101" s="285"/>
      <c r="FTB101" s="285"/>
      <c r="FTC101" s="285"/>
      <c r="FTD101" s="285"/>
      <c r="FTE101" s="285"/>
      <c r="FTF101" s="285"/>
      <c r="FTG101" s="285"/>
      <c r="FTH101" s="285"/>
      <c r="FTI101" s="285"/>
      <c r="FTJ101" s="285"/>
      <c r="FTK101" s="285"/>
      <c r="FTL101" s="285"/>
      <c r="FTM101" s="285"/>
      <c r="FTN101" s="285"/>
      <c r="FTO101" s="285"/>
      <c r="FTP101" s="285"/>
      <c r="FTQ101" s="285"/>
      <c r="FTR101" s="285"/>
      <c r="FTS101" s="285"/>
      <c r="FTT101" s="285"/>
      <c r="FTU101" s="285"/>
      <c r="FTV101" s="285"/>
      <c r="FTW101" s="285"/>
      <c r="FTX101" s="285"/>
      <c r="FTY101" s="285"/>
      <c r="FTZ101" s="285"/>
      <c r="FUA101" s="285"/>
      <c r="FUB101" s="285"/>
      <c r="FUC101" s="285"/>
      <c r="FUD101" s="285"/>
      <c r="FUE101" s="285"/>
      <c r="FUF101" s="285"/>
      <c r="FUG101" s="285"/>
      <c r="FUH101" s="285"/>
      <c r="FUI101" s="285"/>
      <c r="FUJ101" s="285"/>
      <c r="FUK101" s="285"/>
      <c r="FUL101" s="285"/>
      <c r="FUM101" s="285"/>
      <c r="FUN101" s="285"/>
      <c r="FUO101" s="285"/>
      <c r="FUP101" s="285"/>
      <c r="FUQ101" s="285"/>
      <c r="FUR101" s="285"/>
      <c r="FUS101" s="285"/>
      <c r="FUT101" s="285"/>
      <c r="FUU101" s="285"/>
      <c r="FUV101" s="285"/>
      <c r="FUW101" s="285"/>
      <c r="FUX101" s="285"/>
      <c r="FUY101" s="285"/>
      <c r="FUZ101" s="285"/>
      <c r="FVA101" s="285"/>
      <c r="FVB101" s="285"/>
      <c r="FVC101" s="285"/>
      <c r="FVD101" s="285"/>
      <c r="FVE101" s="285"/>
      <c r="FVF101" s="285"/>
      <c r="FVG101" s="285"/>
      <c r="FVH101" s="285"/>
      <c r="FVI101" s="285"/>
      <c r="FVJ101" s="285"/>
      <c r="FVK101" s="285"/>
      <c r="FVL101" s="285"/>
      <c r="FVM101" s="285"/>
      <c r="FVN101" s="285"/>
      <c r="FVO101" s="285"/>
      <c r="FVP101" s="285"/>
      <c r="FVQ101" s="285"/>
      <c r="FVR101" s="285"/>
      <c r="FVS101" s="285"/>
      <c r="FVT101" s="285"/>
      <c r="FVU101" s="285"/>
      <c r="FVV101" s="285"/>
      <c r="FVW101" s="285"/>
      <c r="FVX101" s="285"/>
      <c r="FVY101" s="285"/>
      <c r="FVZ101" s="285"/>
      <c r="FWA101" s="285"/>
      <c r="FWB101" s="285"/>
      <c r="FWC101" s="285"/>
      <c r="FWD101" s="285"/>
      <c r="FWE101" s="285"/>
      <c r="FWF101" s="285"/>
      <c r="FWG101" s="285"/>
      <c r="FWH101" s="285"/>
      <c r="FWI101" s="285"/>
      <c r="FWJ101" s="285"/>
      <c r="FWK101" s="285"/>
      <c r="FWL101" s="285"/>
      <c r="FWM101" s="285"/>
      <c r="FWN101" s="285"/>
      <c r="FWO101" s="285"/>
      <c r="FWP101" s="285"/>
      <c r="FWQ101" s="285"/>
      <c r="FWR101" s="285"/>
      <c r="FWS101" s="285"/>
      <c r="FWT101" s="285"/>
      <c r="FWU101" s="285"/>
      <c r="FWV101" s="285"/>
      <c r="FWW101" s="285"/>
      <c r="FWX101" s="285"/>
      <c r="FWY101" s="285"/>
      <c r="FWZ101" s="285"/>
      <c r="FXA101" s="285"/>
      <c r="FXB101" s="285"/>
      <c r="FXC101" s="285"/>
      <c r="FXD101" s="285"/>
      <c r="FXE101" s="285"/>
      <c r="FXF101" s="285"/>
      <c r="FXG101" s="285"/>
      <c r="FXH101" s="285"/>
      <c r="FXI101" s="285"/>
      <c r="FXJ101" s="285"/>
      <c r="FXK101" s="285"/>
      <c r="FXL101" s="285"/>
      <c r="FXM101" s="285"/>
      <c r="FXN101" s="285"/>
      <c r="FXO101" s="285"/>
      <c r="FXP101" s="285"/>
      <c r="FXQ101" s="285"/>
      <c r="FXR101" s="285"/>
      <c r="FXS101" s="285"/>
      <c r="FXT101" s="285"/>
      <c r="FXU101" s="285"/>
      <c r="FXV101" s="285"/>
      <c r="FXW101" s="285"/>
      <c r="FXX101" s="285"/>
      <c r="FXY101" s="285"/>
      <c r="FXZ101" s="285"/>
      <c r="FYA101" s="285"/>
      <c r="FYB101" s="285"/>
      <c r="FYC101" s="285"/>
      <c r="FYD101" s="285"/>
      <c r="FYE101" s="285"/>
      <c r="FYF101" s="285"/>
      <c r="FYG101" s="285"/>
      <c r="FYH101" s="285"/>
      <c r="FYI101" s="285"/>
      <c r="FYJ101" s="285"/>
      <c r="FYK101" s="285"/>
      <c r="FYL101" s="285"/>
      <c r="FYM101" s="285"/>
      <c r="FYN101" s="285"/>
      <c r="FYO101" s="285"/>
      <c r="FYP101" s="285"/>
      <c r="FYQ101" s="285"/>
      <c r="FYR101" s="285"/>
      <c r="FYS101" s="285"/>
      <c r="FYT101" s="285"/>
      <c r="FYU101" s="285"/>
      <c r="FYV101" s="285"/>
      <c r="FYW101" s="285"/>
      <c r="FYX101" s="285"/>
      <c r="FYY101" s="285"/>
      <c r="FYZ101" s="285"/>
      <c r="FZA101" s="285"/>
      <c r="FZB101" s="285"/>
      <c r="FZC101" s="285"/>
      <c r="FZD101" s="285"/>
      <c r="FZE101" s="285"/>
      <c r="FZF101" s="285"/>
      <c r="FZG101" s="285"/>
      <c r="FZH101" s="285"/>
      <c r="FZI101" s="285"/>
      <c r="FZJ101" s="285"/>
      <c r="FZK101" s="285"/>
      <c r="FZL101" s="285"/>
      <c r="FZM101" s="285"/>
      <c r="FZN101" s="285"/>
      <c r="FZO101" s="285"/>
      <c r="FZP101" s="285"/>
      <c r="FZQ101" s="285"/>
      <c r="FZR101" s="285"/>
      <c r="FZS101" s="285"/>
      <c r="FZT101" s="285"/>
      <c r="FZU101" s="285"/>
      <c r="FZV101" s="285"/>
      <c r="FZW101" s="285"/>
      <c r="FZX101" s="285"/>
      <c r="FZY101" s="285"/>
      <c r="FZZ101" s="285"/>
      <c r="GAA101" s="285"/>
      <c r="GAB101" s="285"/>
      <c r="GAC101" s="285"/>
      <c r="GAD101" s="285"/>
      <c r="GAE101" s="285"/>
      <c r="GAF101" s="285"/>
      <c r="GAG101" s="285"/>
      <c r="GAH101" s="285"/>
      <c r="GAI101" s="285"/>
      <c r="GAJ101" s="285"/>
      <c r="GAK101" s="285"/>
      <c r="GAL101" s="285"/>
      <c r="GAM101" s="285"/>
      <c r="GAN101" s="285"/>
      <c r="GAO101" s="285"/>
      <c r="GAP101" s="285"/>
      <c r="GAQ101" s="285"/>
      <c r="GAR101" s="285"/>
      <c r="GAS101" s="285"/>
      <c r="GAT101" s="285"/>
      <c r="GAU101" s="285"/>
      <c r="GAV101" s="285"/>
      <c r="GAW101" s="285"/>
      <c r="GAX101" s="285"/>
      <c r="GAY101" s="285"/>
      <c r="GAZ101" s="285"/>
      <c r="GBA101" s="285"/>
      <c r="GBB101" s="285"/>
      <c r="GBC101" s="285"/>
      <c r="GBD101" s="285"/>
      <c r="GBE101" s="285"/>
      <c r="GBF101" s="285"/>
      <c r="GBG101" s="285"/>
      <c r="GBH101" s="285"/>
      <c r="GBI101" s="285"/>
      <c r="GBJ101" s="285"/>
      <c r="GBK101" s="285"/>
      <c r="GBL101" s="285"/>
      <c r="GBM101" s="285"/>
      <c r="GBN101" s="285"/>
      <c r="GBO101" s="285"/>
      <c r="GBP101" s="285"/>
      <c r="GBQ101" s="285"/>
      <c r="GBR101" s="285"/>
      <c r="GBS101" s="285"/>
      <c r="GBT101" s="285"/>
      <c r="GBU101" s="285"/>
      <c r="GBV101" s="285"/>
      <c r="GBW101" s="285"/>
      <c r="GBX101" s="285"/>
      <c r="GBY101" s="285"/>
      <c r="GBZ101" s="285"/>
      <c r="GCA101" s="285"/>
      <c r="GCB101" s="285"/>
      <c r="GCC101" s="285"/>
      <c r="GCD101" s="285"/>
      <c r="GCE101" s="285"/>
      <c r="GCF101" s="285"/>
      <c r="GCG101" s="285"/>
      <c r="GCH101" s="285"/>
      <c r="GCI101" s="285"/>
      <c r="GCJ101" s="285"/>
      <c r="GCK101" s="285"/>
      <c r="GCL101" s="285"/>
      <c r="GCM101" s="285"/>
      <c r="GCN101" s="285"/>
      <c r="GCO101" s="285"/>
      <c r="GCP101" s="285"/>
      <c r="GCQ101" s="285"/>
      <c r="GCR101" s="285"/>
      <c r="GCS101" s="285"/>
      <c r="GCT101" s="285"/>
      <c r="GCU101" s="285"/>
      <c r="GCV101" s="285"/>
      <c r="GCW101" s="285"/>
      <c r="GCX101" s="285"/>
      <c r="GCY101" s="285"/>
      <c r="GCZ101" s="285"/>
      <c r="GDA101" s="285"/>
      <c r="GDB101" s="285"/>
      <c r="GDC101" s="285"/>
      <c r="GDD101" s="285"/>
      <c r="GDE101" s="285"/>
      <c r="GDF101" s="285"/>
      <c r="GDG101" s="285"/>
      <c r="GDH101" s="285"/>
      <c r="GDI101" s="285"/>
      <c r="GDJ101" s="285"/>
      <c r="GDK101" s="285"/>
      <c r="GDL101" s="285"/>
      <c r="GDM101" s="285"/>
      <c r="GDN101" s="285"/>
      <c r="GDO101" s="285"/>
      <c r="GDP101" s="285"/>
      <c r="GDQ101" s="285"/>
      <c r="GDR101" s="285"/>
      <c r="GDS101" s="285"/>
      <c r="GDT101" s="285"/>
      <c r="GDU101" s="285"/>
      <c r="GDV101" s="285"/>
      <c r="GDW101" s="285"/>
      <c r="GDX101" s="285"/>
      <c r="GDY101" s="285"/>
      <c r="GDZ101" s="285"/>
      <c r="GEA101" s="285"/>
      <c r="GEB101" s="285"/>
      <c r="GEC101" s="285"/>
      <c r="GED101" s="285"/>
      <c r="GEE101" s="285"/>
      <c r="GEF101" s="285"/>
      <c r="GEG101" s="285"/>
      <c r="GEH101" s="285"/>
      <c r="GEI101" s="285"/>
      <c r="GEJ101" s="285"/>
      <c r="GEK101" s="285"/>
      <c r="GEL101" s="285"/>
      <c r="GEM101" s="285"/>
      <c r="GEN101" s="285"/>
      <c r="GEO101" s="285"/>
      <c r="GEP101" s="285"/>
      <c r="GEQ101" s="285"/>
      <c r="GER101" s="285"/>
      <c r="GES101" s="285"/>
      <c r="GET101" s="285"/>
      <c r="GEU101" s="285"/>
      <c r="GEV101" s="285"/>
      <c r="GEW101" s="285"/>
      <c r="GEX101" s="285"/>
      <c r="GEY101" s="285"/>
      <c r="GEZ101" s="285"/>
      <c r="GFA101" s="285"/>
      <c r="GFB101" s="285"/>
      <c r="GFC101" s="285"/>
      <c r="GFD101" s="285"/>
      <c r="GFE101" s="285"/>
      <c r="GFF101" s="285"/>
      <c r="GFG101" s="285"/>
      <c r="GFH101" s="285"/>
      <c r="GFI101" s="285"/>
      <c r="GFJ101" s="285"/>
      <c r="GFK101" s="285"/>
      <c r="GFL101" s="285"/>
      <c r="GFM101" s="285"/>
      <c r="GFN101" s="285"/>
      <c r="GFO101" s="285"/>
      <c r="GFP101" s="285"/>
      <c r="GFQ101" s="285"/>
      <c r="GFR101" s="285"/>
      <c r="GFS101" s="285"/>
      <c r="GFT101" s="285"/>
      <c r="GFU101" s="285"/>
      <c r="GFV101" s="285"/>
      <c r="GFW101" s="285"/>
      <c r="GFX101" s="285"/>
      <c r="GFY101" s="285"/>
      <c r="GFZ101" s="285"/>
      <c r="GGA101" s="285"/>
      <c r="GGB101" s="285"/>
      <c r="GGC101" s="285"/>
      <c r="GGD101" s="285"/>
      <c r="GGE101" s="285"/>
      <c r="GGF101" s="285"/>
      <c r="GGG101" s="285"/>
      <c r="GGH101" s="285"/>
      <c r="GGI101" s="285"/>
      <c r="GGJ101" s="285"/>
      <c r="GGK101" s="285"/>
      <c r="GGL101" s="285"/>
      <c r="GGM101" s="285"/>
      <c r="GGN101" s="285"/>
      <c r="GGO101" s="285"/>
      <c r="GGP101" s="285"/>
      <c r="GGQ101" s="285"/>
      <c r="GGR101" s="285"/>
      <c r="GGS101" s="285"/>
      <c r="GGT101" s="285"/>
      <c r="GGU101" s="285"/>
      <c r="GGV101" s="285"/>
      <c r="GGW101" s="285"/>
      <c r="GGX101" s="285"/>
      <c r="GGY101" s="285"/>
      <c r="GGZ101" s="285"/>
      <c r="GHA101" s="285"/>
      <c r="GHB101" s="285"/>
      <c r="GHC101" s="285"/>
      <c r="GHD101" s="285"/>
      <c r="GHE101" s="285"/>
      <c r="GHF101" s="285"/>
      <c r="GHG101" s="285"/>
      <c r="GHH101" s="285"/>
      <c r="GHI101" s="285"/>
      <c r="GHJ101" s="285"/>
      <c r="GHK101" s="285"/>
      <c r="GHL101" s="285"/>
      <c r="GHM101" s="285"/>
      <c r="GHN101" s="285"/>
      <c r="GHO101" s="285"/>
      <c r="GHP101" s="285"/>
      <c r="GHQ101" s="285"/>
      <c r="GHR101" s="285"/>
      <c r="GHS101" s="285"/>
      <c r="GHT101" s="285"/>
      <c r="GHU101" s="285"/>
      <c r="GHV101" s="285"/>
      <c r="GHW101" s="285"/>
      <c r="GHX101" s="285"/>
      <c r="GHY101" s="285"/>
      <c r="GHZ101" s="285"/>
      <c r="GIA101" s="285"/>
      <c r="GIB101" s="285"/>
      <c r="GIC101" s="285"/>
      <c r="GID101" s="285"/>
      <c r="GIE101" s="285"/>
      <c r="GIF101" s="285"/>
      <c r="GIG101" s="285"/>
      <c r="GIH101" s="285"/>
      <c r="GII101" s="285"/>
      <c r="GIJ101" s="285"/>
      <c r="GIK101" s="285"/>
      <c r="GIL101" s="285"/>
      <c r="GIM101" s="285"/>
      <c r="GIN101" s="285"/>
      <c r="GIO101" s="285"/>
      <c r="GIP101" s="285"/>
      <c r="GIQ101" s="285"/>
      <c r="GIR101" s="285"/>
      <c r="GIS101" s="285"/>
      <c r="GIT101" s="285"/>
      <c r="GIU101" s="285"/>
      <c r="GIV101" s="285"/>
      <c r="GIW101" s="285"/>
      <c r="GIX101" s="285"/>
      <c r="GIY101" s="285"/>
      <c r="GIZ101" s="285"/>
      <c r="GJA101" s="285"/>
      <c r="GJB101" s="285"/>
      <c r="GJC101" s="285"/>
      <c r="GJD101" s="285"/>
      <c r="GJE101" s="285"/>
      <c r="GJF101" s="285"/>
      <c r="GJG101" s="285"/>
      <c r="GJH101" s="285"/>
      <c r="GJI101" s="285"/>
      <c r="GJJ101" s="285"/>
      <c r="GJK101" s="285"/>
      <c r="GJL101" s="285"/>
      <c r="GJM101" s="285"/>
      <c r="GJN101" s="285"/>
      <c r="GJO101" s="285"/>
      <c r="GJP101" s="285"/>
      <c r="GJQ101" s="285"/>
      <c r="GJR101" s="285"/>
      <c r="GJS101" s="285"/>
      <c r="GJT101" s="285"/>
      <c r="GJU101" s="285"/>
      <c r="GJV101" s="285"/>
      <c r="GJW101" s="285"/>
      <c r="GJX101" s="285"/>
      <c r="GJY101" s="285"/>
      <c r="GJZ101" s="285"/>
      <c r="GKA101" s="285"/>
      <c r="GKB101" s="285"/>
      <c r="GKC101" s="285"/>
      <c r="GKD101" s="285"/>
      <c r="GKE101" s="285"/>
      <c r="GKF101" s="285"/>
      <c r="GKG101" s="285"/>
      <c r="GKH101" s="285"/>
      <c r="GKI101" s="285"/>
      <c r="GKJ101" s="285"/>
      <c r="GKK101" s="285"/>
      <c r="GKL101" s="285"/>
      <c r="GKM101" s="285"/>
      <c r="GKN101" s="285"/>
      <c r="GKO101" s="285"/>
      <c r="GKP101" s="285"/>
      <c r="GKQ101" s="285"/>
      <c r="GKR101" s="285"/>
      <c r="GKS101" s="285"/>
      <c r="GKT101" s="285"/>
      <c r="GKU101" s="285"/>
      <c r="GKV101" s="285"/>
      <c r="GKW101" s="285"/>
      <c r="GKX101" s="285"/>
      <c r="GKY101" s="285"/>
      <c r="GKZ101" s="285"/>
      <c r="GLA101" s="285"/>
      <c r="GLB101" s="285"/>
      <c r="GLC101" s="285"/>
      <c r="GLD101" s="285"/>
      <c r="GLE101" s="285"/>
      <c r="GLF101" s="285"/>
      <c r="GLG101" s="285"/>
      <c r="GLH101" s="285"/>
      <c r="GLI101" s="285"/>
      <c r="GLJ101" s="285"/>
      <c r="GLK101" s="285"/>
      <c r="GLL101" s="285"/>
      <c r="GLM101" s="285"/>
      <c r="GLN101" s="285"/>
      <c r="GLO101" s="285"/>
      <c r="GLP101" s="285"/>
      <c r="GLQ101" s="285"/>
      <c r="GLR101" s="285"/>
      <c r="GLS101" s="285"/>
      <c r="GLT101" s="285"/>
      <c r="GLU101" s="285"/>
      <c r="GLV101" s="285"/>
      <c r="GLW101" s="285"/>
      <c r="GLX101" s="285"/>
      <c r="GLY101" s="285"/>
      <c r="GLZ101" s="285"/>
      <c r="GMA101" s="285"/>
      <c r="GMB101" s="285"/>
      <c r="GMC101" s="285"/>
      <c r="GMD101" s="285"/>
      <c r="GME101" s="285"/>
      <c r="GMF101" s="285"/>
      <c r="GMG101" s="285"/>
      <c r="GMH101" s="285"/>
      <c r="GMI101" s="285"/>
      <c r="GMJ101" s="285"/>
      <c r="GMK101" s="285"/>
      <c r="GML101" s="285"/>
      <c r="GMM101" s="285"/>
      <c r="GMN101" s="285"/>
      <c r="GMO101" s="285"/>
      <c r="GMP101" s="285"/>
      <c r="GMQ101" s="285"/>
      <c r="GMR101" s="285"/>
      <c r="GMS101" s="285"/>
      <c r="GMT101" s="285"/>
      <c r="GMU101" s="285"/>
      <c r="GMV101" s="285"/>
      <c r="GMW101" s="285"/>
      <c r="GMX101" s="285"/>
      <c r="GMY101" s="285"/>
      <c r="GMZ101" s="285"/>
      <c r="GNA101" s="285"/>
      <c r="GNB101" s="285"/>
      <c r="GNC101" s="285"/>
      <c r="GND101" s="285"/>
      <c r="GNE101" s="285"/>
      <c r="GNF101" s="285"/>
      <c r="GNG101" s="285"/>
      <c r="GNH101" s="285"/>
      <c r="GNI101" s="285"/>
      <c r="GNJ101" s="285"/>
      <c r="GNK101" s="285"/>
      <c r="GNL101" s="285"/>
      <c r="GNM101" s="285"/>
      <c r="GNN101" s="285"/>
      <c r="GNO101" s="285"/>
      <c r="GNP101" s="285"/>
      <c r="GNQ101" s="285"/>
      <c r="GNR101" s="285"/>
      <c r="GNS101" s="285"/>
      <c r="GNT101" s="285"/>
      <c r="GNU101" s="285"/>
      <c r="GNV101" s="285"/>
      <c r="GNW101" s="285"/>
      <c r="GNX101" s="285"/>
      <c r="GNY101" s="285"/>
      <c r="GNZ101" s="285"/>
      <c r="GOA101" s="285"/>
      <c r="GOB101" s="285"/>
      <c r="GOC101" s="285"/>
      <c r="GOD101" s="285"/>
      <c r="GOE101" s="285"/>
      <c r="GOF101" s="285"/>
      <c r="GOG101" s="285"/>
      <c r="GOH101" s="285"/>
      <c r="GOI101" s="285"/>
      <c r="GOJ101" s="285"/>
      <c r="GOK101" s="285"/>
      <c r="GOL101" s="285"/>
      <c r="GOM101" s="285"/>
      <c r="GON101" s="285"/>
      <c r="GOO101" s="285"/>
      <c r="GOP101" s="285"/>
      <c r="GOQ101" s="285"/>
      <c r="GOR101" s="285"/>
      <c r="GOS101" s="285"/>
      <c r="GOT101" s="285"/>
      <c r="GOU101" s="285"/>
      <c r="GOV101" s="285"/>
      <c r="GOW101" s="285"/>
      <c r="GOX101" s="285"/>
      <c r="GOY101" s="285"/>
      <c r="GOZ101" s="285"/>
      <c r="GPA101" s="285"/>
      <c r="GPB101" s="285"/>
      <c r="GPC101" s="285"/>
      <c r="GPD101" s="285"/>
      <c r="GPE101" s="285"/>
      <c r="GPF101" s="285"/>
      <c r="GPG101" s="285"/>
      <c r="GPH101" s="285"/>
      <c r="GPI101" s="285"/>
      <c r="GPJ101" s="285"/>
      <c r="GPK101" s="285"/>
      <c r="GPL101" s="285"/>
      <c r="GPM101" s="285"/>
      <c r="GPN101" s="285"/>
      <c r="GPO101" s="285"/>
      <c r="GPP101" s="285"/>
      <c r="GPQ101" s="285"/>
      <c r="GPR101" s="285"/>
      <c r="GPS101" s="285"/>
      <c r="GPT101" s="285"/>
      <c r="GPU101" s="285"/>
      <c r="GPV101" s="285"/>
      <c r="GPW101" s="285"/>
      <c r="GPX101" s="285"/>
      <c r="GPY101" s="285"/>
      <c r="GPZ101" s="285"/>
      <c r="GQA101" s="285"/>
      <c r="GQB101" s="285"/>
      <c r="GQC101" s="285"/>
      <c r="GQD101" s="285"/>
      <c r="GQE101" s="285"/>
      <c r="GQF101" s="285"/>
      <c r="GQG101" s="285"/>
      <c r="GQH101" s="285"/>
      <c r="GQI101" s="285"/>
      <c r="GQJ101" s="285"/>
      <c r="GQK101" s="285"/>
      <c r="GQL101" s="285"/>
      <c r="GQM101" s="285"/>
      <c r="GQN101" s="285"/>
      <c r="GQO101" s="285"/>
      <c r="GQP101" s="285"/>
      <c r="GQQ101" s="285"/>
      <c r="GQR101" s="285"/>
      <c r="GQS101" s="285"/>
      <c r="GQT101" s="285"/>
      <c r="GQU101" s="285"/>
      <c r="GQV101" s="285"/>
      <c r="GQW101" s="285"/>
      <c r="GQX101" s="285"/>
      <c r="GQY101" s="285"/>
      <c r="GQZ101" s="285"/>
      <c r="GRA101" s="285"/>
      <c r="GRB101" s="285"/>
      <c r="GRC101" s="285"/>
      <c r="GRD101" s="285"/>
      <c r="GRE101" s="285"/>
      <c r="GRF101" s="285"/>
      <c r="GRG101" s="285"/>
      <c r="GRH101" s="285"/>
      <c r="GRI101" s="285"/>
      <c r="GRJ101" s="285"/>
      <c r="GRK101" s="285"/>
      <c r="GRL101" s="285"/>
      <c r="GRM101" s="285"/>
      <c r="GRN101" s="285"/>
      <c r="GRO101" s="285"/>
      <c r="GRP101" s="285"/>
      <c r="GRQ101" s="285"/>
      <c r="GRR101" s="285"/>
      <c r="GRS101" s="285"/>
      <c r="GRT101" s="285"/>
      <c r="GRU101" s="285"/>
      <c r="GRV101" s="285"/>
      <c r="GRW101" s="285"/>
      <c r="GRX101" s="285"/>
      <c r="GRY101" s="285"/>
      <c r="GRZ101" s="285"/>
      <c r="GSA101" s="285"/>
      <c r="GSB101" s="285"/>
      <c r="GSC101" s="285"/>
      <c r="GSD101" s="285"/>
      <c r="GSE101" s="285"/>
      <c r="GSF101" s="285"/>
      <c r="GSG101" s="285"/>
      <c r="GSH101" s="285"/>
      <c r="GSI101" s="285"/>
      <c r="GSJ101" s="285"/>
      <c r="GSK101" s="285"/>
      <c r="GSL101" s="285"/>
      <c r="GSM101" s="285"/>
      <c r="GSN101" s="285"/>
      <c r="GSO101" s="285"/>
      <c r="GSP101" s="285"/>
      <c r="GSQ101" s="285"/>
      <c r="GSR101" s="285"/>
      <c r="GSS101" s="285"/>
      <c r="GST101" s="285"/>
      <c r="GSU101" s="285"/>
      <c r="GSV101" s="285"/>
      <c r="GSW101" s="285"/>
      <c r="GSX101" s="285"/>
      <c r="GSY101" s="285"/>
      <c r="GSZ101" s="285"/>
      <c r="GTA101" s="285"/>
      <c r="GTB101" s="285"/>
      <c r="GTC101" s="285"/>
      <c r="GTD101" s="285"/>
      <c r="GTE101" s="285"/>
      <c r="GTF101" s="285"/>
      <c r="GTG101" s="285"/>
      <c r="GTH101" s="285"/>
      <c r="GTI101" s="285"/>
      <c r="GTJ101" s="285"/>
      <c r="GTK101" s="285"/>
      <c r="GTL101" s="285"/>
      <c r="GTM101" s="285"/>
      <c r="GTN101" s="285"/>
      <c r="GTO101" s="285"/>
      <c r="GTP101" s="285"/>
      <c r="GTQ101" s="285"/>
      <c r="GTR101" s="285"/>
      <c r="GTS101" s="285"/>
      <c r="GTT101" s="285"/>
      <c r="GTU101" s="285"/>
      <c r="GTV101" s="285"/>
      <c r="GTW101" s="285"/>
      <c r="GTX101" s="285"/>
      <c r="GTY101" s="285"/>
      <c r="GTZ101" s="285"/>
      <c r="GUA101" s="285"/>
      <c r="GUB101" s="285"/>
      <c r="GUC101" s="285"/>
      <c r="GUD101" s="285"/>
      <c r="GUE101" s="285"/>
      <c r="GUF101" s="285"/>
      <c r="GUG101" s="285"/>
      <c r="GUH101" s="285"/>
      <c r="GUI101" s="285"/>
      <c r="GUJ101" s="285"/>
      <c r="GUK101" s="285"/>
      <c r="GUL101" s="285"/>
      <c r="GUM101" s="285"/>
      <c r="GUN101" s="285"/>
      <c r="GUO101" s="285"/>
      <c r="GUP101" s="285"/>
      <c r="GUQ101" s="285"/>
      <c r="GUR101" s="285"/>
      <c r="GUS101" s="285"/>
      <c r="GUT101" s="285"/>
      <c r="GUU101" s="285"/>
      <c r="GUV101" s="285"/>
      <c r="GUW101" s="285"/>
      <c r="GUX101" s="285"/>
      <c r="GUY101" s="285"/>
      <c r="GUZ101" s="285"/>
      <c r="GVA101" s="285"/>
      <c r="GVB101" s="285"/>
      <c r="GVC101" s="285"/>
      <c r="GVD101" s="285"/>
      <c r="GVE101" s="285"/>
      <c r="GVF101" s="285"/>
      <c r="GVG101" s="285"/>
      <c r="GVH101" s="285"/>
      <c r="GVI101" s="285"/>
      <c r="GVJ101" s="285"/>
      <c r="GVK101" s="285"/>
      <c r="GVL101" s="285"/>
      <c r="GVM101" s="285"/>
      <c r="GVN101" s="285"/>
      <c r="GVO101" s="285"/>
      <c r="GVP101" s="285"/>
      <c r="GVQ101" s="285"/>
      <c r="GVR101" s="285"/>
      <c r="GVS101" s="285"/>
      <c r="GVT101" s="285"/>
      <c r="GVU101" s="285"/>
      <c r="GVV101" s="285"/>
      <c r="GVW101" s="285"/>
      <c r="GVX101" s="285"/>
      <c r="GVY101" s="285"/>
      <c r="GVZ101" s="285"/>
      <c r="GWA101" s="285"/>
      <c r="GWB101" s="285"/>
      <c r="GWC101" s="285"/>
      <c r="GWD101" s="285"/>
      <c r="GWE101" s="285"/>
      <c r="GWF101" s="285"/>
      <c r="GWG101" s="285"/>
      <c r="GWH101" s="285"/>
      <c r="GWI101" s="285"/>
      <c r="GWJ101" s="285"/>
      <c r="GWK101" s="285"/>
      <c r="GWL101" s="285"/>
      <c r="GWM101" s="285"/>
      <c r="GWN101" s="285"/>
      <c r="GWO101" s="285"/>
      <c r="GWP101" s="285"/>
      <c r="GWQ101" s="285"/>
      <c r="GWR101" s="285"/>
      <c r="GWS101" s="285"/>
      <c r="GWT101" s="285"/>
      <c r="GWU101" s="285"/>
      <c r="GWV101" s="285"/>
      <c r="GWW101" s="285"/>
      <c r="GWX101" s="285"/>
      <c r="GWY101" s="285"/>
      <c r="GWZ101" s="285"/>
      <c r="GXA101" s="285"/>
      <c r="GXB101" s="285"/>
      <c r="GXC101" s="285"/>
      <c r="GXD101" s="285"/>
      <c r="GXE101" s="285"/>
      <c r="GXF101" s="285"/>
      <c r="GXG101" s="285"/>
      <c r="GXH101" s="285"/>
      <c r="GXI101" s="285"/>
      <c r="GXJ101" s="285"/>
      <c r="GXK101" s="285"/>
      <c r="GXL101" s="285"/>
      <c r="GXM101" s="285"/>
      <c r="GXN101" s="285"/>
      <c r="GXO101" s="285"/>
      <c r="GXP101" s="285"/>
      <c r="GXQ101" s="285"/>
      <c r="GXR101" s="285"/>
      <c r="GXS101" s="285"/>
      <c r="GXT101" s="285"/>
      <c r="GXU101" s="285"/>
      <c r="GXV101" s="285"/>
      <c r="GXW101" s="285"/>
      <c r="GXX101" s="285"/>
      <c r="GXY101" s="285"/>
      <c r="GXZ101" s="285"/>
      <c r="GYA101" s="285"/>
      <c r="GYB101" s="285"/>
      <c r="GYC101" s="285"/>
      <c r="GYD101" s="285"/>
      <c r="GYE101" s="285"/>
      <c r="GYF101" s="285"/>
      <c r="GYG101" s="285"/>
      <c r="GYH101" s="285"/>
      <c r="GYI101" s="285"/>
      <c r="GYJ101" s="285"/>
      <c r="GYK101" s="285"/>
      <c r="GYL101" s="285"/>
      <c r="GYM101" s="285"/>
      <c r="GYN101" s="285"/>
      <c r="GYO101" s="285"/>
      <c r="GYP101" s="285"/>
      <c r="GYQ101" s="285"/>
      <c r="GYR101" s="285"/>
      <c r="GYS101" s="285"/>
      <c r="GYT101" s="285"/>
      <c r="GYU101" s="285"/>
      <c r="GYV101" s="285"/>
      <c r="GYW101" s="285"/>
      <c r="GYX101" s="285"/>
      <c r="GYY101" s="285"/>
      <c r="GYZ101" s="285"/>
      <c r="GZA101" s="285"/>
      <c r="GZB101" s="285"/>
      <c r="GZC101" s="285"/>
      <c r="GZD101" s="285"/>
      <c r="GZE101" s="285"/>
      <c r="GZF101" s="285"/>
      <c r="GZG101" s="285"/>
      <c r="GZH101" s="285"/>
      <c r="GZI101" s="285"/>
      <c r="GZJ101" s="285"/>
      <c r="GZK101" s="285"/>
      <c r="GZL101" s="285"/>
      <c r="GZM101" s="285"/>
      <c r="GZN101" s="285"/>
      <c r="GZO101" s="285"/>
      <c r="GZP101" s="285"/>
      <c r="GZQ101" s="285"/>
      <c r="GZR101" s="285"/>
      <c r="GZS101" s="285"/>
      <c r="GZT101" s="285"/>
      <c r="GZU101" s="285"/>
      <c r="GZV101" s="285"/>
      <c r="GZW101" s="285"/>
      <c r="GZX101" s="285"/>
      <c r="GZY101" s="285"/>
      <c r="GZZ101" s="285"/>
      <c r="HAA101" s="285"/>
      <c r="HAB101" s="285"/>
      <c r="HAC101" s="285"/>
      <c r="HAD101" s="285"/>
      <c r="HAE101" s="285"/>
      <c r="HAF101" s="285"/>
      <c r="HAG101" s="285"/>
      <c r="HAH101" s="285"/>
      <c r="HAI101" s="285"/>
      <c r="HAJ101" s="285"/>
      <c r="HAK101" s="285"/>
      <c r="HAL101" s="285"/>
      <c r="HAM101" s="285"/>
      <c r="HAN101" s="285"/>
      <c r="HAO101" s="285"/>
      <c r="HAP101" s="285"/>
      <c r="HAQ101" s="285"/>
      <c r="HAR101" s="285"/>
      <c r="HAS101" s="285"/>
      <c r="HAT101" s="285"/>
      <c r="HAU101" s="285"/>
      <c r="HAV101" s="285"/>
      <c r="HAW101" s="285"/>
      <c r="HAX101" s="285"/>
      <c r="HAY101" s="285"/>
      <c r="HAZ101" s="285"/>
      <c r="HBA101" s="285"/>
      <c r="HBB101" s="285"/>
      <c r="HBC101" s="285"/>
      <c r="HBD101" s="285"/>
      <c r="HBE101" s="285"/>
      <c r="HBF101" s="285"/>
      <c r="HBG101" s="285"/>
      <c r="HBH101" s="285"/>
      <c r="HBI101" s="285"/>
      <c r="HBJ101" s="285"/>
      <c r="HBK101" s="285"/>
      <c r="HBL101" s="285"/>
      <c r="HBM101" s="285"/>
      <c r="HBN101" s="285"/>
      <c r="HBO101" s="285"/>
      <c r="HBP101" s="285"/>
      <c r="HBQ101" s="285"/>
      <c r="HBR101" s="285"/>
      <c r="HBS101" s="285"/>
      <c r="HBT101" s="285"/>
      <c r="HBU101" s="285"/>
      <c r="HBV101" s="285"/>
      <c r="HBW101" s="285"/>
      <c r="HBX101" s="285"/>
      <c r="HBY101" s="285"/>
      <c r="HBZ101" s="285"/>
      <c r="HCA101" s="285"/>
      <c r="HCB101" s="285"/>
      <c r="HCC101" s="285"/>
      <c r="HCD101" s="285"/>
      <c r="HCE101" s="285"/>
      <c r="HCF101" s="285"/>
      <c r="HCG101" s="285"/>
      <c r="HCH101" s="285"/>
      <c r="HCI101" s="285"/>
      <c r="HCJ101" s="285"/>
      <c r="HCK101" s="285"/>
      <c r="HCL101" s="285"/>
      <c r="HCM101" s="285"/>
      <c r="HCN101" s="285"/>
      <c r="HCO101" s="285"/>
      <c r="HCP101" s="285"/>
      <c r="HCQ101" s="285"/>
      <c r="HCR101" s="285"/>
      <c r="HCS101" s="285"/>
      <c r="HCT101" s="285"/>
      <c r="HCU101" s="285"/>
      <c r="HCV101" s="285"/>
      <c r="HCW101" s="285"/>
      <c r="HCX101" s="285"/>
      <c r="HCY101" s="285"/>
      <c r="HCZ101" s="285"/>
      <c r="HDA101" s="285"/>
      <c r="HDB101" s="285"/>
      <c r="HDC101" s="285"/>
      <c r="HDD101" s="285"/>
      <c r="HDE101" s="285"/>
      <c r="HDF101" s="285"/>
      <c r="HDG101" s="285"/>
      <c r="HDH101" s="285"/>
      <c r="HDI101" s="285"/>
      <c r="HDJ101" s="285"/>
      <c r="HDK101" s="285"/>
      <c r="HDL101" s="285"/>
      <c r="HDM101" s="285"/>
      <c r="HDN101" s="285"/>
      <c r="HDO101" s="285"/>
      <c r="HDP101" s="285"/>
      <c r="HDQ101" s="285"/>
      <c r="HDR101" s="285"/>
      <c r="HDS101" s="285"/>
      <c r="HDT101" s="285"/>
      <c r="HDU101" s="285"/>
      <c r="HDV101" s="285"/>
      <c r="HDW101" s="285"/>
      <c r="HDX101" s="285"/>
      <c r="HDY101" s="285"/>
      <c r="HDZ101" s="285"/>
      <c r="HEA101" s="285"/>
      <c r="HEB101" s="285"/>
      <c r="HEC101" s="285"/>
      <c r="HED101" s="285"/>
      <c r="HEE101" s="285"/>
      <c r="HEF101" s="285"/>
      <c r="HEG101" s="285"/>
      <c r="HEH101" s="285"/>
      <c r="HEI101" s="285"/>
      <c r="HEJ101" s="285"/>
      <c r="HEK101" s="285"/>
      <c r="HEL101" s="285"/>
      <c r="HEM101" s="285"/>
      <c r="HEN101" s="285"/>
      <c r="HEO101" s="285"/>
      <c r="HEP101" s="285"/>
      <c r="HEQ101" s="285"/>
      <c r="HER101" s="285"/>
      <c r="HES101" s="285"/>
      <c r="HET101" s="285"/>
      <c r="HEU101" s="285"/>
      <c r="HEV101" s="285"/>
      <c r="HEW101" s="285"/>
      <c r="HEX101" s="285"/>
      <c r="HEY101" s="285"/>
      <c r="HEZ101" s="285"/>
      <c r="HFA101" s="285"/>
      <c r="HFB101" s="285"/>
      <c r="HFC101" s="285"/>
      <c r="HFD101" s="285"/>
      <c r="HFE101" s="285"/>
      <c r="HFF101" s="285"/>
      <c r="HFG101" s="285"/>
      <c r="HFH101" s="285"/>
      <c r="HFI101" s="285"/>
      <c r="HFJ101" s="285"/>
      <c r="HFK101" s="285"/>
      <c r="HFL101" s="285"/>
      <c r="HFM101" s="285"/>
      <c r="HFN101" s="285"/>
      <c r="HFO101" s="285"/>
      <c r="HFP101" s="285"/>
      <c r="HFQ101" s="285"/>
      <c r="HFR101" s="285"/>
      <c r="HFS101" s="285"/>
      <c r="HFT101" s="285"/>
      <c r="HFU101" s="285"/>
      <c r="HFV101" s="285"/>
      <c r="HFW101" s="285"/>
      <c r="HFX101" s="285"/>
      <c r="HFY101" s="285"/>
      <c r="HFZ101" s="285"/>
      <c r="HGA101" s="285"/>
      <c r="HGB101" s="285"/>
      <c r="HGC101" s="285"/>
      <c r="HGD101" s="285"/>
      <c r="HGE101" s="285"/>
      <c r="HGF101" s="285"/>
      <c r="HGG101" s="285"/>
      <c r="HGH101" s="285"/>
      <c r="HGI101" s="285"/>
      <c r="HGJ101" s="285"/>
      <c r="HGK101" s="285"/>
      <c r="HGL101" s="285"/>
      <c r="HGM101" s="285"/>
      <c r="HGN101" s="285"/>
      <c r="HGO101" s="285"/>
      <c r="HGP101" s="285"/>
      <c r="HGQ101" s="285"/>
      <c r="HGR101" s="285"/>
      <c r="HGS101" s="285"/>
      <c r="HGT101" s="285"/>
      <c r="HGU101" s="285"/>
      <c r="HGV101" s="285"/>
      <c r="HGW101" s="285"/>
      <c r="HGX101" s="285"/>
      <c r="HGY101" s="285"/>
      <c r="HGZ101" s="285"/>
      <c r="HHA101" s="285"/>
      <c r="HHB101" s="285"/>
      <c r="HHC101" s="285"/>
      <c r="HHD101" s="285"/>
      <c r="HHE101" s="285"/>
      <c r="HHF101" s="285"/>
      <c r="HHG101" s="285"/>
      <c r="HHH101" s="285"/>
      <c r="HHI101" s="285"/>
      <c r="HHJ101" s="285"/>
      <c r="HHK101" s="285"/>
      <c r="HHL101" s="285"/>
      <c r="HHM101" s="285"/>
      <c r="HHN101" s="285"/>
      <c r="HHO101" s="285"/>
      <c r="HHP101" s="285"/>
      <c r="HHQ101" s="285"/>
      <c r="HHR101" s="285"/>
      <c r="HHS101" s="285"/>
      <c r="HHT101" s="285"/>
      <c r="HHU101" s="285"/>
      <c r="HHV101" s="285"/>
      <c r="HHW101" s="285"/>
      <c r="HHX101" s="285"/>
      <c r="HHY101" s="285"/>
      <c r="HHZ101" s="285"/>
      <c r="HIA101" s="285"/>
      <c r="HIB101" s="285"/>
      <c r="HIC101" s="285"/>
      <c r="HID101" s="285"/>
      <c r="HIE101" s="285"/>
      <c r="HIF101" s="285"/>
      <c r="HIG101" s="285"/>
      <c r="HIH101" s="285"/>
      <c r="HII101" s="285"/>
      <c r="HIJ101" s="285"/>
      <c r="HIK101" s="285"/>
      <c r="HIL101" s="285"/>
      <c r="HIM101" s="285"/>
      <c r="HIN101" s="285"/>
      <c r="HIO101" s="285"/>
      <c r="HIP101" s="285"/>
      <c r="HIQ101" s="285"/>
      <c r="HIR101" s="285"/>
      <c r="HIS101" s="285"/>
      <c r="HIT101" s="285"/>
      <c r="HIU101" s="285"/>
      <c r="HIV101" s="285"/>
      <c r="HIW101" s="285"/>
      <c r="HIX101" s="285"/>
      <c r="HIY101" s="285"/>
      <c r="HIZ101" s="285"/>
      <c r="HJA101" s="285"/>
      <c r="HJB101" s="285"/>
      <c r="HJC101" s="285"/>
      <c r="HJD101" s="285"/>
      <c r="HJE101" s="285"/>
      <c r="HJF101" s="285"/>
      <c r="HJG101" s="285"/>
      <c r="HJH101" s="285"/>
      <c r="HJI101" s="285"/>
      <c r="HJJ101" s="285"/>
      <c r="HJK101" s="285"/>
      <c r="HJL101" s="285"/>
      <c r="HJM101" s="285"/>
      <c r="HJN101" s="285"/>
      <c r="HJO101" s="285"/>
      <c r="HJP101" s="285"/>
      <c r="HJQ101" s="285"/>
      <c r="HJR101" s="285"/>
      <c r="HJS101" s="285"/>
      <c r="HJT101" s="285"/>
      <c r="HJU101" s="285"/>
      <c r="HJV101" s="285"/>
      <c r="HJW101" s="285"/>
      <c r="HJX101" s="285"/>
      <c r="HJY101" s="285"/>
      <c r="HJZ101" s="285"/>
      <c r="HKA101" s="285"/>
      <c r="HKB101" s="285"/>
      <c r="HKC101" s="285"/>
      <c r="HKD101" s="285"/>
      <c r="HKE101" s="285"/>
      <c r="HKF101" s="285"/>
      <c r="HKG101" s="285"/>
      <c r="HKH101" s="285"/>
      <c r="HKI101" s="285"/>
      <c r="HKJ101" s="285"/>
      <c r="HKK101" s="285"/>
      <c r="HKL101" s="285"/>
      <c r="HKM101" s="285"/>
      <c r="HKN101" s="285"/>
      <c r="HKO101" s="285"/>
      <c r="HKP101" s="285"/>
      <c r="HKQ101" s="285"/>
      <c r="HKR101" s="285"/>
      <c r="HKS101" s="285"/>
      <c r="HKT101" s="285"/>
      <c r="HKU101" s="285"/>
      <c r="HKV101" s="285"/>
      <c r="HKW101" s="285"/>
      <c r="HKX101" s="285"/>
      <c r="HKY101" s="285"/>
      <c r="HKZ101" s="285"/>
      <c r="HLA101" s="285"/>
      <c r="HLB101" s="285"/>
      <c r="HLC101" s="285"/>
      <c r="HLD101" s="285"/>
      <c r="HLE101" s="285"/>
      <c r="HLF101" s="285"/>
      <c r="HLG101" s="285"/>
      <c r="HLH101" s="285"/>
      <c r="HLI101" s="285"/>
      <c r="HLJ101" s="285"/>
      <c r="HLK101" s="285"/>
      <c r="HLL101" s="285"/>
      <c r="HLM101" s="285"/>
      <c r="HLN101" s="285"/>
      <c r="HLO101" s="285"/>
      <c r="HLP101" s="285"/>
      <c r="HLQ101" s="285"/>
      <c r="HLR101" s="285"/>
      <c r="HLS101" s="285"/>
      <c r="HLT101" s="285"/>
      <c r="HLU101" s="285"/>
      <c r="HLV101" s="285"/>
      <c r="HLW101" s="285"/>
      <c r="HLX101" s="285"/>
      <c r="HLY101" s="285"/>
      <c r="HLZ101" s="285"/>
      <c r="HMA101" s="285"/>
      <c r="HMB101" s="285"/>
      <c r="HMC101" s="285"/>
      <c r="HMD101" s="285"/>
      <c r="HME101" s="285"/>
      <c r="HMF101" s="285"/>
      <c r="HMG101" s="285"/>
      <c r="HMH101" s="285"/>
      <c r="HMI101" s="285"/>
      <c r="HMJ101" s="285"/>
      <c r="HMK101" s="285"/>
      <c r="HML101" s="285"/>
      <c r="HMM101" s="285"/>
      <c r="HMN101" s="285"/>
      <c r="HMO101" s="285"/>
      <c r="HMP101" s="285"/>
      <c r="HMQ101" s="285"/>
      <c r="HMR101" s="285"/>
      <c r="HMS101" s="285"/>
      <c r="HMT101" s="285"/>
      <c r="HMU101" s="285"/>
      <c r="HMV101" s="285"/>
      <c r="HMW101" s="285"/>
      <c r="HMX101" s="285"/>
      <c r="HMY101" s="285"/>
      <c r="HMZ101" s="285"/>
      <c r="HNA101" s="285"/>
      <c r="HNB101" s="285"/>
      <c r="HNC101" s="285"/>
      <c r="HND101" s="285"/>
      <c r="HNE101" s="285"/>
      <c r="HNF101" s="285"/>
      <c r="HNG101" s="285"/>
      <c r="HNH101" s="285"/>
      <c r="HNI101" s="285"/>
      <c r="HNJ101" s="285"/>
      <c r="HNK101" s="285"/>
      <c r="HNL101" s="285"/>
      <c r="HNM101" s="285"/>
      <c r="HNN101" s="285"/>
      <c r="HNO101" s="285"/>
      <c r="HNP101" s="285"/>
      <c r="HNQ101" s="285"/>
      <c r="HNR101" s="285"/>
      <c r="HNS101" s="285"/>
      <c r="HNT101" s="285"/>
      <c r="HNU101" s="285"/>
      <c r="HNV101" s="285"/>
      <c r="HNW101" s="285"/>
      <c r="HNX101" s="285"/>
      <c r="HNY101" s="285"/>
      <c r="HNZ101" s="285"/>
      <c r="HOA101" s="285"/>
      <c r="HOB101" s="285"/>
      <c r="HOC101" s="285"/>
      <c r="HOD101" s="285"/>
      <c r="HOE101" s="285"/>
      <c r="HOF101" s="285"/>
      <c r="HOG101" s="285"/>
      <c r="HOH101" s="285"/>
      <c r="HOI101" s="285"/>
      <c r="HOJ101" s="285"/>
      <c r="HOK101" s="285"/>
      <c r="HOL101" s="285"/>
      <c r="HOM101" s="285"/>
      <c r="HON101" s="285"/>
      <c r="HOO101" s="285"/>
      <c r="HOP101" s="285"/>
      <c r="HOQ101" s="285"/>
      <c r="HOR101" s="285"/>
      <c r="HOS101" s="285"/>
      <c r="HOT101" s="285"/>
      <c r="HOU101" s="285"/>
      <c r="HOV101" s="285"/>
      <c r="HOW101" s="285"/>
      <c r="HOX101" s="285"/>
      <c r="HOY101" s="285"/>
      <c r="HOZ101" s="285"/>
      <c r="HPA101" s="285"/>
      <c r="HPB101" s="285"/>
      <c r="HPC101" s="285"/>
      <c r="HPD101" s="285"/>
      <c r="HPE101" s="285"/>
      <c r="HPF101" s="285"/>
      <c r="HPG101" s="285"/>
      <c r="HPH101" s="285"/>
      <c r="HPI101" s="285"/>
      <c r="HPJ101" s="285"/>
      <c r="HPK101" s="285"/>
      <c r="HPL101" s="285"/>
      <c r="HPM101" s="285"/>
      <c r="HPN101" s="285"/>
      <c r="HPO101" s="285"/>
      <c r="HPP101" s="285"/>
      <c r="HPQ101" s="285"/>
      <c r="HPR101" s="285"/>
      <c r="HPS101" s="285"/>
      <c r="HPT101" s="285"/>
      <c r="HPU101" s="285"/>
      <c r="HPV101" s="285"/>
      <c r="HPW101" s="285"/>
      <c r="HPX101" s="285"/>
      <c r="HPY101" s="285"/>
      <c r="HPZ101" s="285"/>
      <c r="HQA101" s="285"/>
      <c r="HQB101" s="285"/>
      <c r="HQC101" s="285"/>
      <c r="HQD101" s="285"/>
      <c r="HQE101" s="285"/>
      <c r="HQF101" s="285"/>
      <c r="HQG101" s="285"/>
      <c r="HQH101" s="285"/>
      <c r="HQI101" s="285"/>
      <c r="HQJ101" s="285"/>
      <c r="HQK101" s="285"/>
      <c r="HQL101" s="285"/>
      <c r="HQM101" s="285"/>
      <c r="HQN101" s="285"/>
      <c r="HQO101" s="285"/>
      <c r="HQP101" s="285"/>
      <c r="HQQ101" s="285"/>
      <c r="HQR101" s="285"/>
      <c r="HQS101" s="285"/>
      <c r="HQT101" s="285"/>
      <c r="HQU101" s="285"/>
      <c r="HQV101" s="285"/>
      <c r="HQW101" s="285"/>
      <c r="HQX101" s="285"/>
      <c r="HQY101" s="285"/>
      <c r="HQZ101" s="285"/>
      <c r="HRA101" s="285"/>
      <c r="HRB101" s="285"/>
      <c r="HRC101" s="285"/>
      <c r="HRD101" s="285"/>
      <c r="HRE101" s="285"/>
      <c r="HRF101" s="285"/>
      <c r="HRG101" s="285"/>
      <c r="HRH101" s="285"/>
      <c r="HRI101" s="285"/>
      <c r="HRJ101" s="285"/>
      <c r="HRK101" s="285"/>
      <c r="HRL101" s="285"/>
      <c r="HRM101" s="285"/>
      <c r="HRN101" s="285"/>
      <c r="HRO101" s="285"/>
      <c r="HRP101" s="285"/>
      <c r="HRQ101" s="285"/>
      <c r="HRR101" s="285"/>
      <c r="HRS101" s="285"/>
      <c r="HRT101" s="285"/>
      <c r="HRU101" s="285"/>
      <c r="HRV101" s="285"/>
      <c r="HRW101" s="285"/>
      <c r="HRX101" s="285"/>
      <c r="HRY101" s="285"/>
      <c r="HRZ101" s="285"/>
      <c r="HSA101" s="285"/>
      <c r="HSB101" s="285"/>
      <c r="HSC101" s="285"/>
      <c r="HSD101" s="285"/>
      <c r="HSE101" s="285"/>
      <c r="HSF101" s="285"/>
      <c r="HSG101" s="285"/>
      <c r="HSH101" s="285"/>
      <c r="HSI101" s="285"/>
      <c r="HSJ101" s="285"/>
      <c r="HSK101" s="285"/>
      <c r="HSL101" s="285"/>
      <c r="HSM101" s="285"/>
      <c r="HSN101" s="285"/>
      <c r="HSO101" s="285"/>
      <c r="HSP101" s="285"/>
      <c r="HSQ101" s="285"/>
      <c r="HSR101" s="285"/>
      <c r="HSS101" s="285"/>
      <c r="HST101" s="285"/>
      <c r="HSU101" s="285"/>
      <c r="HSV101" s="285"/>
      <c r="HSW101" s="285"/>
      <c r="HSX101" s="285"/>
      <c r="HSY101" s="285"/>
      <c r="HSZ101" s="285"/>
      <c r="HTA101" s="285"/>
      <c r="HTB101" s="285"/>
      <c r="HTC101" s="285"/>
      <c r="HTD101" s="285"/>
      <c r="HTE101" s="285"/>
      <c r="HTF101" s="285"/>
      <c r="HTG101" s="285"/>
      <c r="HTH101" s="285"/>
      <c r="HTI101" s="285"/>
      <c r="HTJ101" s="285"/>
      <c r="HTK101" s="285"/>
      <c r="HTL101" s="285"/>
      <c r="HTM101" s="285"/>
      <c r="HTN101" s="285"/>
      <c r="HTO101" s="285"/>
      <c r="HTP101" s="285"/>
      <c r="HTQ101" s="285"/>
      <c r="HTR101" s="285"/>
      <c r="HTS101" s="285"/>
      <c r="HTT101" s="285"/>
      <c r="HTU101" s="285"/>
      <c r="HTV101" s="285"/>
      <c r="HTW101" s="285"/>
      <c r="HTX101" s="285"/>
      <c r="HTY101" s="285"/>
      <c r="HTZ101" s="285"/>
      <c r="HUA101" s="285"/>
      <c r="HUB101" s="285"/>
      <c r="HUC101" s="285"/>
      <c r="HUD101" s="285"/>
      <c r="HUE101" s="285"/>
      <c r="HUF101" s="285"/>
      <c r="HUG101" s="285"/>
      <c r="HUH101" s="285"/>
      <c r="HUI101" s="285"/>
      <c r="HUJ101" s="285"/>
      <c r="HUK101" s="285"/>
      <c r="HUL101" s="285"/>
      <c r="HUM101" s="285"/>
      <c r="HUN101" s="285"/>
      <c r="HUO101" s="285"/>
      <c r="HUP101" s="285"/>
      <c r="HUQ101" s="285"/>
      <c r="HUR101" s="285"/>
      <c r="HUS101" s="285"/>
      <c r="HUT101" s="285"/>
      <c r="HUU101" s="285"/>
      <c r="HUV101" s="285"/>
      <c r="HUW101" s="285"/>
      <c r="HUX101" s="285"/>
      <c r="HUY101" s="285"/>
      <c r="HUZ101" s="285"/>
      <c r="HVA101" s="285"/>
      <c r="HVB101" s="285"/>
      <c r="HVC101" s="285"/>
      <c r="HVD101" s="285"/>
      <c r="HVE101" s="285"/>
      <c r="HVF101" s="285"/>
      <c r="HVG101" s="285"/>
      <c r="HVH101" s="285"/>
      <c r="HVI101" s="285"/>
      <c r="HVJ101" s="285"/>
      <c r="HVK101" s="285"/>
      <c r="HVL101" s="285"/>
      <c r="HVM101" s="285"/>
      <c r="HVN101" s="285"/>
      <c r="HVO101" s="285"/>
      <c r="HVP101" s="285"/>
      <c r="HVQ101" s="285"/>
      <c r="HVR101" s="285"/>
      <c r="HVS101" s="285"/>
      <c r="HVT101" s="285"/>
      <c r="HVU101" s="285"/>
      <c r="HVV101" s="285"/>
      <c r="HVW101" s="285"/>
      <c r="HVX101" s="285"/>
      <c r="HVY101" s="285"/>
      <c r="HVZ101" s="285"/>
      <c r="HWA101" s="285"/>
      <c r="HWB101" s="285"/>
      <c r="HWC101" s="285"/>
      <c r="HWD101" s="285"/>
      <c r="HWE101" s="285"/>
      <c r="HWF101" s="285"/>
      <c r="HWG101" s="285"/>
      <c r="HWH101" s="285"/>
      <c r="HWI101" s="285"/>
      <c r="HWJ101" s="285"/>
      <c r="HWK101" s="285"/>
      <c r="HWL101" s="285"/>
      <c r="HWM101" s="285"/>
      <c r="HWN101" s="285"/>
      <c r="HWO101" s="285"/>
      <c r="HWP101" s="285"/>
      <c r="HWQ101" s="285"/>
      <c r="HWR101" s="285"/>
      <c r="HWS101" s="285"/>
      <c r="HWT101" s="285"/>
      <c r="HWU101" s="285"/>
      <c r="HWV101" s="285"/>
      <c r="HWW101" s="285"/>
      <c r="HWX101" s="285"/>
      <c r="HWY101" s="285"/>
      <c r="HWZ101" s="285"/>
      <c r="HXA101" s="285"/>
      <c r="HXB101" s="285"/>
      <c r="HXC101" s="285"/>
      <c r="HXD101" s="285"/>
      <c r="HXE101" s="285"/>
      <c r="HXF101" s="285"/>
      <c r="HXG101" s="285"/>
      <c r="HXH101" s="285"/>
      <c r="HXI101" s="285"/>
      <c r="HXJ101" s="285"/>
      <c r="HXK101" s="285"/>
      <c r="HXL101" s="285"/>
      <c r="HXM101" s="285"/>
      <c r="HXN101" s="285"/>
      <c r="HXO101" s="285"/>
      <c r="HXP101" s="285"/>
      <c r="HXQ101" s="285"/>
      <c r="HXR101" s="285"/>
      <c r="HXS101" s="285"/>
      <c r="HXT101" s="285"/>
      <c r="HXU101" s="285"/>
      <c r="HXV101" s="285"/>
      <c r="HXW101" s="285"/>
      <c r="HXX101" s="285"/>
      <c r="HXY101" s="285"/>
      <c r="HXZ101" s="285"/>
      <c r="HYA101" s="285"/>
      <c r="HYB101" s="285"/>
      <c r="HYC101" s="285"/>
      <c r="HYD101" s="285"/>
      <c r="HYE101" s="285"/>
      <c r="HYF101" s="285"/>
      <c r="HYG101" s="285"/>
      <c r="HYH101" s="285"/>
      <c r="HYI101" s="285"/>
      <c r="HYJ101" s="285"/>
      <c r="HYK101" s="285"/>
      <c r="HYL101" s="285"/>
      <c r="HYM101" s="285"/>
      <c r="HYN101" s="285"/>
      <c r="HYO101" s="285"/>
      <c r="HYP101" s="285"/>
      <c r="HYQ101" s="285"/>
      <c r="HYR101" s="285"/>
      <c r="HYS101" s="285"/>
      <c r="HYT101" s="285"/>
      <c r="HYU101" s="285"/>
      <c r="HYV101" s="285"/>
      <c r="HYW101" s="285"/>
      <c r="HYX101" s="285"/>
      <c r="HYY101" s="285"/>
      <c r="HYZ101" s="285"/>
      <c r="HZA101" s="285"/>
      <c r="HZB101" s="285"/>
      <c r="HZC101" s="285"/>
      <c r="HZD101" s="285"/>
      <c r="HZE101" s="285"/>
      <c r="HZF101" s="285"/>
      <c r="HZG101" s="285"/>
      <c r="HZH101" s="285"/>
      <c r="HZI101" s="285"/>
      <c r="HZJ101" s="285"/>
      <c r="HZK101" s="285"/>
      <c r="HZL101" s="285"/>
      <c r="HZM101" s="285"/>
      <c r="HZN101" s="285"/>
      <c r="HZO101" s="285"/>
      <c r="HZP101" s="285"/>
      <c r="HZQ101" s="285"/>
      <c r="HZR101" s="285"/>
      <c r="HZS101" s="285"/>
      <c r="HZT101" s="285"/>
      <c r="HZU101" s="285"/>
      <c r="HZV101" s="285"/>
      <c r="HZW101" s="285"/>
      <c r="HZX101" s="285"/>
      <c r="HZY101" s="285"/>
      <c r="HZZ101" s="285"/>
      <c r="IAA101" s="285"/>
      <c r="IAB101" s="285"/>
      <c r="IAC101" s="285"/>
      <c r="IAD101" s="285"/>
      <c r="IAE101" s="285"/>
      <c r="IAF101" s="285"/>
      <c r="IAG101" s="285"/>
      <c r="IAH101" s="285"/>
      <c r="IAI101" s="285"/>
      <c r="IAJ101" s="285"/>
      <c r="IAK101" s="285"/>
      <c r="IAL101" s="285"/>
      <c r="IAM101" s="285"/>
      <c r="IAN101" s="285"/>
      <c r="IAO101" s="285"/>
      <c r="IAP101" s="285"/>
      <c r="IAQ101" s="285"/>
      <c r="IAR101" s="285"/>
      <c r="IAS101" s="285"/>
      <c r="IAT101" s="285"/>
      <c r="IAU101" s="285"/>
      <c r="IAV101" s="285"/>
      <c r="IAW101" s="285"/>
      <c r="IAX101" s="285"/>
      <c r="IAY101" s="285"/>
      <c r="IAZ101" s="285"/>
      <c r="IBA101" s="285"/>
      <c r="IBB101" s="285"/>
      <c r="IBC101" s="285"/>
      <c r="IBD101" s="285"/>
      <c r="IBE101" s="285"/>
      <c r="IBF101" s="285"/>
      <c r="IBG101" s="285"/>
      <c r="IBH101" s="285"/>
      <c r="IBI101" s="285"/>
      <c r="IBJ101" s="285"/>
      <c r="IBK101" s="285"/>
      <c r="IBL101" s="285"/>
      <c r="IBM101" s="285"/>
      <c r="IBN101" s="285"/>
      <c r="IBO101" s="285"/>
      <c r="IBP101" s="285"/>
      <c r="IBQ101" s="285"/>
      <c r="IBR101" s="285"/>
      <c r="IBS101" s="285"/>
      <c r="IBT101" s="285"/>
      <c r="IBU101" s="285"/>
      <c r="IBV101" s="285"/>
      <c r="IBW101" s="285"/>
      <c r="IBX101" s="285"/>
      <c r="IBY101" s="285"/>
      <c r="IBZ101" s="285"/>
      <c r="ICA101" s="285"/>
      <c r="ICB101" s="285"/>
      <c r="ICC101" s="285"/>
      <c r="ICD101" s="285"/>
      <c r="ICE101" s="285"/>
      <c r="ICF101" s="285"/>
      <c r="ICG101" s="285"/>
      <c r="ICH101" s="285"/>
      <c r="ICI101" s="285"/>
      <c r="ICJ101" s="285"/>
      <c r="ICK101" s="285"/>
      <c r="ICL101" s="285"/>
      <c r="ICM101" s="285"/>
      <c r="ICN101" s="285"/>
      <c r="ICO101" s="285"/>
      <c r="ICP101" s="285"/>
      <c r="ICQ101" s="285"/>
      <c r="ICR101" s="285"/>
      <c r="ICS101" s="285"/>
      <c r="ICT101" s="285"/>
      <c r="ICU101" s="285"/>
      <c r="ICV101" s="285"/>
      <c r="ICW101" s="285"/>
      <c r="ICX101" s="285"/>
      <c r="ICY101" s="285"/>
      <c r="ICZ101" s="285"/>
      <c r="IDA101" s="285"/>
      <c r="IDB101" s="285"/>
      <c r="IDC101" s="285"/>
      <c r="IDD101" s="285"/>
      <c r="IDE101" s="285"/>
      <c r="IDF101" s="285"/>
      <c r="IDG101" s="285"/>
      <c r="IDH101" s="285"/>
      <c r="IDI101" s="285"/>
      <c r="IDJ101" s="285"/>
      <c r="IDK101" s="285"/>
      <c r="IDL101" s="285"/>
      <c r="IDM101" s="285"/>
      <c r="IDN101" s="285"/>
      <c r="IDO101" s="285"/>
      <c r="IDP101" s="285"/>
      <c r="IDQ101" s="285"/>
      <c r="IDR101" s="285"/>
      <c r="IDS101" s="285"/>
      <c r="IDT101" s="285"/>
      <c r="IDU101" s="285"/>
      <c r="IDV101" s="285"/>
      <c r="IDW101" s="285"/>
      <c r="IDX101" s="285"/>
      <c r="IDY101" s="285"/>
      <c r="IDZ101" s="285"/>
      <c r="IEA101" s="285"/>
      <c r="IEB101" s="285"/>
      <c r="IEC101" s="285"/>
      <c r="IED101" s="285"/>
      <c r="IEE101" s="285"/>
      <c r="IEF101" s="285"/>
      <c r="IEG101" s="285"/>
      <c r="IEH101" s="285"/>
      <c r="IEI101" s="285"/>
      <c r="IEJ101" s="285"/>
      <c r="IEK101" s="285"/>
      <c r="IEL101" s="285"/>
      <c r="IEM101" s="285"/>
      <c r="IEN101" s="285"/>
      <c r="IEO101" s="285"/>
      <c r="IEP101" s="285"/>
      <c r="IEQ101" s="285"/>
      <c r="IER101" s="285"/>
      <c r="IES101" s="285"/>
      <c r="IET101" s="285"/>
      <c r="IEU101" s="285"/>
      <c r="IEV101" s="285"/>
      <c r="IEW101" s="285"/>
      <c r="IEX101" s="285"/>
      <c r="IEY101" s="285"/>
      <c r="IEZ101" s="285"/>
      <c r="IFA101" s="285"/>
      <c r="IFB101" s="285"/>
      <c r="IFC101" s="285"/>
      <c r="IFD101" s="285"/>
      <c r="IFE101" s="285"/>
      <c r="IFF101" s="285"/>
      <c r="IFG101" s="285"/>
      <c r="IFH101" s="285"/>
      <c r="IFI101" s="285"/>
      <c r="IFJ101" s="285"/>
      <c r="IFK101" s="285"/>
      <c r="IFL101" s="285"/>
      <c r="IFM101" s="285"/>
      <c r="IFN101" s="285"/>
      <c r="IFO101" s="285"/>
      <c r="IFP101" s="285"/>
      <c r="IFQ101" s="285"/>
      <c r="IFR101" s="285"/>
      <c r="IFS101" s="285"/>
      <c r="IFT101" s="285"/>
      <c r="IFU101" s="285"/>
      <c r="IFV101" s="285"/>
      <c r="IFW101" s="285"/>
      <c r="IFX101" s="285"/>
      <c r="IFY101" s="285"/>
      <c r="IFZ101" s="285"/>
      <c r="IGA101" s="285"/>
      <c r="IGB101" s="285"/>
      <c r="IGC101" s="285"/>
      <c r="IGD101" s="285"/>
      <c r="IGE101" s="285"/>
      <c r="IGF101" s="285"/>
      <c r="IGG101" s="285"/>
      <c r="IGH101" s="285"/>
      <c r="IGI101" s="285"/>
      <c r="IGJ101" s="285"/>
      <c r="IGK101" s="285"/>
      <c r="IGL101" s="285"/>
      <c r="IGM101" s="285"/>
      <c r="IGN101" s="285"/>
      <c r="IGO101" s="285"/>
      <c r="IGP101" s="285"/>
      <c r="IGQ101" s="285"/>
      <c r="IGR101" s="285"/>
      <c r="IGS101" s="285"/>
      <c r="IGT101" s="285"/>
      <c r="IGU101" s="285"/>
      <c r="IGV101" s="285"/>
      <c r="IGW101" s="285"/>
      <c r="IGX101" s="285"/>
      <c r="IGY101" s="285"/>
      <c r="IGZ101" s="285"/>
      <c r="IHA101" s="285"/>
      <c r="IHB101" s="285"/>
      <c r="IHC101" s="285"/>
      <c r="IHD101" s="285"/>
      <c r="IHE101" s="285"/>
      <c r="IHF101" s="285"/>
      <c r="IHG101" s="285"/>
      <c r="IHH101" s="285"/>
      <c r="IHI101" s="285"/>
      <c r="IHJ101" s="285"/>
      <c r="IHK101" s="285"/>
      <c r="IHL101" s="285"/>
      <c r="IHM101" s="285"/>
      <c r="IHN101" s="285"/>
      <c r="IHO101" s="285"/>
      <c r="IHP101" s="285"/>
      <c r="IHQ101" s="285"/>
      <c r="IHR101" s="285"/>
      <c r="IHS101" s="285"/>
      <c r="IHT101" s="285"/>
      <c r="IHU101" s="285"/>
      <c r="IHV101" s="285"/>
      <c r="IHW101" s="285"/>
      <c r="IHX101" s="285"/>
      <c r="IHY101" s="285"/>
      <c r="IHZ101" s="285"/>
      <c r="IIA101" s="285"/>
      <c r="IIB101" s="285"/>
      <c r="IIC101" s="285"/>
      <c r="IID101" s="285"/>
      <c r="IIE101" s="285"/>
      <c r="IIF101" s="285"/>
      <c r="IIG101" s="285"/>
      <c r="IIH101" s="285"/>
      <c r="III101" s="285"/>
      <c r="IIJ101" s="285"/>
      <c r="IIK101" s="285"/>
      <c r="IIL101" s="285"/>
      <c r="IIM101" s="285"/>
      <c r="IIN101" s="285"/>
      <c r="IIO101" s="285"/>
      <c r="IIP101" s="285"/>
      <c r="IIQ101" s="285"/>
      <c r="IIR101" s="285"/>
      <c r="IIS101" s="285"/>
      <c r="IIT101" s="285"/>
      <c r="IIU101" s="285"/>
      <c r="IIV101" s="285"/>
      <c r="IIW101" s="285"/>
      <c r="IIX101" s="285"/>
      <c r="IIY101" s="285"/>
      <c r="IIZ101" s="285"/>
      <c r="IJA101" s="285"/>
      <c r="IJB101" s="285"/>
      <c r="IJC101" s="285"/>
      <c r="IJD101" s="285"/>
      <c r="IJE101" s="285"/>
      <c r="IJF101" s="285"/>
      <c r="IJG101" s="285"/>
      <c r="IJH101" s="285"/>
      <c r="IJI101" s="285"/>
      <c r="IJJ101" s="285"/>
      <c r="IJK101" s="285"/>
      <c r="IJL101" s="285"/>
      <c r="IJM101" s="285"/>
      <c r="IJN101" s="285"/>
      <c r="IJO101" s="285"/>
      <c r="IJP101" s="285"/>
      <c r="IJQ101" s="285"/>
      <c r="IJR101" s="285"/>
      <c r="IJS101" s="285"/>
      <c r="IJT101" s="285"/>
      <c r="IJU101" s="285"/>
      <c r="IJV101" s="285"/>
      <c r="IJW101" s="285"/>
      <c r="IJX101" s="285"/>
      <c r="IJY101" s="285"/>
      <c r="IJZ101" s="285"/>
      <c r="IKA101" s="285"/>
      <c r="IKB101" s="285"/>
      <c r="IKC101" s="285"/>
      <c r="IKD101" s="285"/>
      <c r="IKE101" s="285"/>
      <c r="IKF101" s="285"/>
      <c r="IKG101" s="285"/>
      <c r="IKH101" s="285"/>
      <c r="IKI101" s="285"/>
      <c r="IKJ101" s="285"/>
      <c r="IKK101" s="285"/>
      <c r="IKL101" s="285"/>
      <c r="IKM101" s="285"/>
      <c r="IKN101" s="285"/>
      <c r="IKO101" s="285"/>
      <c r="IKP101" s="285"/>
      <c r="IKQ101" s="285"/>
      <c r="IKR101" s="285"/>
      <c r="IKS101" s="285"/>
      <c r="IKT101" s="285"/>
      <c r="IKU101" s="285"/>
      <c r="IKV101" s="285"/>
      <c r="IKW101" s="285"/>
      <c r="IKX101" s="285"/>
      <c r="IKY101" s="285"/>
      <c r="IKZ101" s="285"/>
      <c r="ILA101" s="285"/>
      <c r="ILB101" s="285"/>
      <c r="ILC101" s="285"/>
      <c r="ILD101" s="285"/>
      <c r="ILE101" s="285"/>
      <c r="ILF101" s="285"/>
      <c r="ILG101" s="285"/>
      <c r="ILH101" s="285"/>
      <c r="ILI101" s="285"/>
      <c r="ILJ101" s="285"/>
      <c r="ILK101" s="285"/>
      <c r="ILL101" s="285"/>
      <c r="ILM101" s="285"/>
      <c r="ILN101" s="285"/>
      <c r="ILO101" s="285"/>
      <c r="ILP101" s="285"/>
      <c r="ILQ101" s="285"/>
      <c r="ILR101" s="285"/>
      <c r="ILS101" s="285"/>
      <c r="ILT101" s="285"/>
      <c r="ILU101" s="285"/>
      <c r="ILV101" s="285"/>
      <c r="ILW101" s="285"/>
      <c r="ILX101" s="285"/>
      <c r="ILY101" s="285"/>
      <c r="ILZ101" s="285"/>
      <c r="IMA101" s="285"/>
      <c r="IMB101" s="285"/>
      <c r="IMC101" s="285"/>
      <c r="IMD101" s="285"/>
      <c r="IME101" s="285"/>
      <c r="IMF101" s="285"/>
      <c r="IMG101" s="285"/>
      <c r="IMH101" s="285"/>
      <c r="IMI101" s="285"/>
      <c r="IMJ101" s="285"/>
      <c r="IMK101" s="285"/>
      <c r="IML101" s="285"/>
      <c r="IMM101" s="285"/>
      <c r="IMN101" s="285"/>
      <c r="IMO101" s="285"/>
      <c r="IMP101" s="285"/>
      <c r="IMQ101" s="285"/>
      <c r="IMR101" s="285"/>
      <c r="IMS101" s="285"/>
      <c r="IMT101" s="285"/>
      <c r="IMU101" s="285"/>
      <c r="IMV101" s="285"/>
      <c r="IMW101" s="285"/>
      <c r="IMX101" s="285"/>
      <c r="IMY101" s="285"/>
      <c r="IMZ101" s="285"/>
      <c r="INA101" s="285"/>
      <c r="INB101" s="285"/>
      <c r="INC101" s="285"/>
      <c r="IND101" s="285"/>
      <c r="INE101" s="285"/>
      <c r="INF101" s="285"/>
      <c r="ING101" s="285"/>
      <c r="INH101" s="285"/>
      <c r="INI101" s="285"/>
      <c r="INJ101" s="285"/>
      <c r="INK101" s="285"/>
      <c r="INL101" s="285"/>
      <c r="INM101" s="285"/>
      <c r="INN101" s="285"/>
      <c r="INO101" s="285"/>
      <c r="INP101" s="285"/>
      <c r="INQ101" s="285"/>
      <c r="INR101" s="285"/>
      <c r="INS101" s="285"/>
      <c r="INT101" s="285"/>
      <c r="INU101" s="285"/>
      <c r="INV101" s="285"/>
      <c r="INW101" s="285"/>
      <c r="INX101" s="285"/>
      <c r="INY101" s="285"/>
      <c r="INZ101" s="285"/>
      <c r="IOA101" s="285"/>
      <c r="IOB101" s="285"/>
      <c r="IOC101" s="285"/>
      <c r="IOD101" s="285"/>
      <c r="IOE101" s="285"/>
      <c r="IOF101" s="285"/>
      <c r="IOG101" s="285"/>
      <c r="IOH101" s="285"/>
      <c r="IOI101" s="285"/>
      <c r="IOJ101" s="285"/>
      <c r="IOK101" s="285"/>
      <c r="IOL101" s="285"/>
      <c r="IOM101" s="285"/>
      <c r="ION101" s="285"/>
      <c r="IOO101" s="285"/>
      <c r="IOP101" s="285"/>
      <c r="IOQ101" s="285"/>
      <c r="IOR101" s="285"/>
      <c r="IOS101" s="285"/>
      <c r="IOT101" s="285"/>
      <c r="IOU101" s="285"/>
      <c r="IOV101" s="285"/>
      <c r="IOW101" s="285"/>
      <c r="IOX101" s="285"/>
      <c r="IOY101" s="285"/>
      <c r="IOZ101" s="285"/>
      <c r="IPA101" s="285"/>
      <c r="IPB101" s="285"/>
      <c r="IPC101" s="285"/>
      <c r="IPD101" s="285"/>
      <c r="IPE101" s="285"/>
      <c r="IPF101" s="285"/>
      <c r="IPG101" s="285"/>
      <c r="IPH101" s="285"/>
      <c r="IPI101" s="285"/>
      <c r="IPJ101" s="285"/>
      <c r="IPK101" s="285"/>
      <c r="IPL101" s="285"/>
      <c r="IPM101" s="285"/>
      <c r="IPN101" s="285"/>
      <c r="IPO101" s="285"/>
      <c r="IPP101" s="285"/>
      <c r="IPQ101" s="285"/>
      <c r="IPR101" s="285"/>
      <c r="IPS101" s="285"/>
      <c r="IPT101" s="285"/>
      <c r="IPU101" s="285"/>
      <c r="IPV101" s="285"/>
      <c r="IPW101" s="285"/>
      <c r="IPX101" s="285"/>
      <c r="IPY101" s="285"/>
      <c r="IPZ101" s="285"/>
      <c r="IQA101" s="285"/>
      <c r="IQB101" s="285"/>
      <c r="IQC101" s="285"/>
      <c r="IQD101" s="285"/>
      <c r="IQE101" s="285"/>
      <c r="IQF101" s="285"/>
      <c r="IQG101" s="285"/>
      <c r="IQH101" s="285"/>
      <c r="IQI101" s="285"/>
      <c r="IQJ101" s="285"/>
      <c r="IQK101" s="285"/>
      <c r="IQL101" s="285"/>
      <c r="IQM101" s="285"/>
      <c r="IQN101" s="285"/>
      <c r="IQO101" s="285"/>
      <c r="IQP101" s="285"/>
      <c r="IQQ101" s="285"/>
      <c r="IQR101" s="285"/>
      <c r="IQS101" s="285"/>
      <c r="IQT101" s="285"/>
      <c r="IQU101" s="285"/>
      <c r="IQV101" s="285"/>
      <c r="IQW101" s="285"/>
      <c r="IQX101" s="285"/>
      <c r="IQY101" s="285"/>
      <c r="IQZ101" s="285"/>
      <c r="IRA101" s="285"/>
      <c r="IRB101" s="285"/>
      <c r="IRC101" s="285"/>
      <c r="IRD101" s="285"/>
      <c r="IRE101" s="285"/>
      <c r="IRF101" s="285"/>
      <c r="IRG101" s="285"/>
      <c r="IRH101" s="285"/>
      <c r="IRI101" s="285"/>
      <c r="IRJ101" s="285"/>
      <c r="IRK101" s="285"/>
      <c r="IRL101" s="285"/>
      <c r="IRM101" s="285"/>
      <c r="IRN101" s="285"/>
      <c r="IRO101" s="285"/>
      <c r="IRP101" s="285"/>
      <c r="IRQ101" s="285"/>
      <c r="IRR101" s="285"/>
      <c r="IRS101" s="285"/>
      <c r="IRT101" s="285"/>
      <c r="IRU101" s="285"/>
      <c r="IRV101" s="285"/>
      <c r="IRW101" s="285"/>
      <c r="IRX101" s="285"/>
      <c r="IRY101" s="285"/>
      <c r="IRZ101" s="285"/>
      <c r="ISA101" s="285"/>
      <c r="ISB101" s="285"/>
      <c r="ISC101" s="285"/>
      <c r="ISD101" s="285"/>
      <c r="ISE101" s="285"/>
      <c r="ISF101" s="285"/>
      <c r="ISG101" s="285"/>
      <c r="ISH101" s="285"/>
      <c r="ISI101" s="285"/>
      <c r="ISJ101" s="285"/>
      <c r="ISK101" s="285"/>
      <c r="ISL101" s="285"/>
      <c r="ISM101" s="285"/>
      <c r="ISN101" s="285"/>
      <c r="ISO101" s="285"/>
      <c r="ISP101" s="285"/>
      <c r="ISQ101" s="285"/>
      <c r="ISR101" s="285"/>
      <c r="ISS101" s="285"/>
      <c r="IST101" s="285"/>
      <c r="ISU101" s="285"/>
      <c r="ISV101" s="285"/>
      <c r="ISW101" s="285"/>
      <c r="ISX101" s="285"/>
      <c r="ISY101" s="285"/>
      <c r="ISZ101" s="285"/>
      <c r="ITA101" s="285"/>
      <c r="ITB101" s="285"/>
      <c r="ITC101" s="285"/>
      <c r="ITD101" s="285"/>
      <c r="ITE101" s="285"/>
      <c r="ITF101" s="285"/>
      <c r="ITG101" s="285"/>
      <c r="ITH101" s="285"/>
      <c r="ITI101" s="285"/>
      <c r="ITJ101" s="285"/>
      <c r="ITK101" s="285"/>
      <c r="ITL101" s="285"/>
      <c r="ITM101" s="285"/>
      <c r="ITN101" s="285"/>
      <c r="ITO101" s="285"/>
      <c r="ITP101" s="285"/>
      <c r="ITQ101" s="285"/>
      <c r="ITR101" s="285"/>
      <c r="ITS101" s="285"/>
      <c r="ITT101" s="285"/>
      <c r="ITU101" s="285"/>
      <c r="ITV101" s="285"/>
      <c r="ITW101" s="285"/>
      <c r="ITX101" s="285"/>
      <c r="ITY101" s="285"/>
      <c r="ITZ101" s="285"/>
      <c r="IUA101" s="285"/>
      <c r="IUB101" s="285"/>
      <c r="IUC101" s="285"/>
      <c r="IUD101" s="285"/>
      <c r="IUE101" s="285"/>
      <c r="IUF101" s="285"/>
      <c r="IUG101" s="285"/>
      <c r="IUH101" s="285"/>
      <c r="IUI101" s="285"/>
      <c r="IUJ101" s="285"/>
      <c r="IUK101" s="285"/>
      <c r="IUL101" s="285"/>
      <c r="IUM101" s="285"/>
      <c r="IUN101" s="285"/>
      <c r="IUO101" s="285"/>
      <c r="IUP101" s="285"/>
      <c r="IUQ101" s="285"/>
      <c r="IUR101" s="285"/>
      <c r="IUS101" s="285"/>
      <c r="IUT101" s="285"/>
      <c r="IUU101" s="285"/>
      <c r="IUV101" s="285"/>
      <c r="IUW101" s="285"/>
      <c r="IUX101" s="285"/>
      <c r="IUY101" s="285"/>
      <c r="IUZ101" s="285"/>
      <c r="IVA101" s="285"/>
      <c r="IVB101" s="285"/>
      <c r="IVC101" s="285"/>
      <c r="IVD101" s="285"/>
      <c r="IVE101" s="285"/>
      <c r="IVF101" s="285"/>
      <c r="IVG101" s="285"/>
      <c r="IVH101" s="285"/>
      <c r="IVI101" s="285"/>
      <c r="IVJ101" s="285"/>
      <c r="IVK101" s="285"/>
      <c r="IVL101" s="285"/>
      <c r="IVM101" s="285"/>
      <c r="IVN101" s="285"/>
      <c r="IVO101" s="285"/>
      <c r="IVP101" s="285"/>
      <c r="IVQ101" s="285"/>
      <c r="IVR101" s="285"/>
      <c r="IVS101" s="285"/>
      <c r="IVT101" s="285"/>
      <c r="IVU101" s="285"/>
      <c r="IVV101" s="285"/>
      <c r="IVW101" s="285"/>
      <c r="IVX101" s="285"/>
      <c r="IVY101" s="285"/>
      <c r="IVZ101" s="285"/>
      <c r="IWA101" s="285"/>
      <c r="IWB101" s="285"/>
      <c r="IWC101" s="285"/>
      <c r="IWD101" s="285"/>
      <c r="IWE101" s="285"/>
      <c r="IWF101" s="285"/>
      <c r="IWG101" s="285"/>
      <c r="IWH101" s="285"/>
      <c r="IWI101" s="285"/>
      <c r="IWJ101" s="285"/>
      <c r="IWK101" s="285"/>
      <c r="IWL101" s="285"/>
      <c r="IWM101" s="285"/>
      <c r="IWN101" s="285"/>
      <c r="IWO101" s="285"/>
      <c r="IWP101" s="285"/>
      <c r="IWQ101" s="285"/>
      <c r="IWR101" s="285"/>
      <c r="IWS101" s="285"/>
      <c r="IWT101" s="285"/>
      <c r="IWU101" s="285"/>
      <c r="IWV101" s="285"/>
      <c r="IWW101" s="285"/>
      <c r="IWX101" s="285"/>
      <c r="IWY101" s="285"/>
      <c r="IWZ101" s="285"/>
      <c r="IXA101" s="285"/>
      <c r="IXB101" s="285"/>
      <c r="IXC101" s="285"/>
      <c r="IXD101" s="285"/>
      <c r="IXE101" s="285"/>
      <c r="IXF101" s="285"/>
      <c r="IXG101" s="285"/>
      <c r="IXH101" s="285"/>
      <c r="IXI101" s="285"/>
      <c r="IXJ101" s="285"/>
      <c r="IXK101" s="285"/>
      <c r="IXL101" s="285"/>
      <c r="IXM101" s="285"/>
      <c r="IXN101" s="285"/>
      <c r="IXO101" s="285"/>
      <c r="IXP101" s="285"/>
      <c r="IXQ101" s="285"/>
      <c r="IXR101" s="285"/>
      <c r="IXS101" s="285"/>
      <c r="IXT101" s="285"/>
      <c r="IXU101" s="285"/>
      <c r="IXV101" s="285"/>
      <c r="IXW101" s="285"/>
      <c r="IXX101" s="285"/>
      <c r="IXY101" s="285"/>
      <c r="IXZ101" s="285"/>
      <c r="IYA101" s="285"/>
      <c r="IYB101" s="285"/>
      <c r="IYC101" s="285"/>
      <c r="IYD101" s="285"/>
      <c r="IYE101" s="285"/>
      <c r="IYF101" s="285"/>
      <c r="IYG101" s="285"/>
      <c r="IYH101" s="285"/>
      <c r="IYI101" s="285"/>
      <c r="IYJ101" s="285"/>
      <c r="IYK101" s="285"/>
      <c r="IYL101" s="285"/>
      <c r="IYM101" s="285"/>
      <c r="IYN101" s="285"/>
      <c r="IYO101" s="285"/>
      <c r="IYP101" s="285"/>
      <c r="IYQ101" s="285"/>
      <c r="IYR101" s="285"/>
      <c r="IYS101" s="285"/>
      <c r="IYT101" s="285"/>
      <c r="IYU101" s="285"/>
      <c r="IYV101" s="285"/>
      <c r="IYW101" s="285"/>
      <c r="IYX101" s="285"/>
      <c r="IYY101" s="285"/>
      <c r="IYZ101" s="285"/>
      <c r="IZA101" s="285"/>
      <c r="IZB101" s="285"/>
      <c r="IZC101" s="285"/>
      <c r="IZD101" s="285"/>
      <c r="IZE101" s="285"/>
      <c r="IZF101" s="285"/>
      <c r="IZG101" s="285"/>
      <c r="IZH101" s="285"/>
      <c r="IZI101" s="285"/>
      <c r="IZJ101" s="285"/>
      <c r="IZK101" s="285"/>
      <c r="IZL101" s="285"/>
      <c r="IZM101" s="285"/>
      <c r="IZN101" s="285"/>
      <c r="IZO101" s="285"/>
      <c r="IZP101" s="285"/>
      <c r="IZQ101" s="285"/>
      <c r="IZR101" s="285"/>
      <c r="IZS101" s="285"/>
      <c r="IZT101" s="285"/>
      <c r="IZU101" s="285"/>
      <c r="IZV101" s="285"/>
      <c r="IZW101" s="285"/>
      <c r="IZX101" s="285"/>
      <c r="IZY101" s="285"/>
      <c r="IZZ101" s="285"/>
      <c r="JAA101" s="285"/>
      <c r="JAB101" s="285"/>
      <c r="JAC101" s="285"/>
      <c r="JAD101" s="285"/>
      <c r="JAE101" s="285"/>
      <c r="JAF101" s="285"/>
      <c r="JAG101" s="285"/>
      <c r="JAH101" s="285"/>
      <c r="JAI101" s="285"/>
      <c r="JAJ101" s="285"/>
      <c r="JAK101" s="285"/>
      <c r="JAL101" s="285"/>
      <c r="JAM101" s="285"/>
      <c r="JAN101" s="285"/>
      <c r="JAO101" s="285"/>
      <c r="JAP101" s="285"/>
      <c r="JAQ101" s="285"/>
      <c r="JAR101" s="285"/>
      <c r="JAS101" s="285"/>
      <c r="JAT101" s="285"/>
      <c r="JAU101" s="285"/>
      <c r="JAV101" s="285"/>
      <c r="JAW101" s="285"/>
      <c r="JAX101" s="285"/>
      <c r="JAY101" s="285"/>
      <c r="JAZ101" s="285"/>
      <c r="JBA101" s="285"/>
      <c r="JBB101" s="285"/>
      <c r="JBC101" s="285"/>
      <c r="JBD101" s="285"/>
      <c r="JBE101" s="285"/>
      <c r="JBF101" s="285"/>
      <c r="JBG101" s="285"/>
      <c r="JBH101" s="285"/>
      <c r="JBI101" s="285"/>
      <c r="JBJ101" s="285"/>
      <c r="JBK101" s="285"/>
      <c r="JBL101" s="285"/>
      <c r="JBM101" s="285"/>
      <c r="JBN101" s="285"/>
      <c r="JBO101" s="285"/>
      <c r="JBP101" s="285"/>
      <c r="JBQ101" s="285"/>
      <c r="JBR101" s="285"/>
      <c r="JBS101" s="285"/>
      <c r="JBT101" s="285"/>
      <c r="JBU101" s="285"/>
      <c r="JBV101" s="285"/>
      <c r="JBW101" s="285"/>
      <c r="JBX101" s="285"/>
      <c r="JBY101" s="285"/>
      <c r="JBZ101" s="285"/>
      <c r="JCA101" s="285"/>
      <c r="JCB101" s="285"/>
      <c r="JCC101" s="285"/>
      <c r="JCD101" s="285"/>
      <c r="JCE101" s="285"/>
      <c r="JCF101" s="285"/>
      <c r="JCG101" s="285"/>
      <c r="JCH101" s="285"/>
      <c r="JCI101" s="285"/>
      <c r="JCJ101" s="285"/>
      <c r="JCK101" s="285"/>
      <c r="JCL101" s="285"/>
      <c r="JCM101" s="285"/>
      <c r="JCN101" s="285"/>
      <c r="JCO101" s="285"/>
      <c r="JCP101" s="285"/>
      <c r="JCQ101" s="285"/>
      <c r="JCR101" s="285"/>
      <c r="JCS101" s="285"/>
      <c r="JCT101" s="285"/>
      <c r="JCU101" s="285"/>
      <c r="JCV101" s="285"/>
      <c r="JCW101" s="285"/>
      <c r="JCX101" s="285"/>
      <c r="JCY101" s="285"/>
      <c r="JCZ101" s="285"/>
      <c r="JDA101" s="285"/>
      <c r="JDB101" s="285"/>
      <c r="JDC101" s="285"/>
      <c r="JDD101" s="285"/>
      <c r="JDE101" s="285"/>
      <c r="JDF101" s="285"/>
      <c r="JDG101" s="285"/>
      <c r="JDH101" s="285"/>
      <c r="JDI101" s="285"/>
      <c r="JDJ101" s="285"/>
      <c r="JDK101" s="285"/>
      <c r="JDL101" s="285"/>
      <c r="JDM101" s="285"/>
      <c r="JDN101" s="285"/>
      <c r="JDO101" s="285"/>
      <c r="JDP101" s="285"/>
      <c r="JDQ101" s="285"/>
      <c r="JDR101" s="285"/>
      <c r="JDS101" s="285"/>
      <c r="JDT101" s="285"/>
      <c r="JDU101" s="285"/>
      <c r="JDV101" s="285"/>
      <c r="JDW101" s="285"/>
      <c r="JDX101" s="285"/>
      <c r="JDY101" s="285"/>
      <c r="JDZ101" s="285"/>
      <c r="JEA101" s="285"/>
      <c r="JEB101" s="285"/>
      <c r="JEC101" s="285"/>
      <c r="JED101" s="285"/>
      <c r="JEE101" s="285"/>
      <c r="JEF101" s="285"/>
      <c r="JEG101" s="285"/>
      <c r="JEH101" s="285"/>
      <c r="JEI101" s="285"/>
      <c r="JEJ101" s="285"/>
      <c r="JEK101" s="285"/>
      <c r="JEL101" s="285"/>
      <c r="JEM101" s="285"/>
      <c r="JEN101" s="285"/>
      <c r="JEO101" s="285"/>
      <c r="JEP101" s="285"/>
      <c r="JEQ101" s="285"/>
      <c r="JER101" s="285"/>
      <c r="JES101" s="285"/>
      <c r="JET101" s="285"/>
      <c r="JEU101" s="285"/>
      <c r="JEV101" s="285"/>
      <c r="JEW101" s="285"/>
      <c r="JEX101" s="285"/>
      <c r="JEY101" s="285"/>
      <c r="JEZ101" s="285"/>
      <c r="JFA101" s="285"/>
      <c r="JFB101" s="285"/>
      <c r="JFC101" s="285"/>
      <c r="JFD101" s="285"/>
      <c r="JFE101" s="285"/>
      <c r="JFF101" s="285"/>
      <c r="JFG101" s="285"/>
      <c r="JFH101" s="285"/>
      <c r="JFI101" s="285"/>
      <c r="JFJ101" s="285"/>
      <c r="JFK101" s="285"/>
      <c r="JFL101" s="285"/>
      <c r="JFM101" s="285"/>
      <c r="JFN101" s="285"/>
      <c r="JFO101" s="285"/>
      <c r="JFP101" s="285"/>
      <c r="JFQ101" s="285"/>
      <c r="JFR101" s="285"/>
      <c r="JFS101" s="285"/>
      <c r="JFT101" s="285"/>
      <c r="JFU101" s="285"/>
      <c r="JFV101" s="285"/>
      <c r="JFW101" s="285"/>
      <c r="JFX101" s="285"/>
      <c r="JFY101" s="285"/>
      <c r="JFZ101" s="285"/>
      <c r="JGA101" s="285"/>
      <c r="JGB101" s="285"/>
      <c r="JGC101" s="285"/>
      <c r="JGD101" s="285"/>
      <c r="JGE101" s="285"/>
      <c r="JGF101" s="285"/>
      <c r="JGG101" s="285"/>
      <c r="JGH101" s="285"/>
      <c r="JGI101" s="285"/>
      <c r="JGJ101" s="285"/>
      <c r="JGK101" s="285"/>
      <c r="JGL101" s="285"/>
      <c r="JGM101" s="285"/>
      <c r="JGN101" s="285"/>
      <c r="JGO101" s="285"/>
      <c r="JGP101" s="285"/>
      <c r="JGQ101" s="285"/>
      <c r="JGR101" s="285"/>
      <c r="JGS101" s="285"/>
      <c r="JGT101" s="285"/>
      <c r="JGU101" s="285"/>
      <c r="JGV101" s="285"/>
      <c r="JGW101" s="285"/>
      <c r="JGX101" s="285"/>
      <c r="JGY101" s="285"/>
      <c r="JGZ101" s="285"/>
      <c r="JHA101" s="285"/>
      <c r="JHB101" s="285"/>
      <c r="JHC101" s="285"/>
      <c r="JHD101" s="285"/>
      <c r="JHE101" s="285"/>
      <c r="JHF101" s="285"/>
      <c r="JHG101" s="285"/>
      <c r="JHH101" s="285"/>
      <c r="JHI101" s="285"/>
      <c r="JHJ101" s="285"/>
      <c r="JHK101" s="285"/>
      <c r="JHL101" s="285"/>
      <c r="JHM101" s="285"/>
      <c r="JHN101" s="285"/>
      <c r="JHO101" s="285"/>
      <c r="JHP101" s="285"/>
      <c r="JHQ101" s="285"/>
      <c r="JHR101" s="285"/>
      <c r="JHS101" s="285"/>
      <c r="JHT101" s="285"/>
      <c r="JHU101" s="285"/>
      <c r="JHV101" s="285"/>
      <c r="JHW101" s="285"/>
      <c r="JHX101" s="285"/>
      <c r="JHY101" s="285"/>
      <c r="JHZ101" s="285"/>
      <c r="JIA101" s="285"/>
      <c r="JIB101" s="285"/>
      <c r="JIC101" s="285"/>
      <c r="JID101" s="285"/>
      <c r="JIE101" s="285"/>
      <c r="JIF101" s="285"/>
      <c r="JIG101" s="285"/>
      <c r="JIH101" s="285"/>
      <c r="JII101" s="285"/>
      <c r="JIJ101" s="285"/>
      <c r="JIK101" s="285"/>
      <c r="JIL101" s="285"/>
      <c r="JIM101" s="285"/>
      <c r="JIN101" s="285"/>
      <c r="JIO101" s="285"/>
      <c r="JIP101" s="285"/>
      <c r="JIQ101" s="285"/>
      <c r="JIR101" s="285"/>
      <c r="JIS101" s="285"/>
      <c r="JIT101" s="285"/>
      <c r="JIU101" s="285"/>
      <c r="JIV101" s="285"/>
      <c r="JIW101" s="285"/>
      <c r="JIX101" s="285"/>
      <c r="JIY101" s="285"/>
      <c r="JIZ101" s="285"/>
      <c r="JJA101" s="285"/>
      <c r="JJB101" s="285"/>
      <c r="JJC101" s="285"/>
      <c r="JJD101" s="285"/>
      <c r="JJE101" s="285"/>
      <c r="JJF101" s="285"/>
      <c r="JJG101" s="285"/>
      <c r="JJH101" s="285"/>
      <c r="JJI101" s="285"/>
      <c r="JJJ101" s="285"/>
      <c r="JJK101" s="285"/>
      <c r="JJL101" s="285"/>
      <c r="JJM101" s="285"/>
      <c r="JJN101" s="285"/>
      <c r="JJO101" s="285"/>
      <c r="JJP101" s="285"/>
      <c r="JJQ101" s="285"/>
      <c r="JJR101" s="285"/>
      <c r="JJS101" s="285"/>
      <c r="JJT101" s="285"/>
      <c r="JJU101" s="285"/>
      <c r="JJV101" s="285"/>
      <c r="JJW101" s="285"/>
      <c r="JJX101" s="285"/>
      <c r="JJY101" s="285"/>
      <c r="JJZ101" s="285"/>
      <c r="JKA101" s="285"/>
      <c r="JKB101" s="285"/>
      <c r="JKC101" s="285"/>
      <c r="JKD101" s="285"/>
      <c r="JKE101" s="285"/>
      <c r="JKF101" s="285"/>
      <c r="JKG101" s="285"/>
      <c r="JKH101" s="285"/>
      <c r="JKI101" s="285"/>
      <c r="JKJ101" s="285"/>
      <c r="JKK101" s="285"/>
      <c r="JKL101" s="285"/>
      <c r="JKM101" s="285"/>
      <c r="JKN101" s="285"/>
      <c r="JKO101" s="285"/>
      <c r="JKP101" s="285"/>
      <c r="JKQ101" s="285"/>
      <c r="JKR101" s="285"/>
      <c r="JKS101" s="285"/>
      <c r="JKT101" s="285"/>
      <c r="JKU101" s="285"/>
      <c r="JKV101" s="285"/>
      <c r="JKW101" s="285"/>
      <c r="JKX101" s="285"/>
      <c r="JKY101" s="285"/>
      <c r="JKZ101" s="285"/>
      <c r="JLA101" s="285"/>
      <c r="JLB101" s="285"/>
      <c r="JLC101" s="285"/>
      <c r="JLD101" s="285"/>
      <c r="JLE101" s="285"/>
      <c r="JLF101" s="285"/>
      <c r="JLG101" s="285"/>
      <c r="JLH101" s="285"/>
      <c r="JLI101" s="285"/>
      <c r="JLJ101" s="285"/>
      <c r="JLK101" s="285"/>
      <c r="JLL101" s="285"/>
      <c r="JLM101" s="285"/>
      <c r="JLN101" s="285"/>
      <c r="JLO101" s="285"/>
      <c r="JLP101" s="285"/>
      <c r="JLQ101" s="285"/>
      <c r="JLR101" s="285"/>
      <c r="JLS101" s="285"/>
      <c r="JLT101" s="285"/>
      <c r="JLU101" s="285"/>
      <c r="JLV101" s="285"/>
      <c r="JLW101" s="285"/>
      <c r="JLX101" s="285"/>
      <c r="JLY101" s="285"/>
      <c r="JLZ101" s="285"/>
      <c r="JMA101" s="285"/>
      <c r="JMB101" s="285"/>
      <c r="JMC101" s="285"/>
      <c r="JMD101" s="285"/>
      <c r="JME101" s="285"/>
      <c r="JMF101" s="285"/>
      <c r="JMG101" s="285"/>
      <c r="JMH101" s="285"/>
      <c r="JMI101" s="285"/>
      <c r="JMJ101" s="285"/>
      <c r="JMK101" s="285"/>
      <c r="JML101" s="285"/>
      <c r="JMM101" s="285"/>
      <c r="JMN101" s="285"/>
      <c r="JMO101" s="285"/>
      <c r="JMP101" s="285"/>
      <c r="JMQ101" s="285"/>
      <c r="JMR101" s="285"/>
      <c r="JMS101" s="285"/>
      <c r="JMT101" s="285"/>
      <c r="JMU101" s="285"/>
      <c r="JMV101" s="285"/>
      <c r="JMW101" s="285"/>
      <c r="JMX101" s="285"/>
      <c r="JMY101" s="285"/>
      <c r="JMZ101" s="285"/>
      <c r="JNA101" s="285"/>
      <c r="JNB101" s="285"/>
      <c r="JNC101" s="285"/>
      <c r="JND101" s="285"/>
      <c r="JNE101" s="285"/>
      <c r="JNF101" s="285"/>
      <c r="JNG101" s="285"/>
      <c r="JNH101" s="285"/>
      <c r="JNI101" s="285"/>
      <c r="JNJ101" s="285"/>
      <c r="JNK101" s="285"/>
      <c r="JNL101" s="285"/>
      <c r="JNM101" s="285"/>
      <c r="JNN101" s="285"/>
      <c r="JNO101" s="285"/>
      <c r="JNP101" s="285"/>
      <c r="JNQ101" s="285"/>
      <c r="JNR101" s="285"/>
      <c r="JNS101" s="285"/>
      <c r="JNT101" s="285"/>
      <c r="JNU101" s="285"/>
      <c r="JNV101" s="285"/>
      <c r="JNW101" s="285"/>
      <c r="JNX101" s="285"/>
      <c r="JNY101" s="285"/>
      <c r="JNZ101" s="285"/>
      <c r="JOA101" s="285"/>
      <c r="JOB101" s="285"/>
      <c r="JOC101" s="285"/>
      <c r="JOD101" s="285"/>
      <c r="JOE101" s="285"/>
      <c r="JOF101" s="285"/>
      <c r="JOG101" s="285"/>
      <c r="JOH101" s="285"/>
      <c r="JOI101" s="285"/>
      <c r="JOJ101" s="285"/>
      <c r="JOK101" s="285"/>
      <c r="JOL101" s="285"/>
      <c r="JOM101" s="285"/>
      <c r="JON101" s="285"/>
      <c r="JOO101" s="285"/>
      <c r="JOP101" s="285"/>
      <c r="JOQ101" s="285"/>
      <c r="JOR101" s="285"/>
      <c r="JOS101" s="285"/>
      <c r="JOT101" s="285"/>
      <c r="JOU101" s="285"/>
      <c r="JOV101" s="285"/>
      <c r="JOW101" s="285"/>
      <c r="JOX101" s="285"/>
      <c r="JOY101" s="285"/>
      <c r="JOZ101" s="285"/>
      <c r="JPA101" s="285"/>
      <c r="JPB101" s="285"/>
      <c r="JPC101" s="285"/>
      <c r="JPD101" s="285"/>
      <c r="JPE101" s="285"/>
      <c r="JPF101" s="285"/>
      <c r="JPG101" s="285"/>
      <c r="JPH101" s="285"/>
      <c r="JPI101" s="285"/>
      <c r="JPJ101" s="285"/>
      <c r="JPK101" s="285"/>
      <c r="JPL101" s="285"/>
      <c r="JPM101" s="285"/>
      <c r="JPN101" s="285"/>
      <c r="JPO101" s="285"/>
      <c r="JPP101" s="285"/>
      <c r="JPQ101" s="285"/>
      <c r="JPR101" s="285"/>
      <c r="JPS101" s="285"/>
      <c r="JPT101" s="285"/>
      <c r="JPU101" s="285"/>
      <c r="JPV101" s="285"/>
      <c r="JPW101" s="285"/>
      <c r="JPX101" s="285"/>
      <c r="JPY101" s="285"/>
      <c r="JPZ101" s="285"/>
      <c r="JQA101" s="285"/>
      <c r="JQB101" s="285"/>
      <c r="JQC101" s="285"/>
      <c r="JQD101" s="285"/>
      <c r="JQE101" s="285"/>
      <c r="JQF101" s="285"/>
      <c r="JQG101" s="285"/>
      <c r="JQH101" s="285"/>
      <c r="JQI101" s="285"/>
      <c r="JQJ101" s="285"/>
      <c r="JQK101" s="285"/>
      <c r="JQL101" s="285"/>
      <c r="JQM101" s="285"/>
      <c r="JQN101" s="285"/>
      <c r="JQO101" s="285"/>
      <c r="JQP101" s="285"/>
      <c r="JQQ101" s="285"/>
      <c r="JQR101" s="285"/>
      <c r="JQS101" s="285"/>
      <c r="JQT101" s="285"/>
      <c r="JQU101" s="285"/>
      <c r="JQV101" s="285"/>
      <c r="JQW101" s="285"/>
      <c r="JQX101" s="285"/>
      <c r="JQY101" s="285"/>
      <c r="JQZ101" s="285"/>
      <c r="JRA101" s="285"/>
      <c r="JRB101" s="285"/>
      <c r="JRC101" s="285"/>
      <c r="JRD101" s="285"/>
      <c r="JRE101" s="285"/>
      <c r="JRF101" s="285"/>
      <c r="JRG101" s="285"/>
      <c r="JRH101" s="285"/>
      <c r="JRI101" s="285"/>
      <c r="JRJ101" s="285"/>
      <c r="JRK101" s="285"/>
      <c r="JRL101" s="285"/>
      <c r="JRM101" s="285"/>
      <c r="JRN101" s="285"/>
      <c r="JRO101" s="285"/>
      <c r="JRP101" s="285"/>
      <c r="JRQ101" s="285"/>
      <c r="JRR101" s="285"/>
      <c r="JRS101" s="285"/>
      <c r="JRT101" s="285"/>
      <c r="JRU101" s="285"/>
      <c r="JRV101" s="285"/>
      <c r="JRW101" s="285"/>
      <c r="JRX101" s="285"/>
      <c r="JRY101" s="285"/>
      <c r="JRZ101" s="285"/>
      <c r="JSA101" s="285"/>
      <c r="JSB101" s="285"/>
      <c r="JSC101" s="285"/>
      <c r="JSD101" s="285"/>
      <c r="JSE101" s="285"/>
      <c r="JSF101" s="285"/>
      <c r="JSG101" s="285"/>
      <c r="JSH101" s="285"/>
      <c r="JSI101" s="285"/>
      <c r="JSJ101" s="285"/>
      <c r="JSK101" s="285"/>
      <c r="JSL101" s="285"/>
      <c r="JSM101" s="285"/>
      <c r="JSN101" s="285"/>
      <c r="JSO101" s="285"/>
      <c r="JSP101" s="285"/>
      <c r="JSQ101" s="285"/>
      <c r="JSR101" s="285"/>
      <c r="JSS101" s="285"/>
      <c r="JST101" s="285"/>
      <c r="JSU101" s="285"/>
      <c r="JSV101" s="285"/>
      <c r="JSW101" s="285"/>
      <c r="JSX101" s="285"/>
      <c r="JSY101" s="285"/>
      <c r="JSZ101" s="285"/>
      <c r="JTA101" s="285"/>
      <c r="JTB101" s="285"/>
      <c r="JTC101" s="285"/>
      <c r="JTD101" s="285"/>
      <c r="JTE101" s="285"/>
      <c r="JTF101" s="285"/>
      <c r="JTG101" s="285"/>
      <c r="JTH101" s="285"/>
      <c r="JTI101" s="285"/>
      <c r="JTJ101" s="285"/>
      <c r="JTK101" s="285"/>
      <c r="JTL101" s="285"/>
      <c r="JTM101" s="285"/>
      <c r="JTN101" s="285"/>
      <c r="JTO101" s="285"/>
      <c r="JTP101" s="285"/>
      <c r="JTQ101" s="285"/>
      <c r="JTR101" s="285"/>
      <c r="JTS101" s="285"/>
      <c r="JTT101" s="285"/>
      <c r="JTU101" s="285"/>
      <c r="JTV101" s="285"/>
      <c r="JTW101" s="285"/>
      <c r="JTX101" s="285"/>
      <c r="JTY101" s="285"/>
      <c r="JTZ101" s="285"/>
      <c r="JUA101" s="285"/>
      <c r="JUB101" s="285"/>
      <c r="JUC101" s="285"/>
      <c r="JUD101" s="285"/>
      <c r="JUE101" s="285"/>
      <c r="JUF101" s="285"/>
      <c r="JUG101" s="285"/>
      <c r="JUH101" s="285"/>
      <c r="JUI101" s="285"/>
      <c r="JUJ101" s="285"/>
      <c r="JUK101" s="285"/>
      <c r="JUL101" s="285"/>
      <c r="JUM101" s="285"/>
      <c r="JUN101" s="285"/>
      <c r="JUO101" s="285"/>
      <c r="JUP101" s="285"/>
      <c r="JUQ101" s="285"/>
      <c r="JUR101" s="285"/>
      <c r="JUS101" s="285"/>
      <c r="JUT101" s="285"/>
      <c r="JUU101" s="285"/>
      <c r="JUV101" s="285"/>
      <c r="JUW101" s="285"/>
      <c r="JUX101" s="285"/>
      <c r="JUY101" s="285"/>
      <c r="JUZ101" s="285"/>
      <c r="JVA101" s="285"/>
      <c r="JVB101" s="285"/>
      <c r="JVC101" s="285"/>
      <c r="JVD101" s="285"/>
      <c r="JVE101" s="285"/>
      <c r="JVF101" s="285"/>
      <c r="JVG101" s="285"/>
      <c r="JVH101" s="285"/>
      <c r="JVI101" s="285"/>
      <c r="JVJ101" s="285"/>
      <c r="JVK101" s="285"/>
      <c r="JVL101" s="285"/>
      <c r="JVM101" s="285"/>
      <c r="JVN101" s="285"/>
      <c r="JVO101" s="285"/>
      <c r="JVP101" s="285"/>
      <c r="JVQ101" s="285"/>
      <c r="JVR101" s="285"/>
      <c r="JVS101" s="285"/>
      <c r="JVT101" s="285"/>
      <c r="JVU101" s="285"/>
      <c r="JVV101" s="285"/>
      <c r="JVW101" s="285"/>
      <c r="JVX101" s="285"/>
      <c r="JVY101" s="285"/>
      <c r="JVZ101" s="285"/>
      <c r="JWA101" s="285"/>
      <c r="JWB101" s="285"/>
      <c r="JWC101" s="285"/>
      <c r="JWD101" s="285"/>
      <c r="JWE101" s="285"/>
      <c r="JWF101" s="285"/>
      <c r="JWG101" s="285"/>
      <c r="JWH101" s="285"/>
      <c r="JWI101" s="285"/>
      <c r="JWJ101" s="285"/>
      <c r="JWK101" s="285"/>
      <c r="JWL101" s="285"/>
      <c r="JWM101" s="285"/>
      <c r="JWN101" s="285"/>
      <c r="JWO101" s="285"/>
      <c r="JWP101" s="285"/>
      <c r="JWQ101" s="285"/>
      <c r="JWR101" s="285"/>
      <c r="JWS101" s="285"/>
      <c r="JWT101" s="285"/>
      <c r="JWU101" s="285"/>
      <c r="JWV101" s="285"/>
      <c r="JWW101" s="285"/>
      <c r="JWX101" s="285"/>
      <c r="JWY101" s="285"/>
      <c r="JWZ101" s="285"/>
      <c r="JXA101" s="285"/>
      <c r="JXB101" s="285"/>
      <c r="JXC101" s="285"/>
      <c r="JXD101" s="285"/>
      <c r="JXE101" s="285"/>
      <c r="JXF101" s="285"/>
      <c r="JXG101" s="285"/>
      <c r="JXH101" s="285"/>
      <c r="JXI101" s="285"/>
      <c r="JXJ101" s="285"/>
      <c r="JXK101" s="285"/>
      <c r="JXL101" s="285"/>
      <c r="JXM101" s="285"/>
      <c r="JXN101" s="285"/>
      <c r="JXO101" s="285"/>
      <c r="JXP101" s="285"/>
      <c r="JXQ101" s="285"/>
      <c r="JXR101" s="285"/>
      <c r="JXS101" s="285"/>
      <c r="JXT101" s="285"/>
      <c r="JXU101" s="285"/>
      <c r="JXV101" s="285"/>
      <c r="JXW101" s="285"/>
      <c r="JXX101" s="285"/>
      <c r="JXY101" s="285"/>
      <c r="JXZ101" s="285"/>
      <c r="JYA101" s="285"/>
      <c r="JYB101" s="285"/>
      <c r="JYC101" s="285"/>
      <c r="JYD101" s="285"/>
      <c r="JYE101" s="285"/>
      <c r="JYF101" s="285"/>
      <c r="JYG101" s="285"/>
      <c r="JYH101" s="285"/>
      <c r="JYI101" s="285"/>
      <c r="JYJ101" s="285"/>
      <c r="JYK101" s="285"/>
      <c r="JYL101" s="285"/>
      <c r="JYM101" s="285"/>
      <c r="JYN101" s="285"/>
      <c r="JYO101" s="285"/>
      <c r="JYP101" s="285"/>
      <c r="JYQ101" s="285"/>
      <c r="JYR101" s="285"/>
      <c r="JYS101" s="285"/>
      <c r="JYT101" s="285"/>
      <c r="JYU101" s="285"/>
      <c r="JYV101" s="285"/>
      <c r="JYW101" s="285"/>
      <c r="JYX101" s="285"/>
      <c r="JYY101" s="285"/>
      <c r="JYZ101" s="285"/>
      <c r="JZA101" s="285"/>
      <c r="JZB101" s="285"/>
      <c r="JZC101" s="285"/>
      <c r="JZD101" s="285"/>
      <c r="JZE101" s="285"/>
      <c r="JZF101" s="285"/>
      <c r="JZG101" s="285"/>
      <c r="JZH101" s="285"/>
      <c r="JZI101" s="285"/>
      <c r="JZJ101" s="285"/>
      <c r="JZK101" s="285"/>
      <c r="JZL101" s="285"/>
      <c r="JZM101" s="285"/>
      <c r="JZN101" s="285"/>
      <c r="JZO101" s="285"/>
      <c r="JZP101" s="285"/>
      <c r="JZQ101" s="285"/>
      <c r="JZR101" s="285"/>
      <c r="JZS101" s="285"/>
      <c r="JZT101" s="285"/>
      <c r="JZU101" s="285"/>
      <c r="JZV101" s="285"/>
      <c r="JZW101" s="285"/>
      <c r="JZX101" s="285"/>
      <c r="JZY101" s="285"/>
      <c r="JZZ101" s="285"/>
      <c r="KAA101" s="285"/>
      <c r="KAB101" s="285"/>
      <c r="KAC101" s="285"/>
      <c r="KAD101" s="285"/>
      <c r="KAE101" s="285"/>
      <c r="KAF101" s="285"/>
      <c r="KAG101" s="285"/>
      <c r="KAH101" s="285"/>
      <c r="KAI101" s="285"/>
      <c r="KAJ101" s="285"/>
      <c r="KAK101" s="285"/>
      <c r="KAL101" s="285"/>
      <c r="KAM101" s="285"/>
      <c r="KAN101" s="285"/>
      <c r="KAO101" s="285"/>
      <c r="KAP101" s="285"/>
      <c r="KAQ101" s="285"/>
      <c r="KAR101" s="285"/>
      <c r="KAS101" s="285"/>
      <c r="KAT101" s="285"/>
      <c r="KAU101" s="285"/>
      <c r="KAV101" s="285"/>
      <c r="KAW101" s="285"/>
      <c r="KAX101" s="285"/>
      <c r="KAY101" s="285"/>
      <c r="KAZ101" s="285"/>
      <c r="KBA101" s="285"/>
      <c r="KBB101" s="285"/>
      <c r="KBC101" s="285"/>
      <c r="KBD101" s="285"/>
      <c r="KBE101" s="285"/>
      <c r="KBF101" s="285"/>
      <c r="KBG101" s="285"/>
      <c r="KBH101" s="285"/>
      <c r="KBI101" s="285"/>
      <c r="KBJ101" s="285"/>
      <c r="KBK101" s="285"/>
      <c r="KBL101" s="285"/>
      <c r="KBM101" s="285"/>
      <c r="KBN101" s="285"/>
      <c r="KBO101" s="285"/>
      <c r="KBP101" s="285"/>
      <c r="KBQ101" s="285"/>
      <c r="KBR101" s="285"/>
      <c r="KBS101" s="285"/>
      <c r="KBT101" s="285"/>
      <c r="KBU101" s="285"/>
      <c r="KBV101" s="285"/>
      <c r="KBW101" s="285"/>
      <c r="KBX101" s="285"/>
      <c r="KBY101" s="285"/>
      <c r="KBZ101" s="285"/>
      <c r="KCA101" s="285"/>
      <c r="KCB101" s="285"/>
      <c r="KCC101" s="285"/>
      <c r="KCD101" s="285"/>
      <c r="KCE101" s="285"/>
      <c r="KCF101" s="285"/>
      <c r="KCG101" s="285"/>
      <c r="KCH101" s="285"/>
      <c r="KCI101" s="285"/>
      <c r="KCJ101" s="285"/>
      <c r="KCK101" s="285"/>
      <c r="KCL101" s="285"/>
      <c r="KCM101" s="285"/>
      <c r="KCN101" s="285"/>
      <c r="KCO101" s="285"/>
      <c r="KCP101" s="285"/>
      <c r="KCQ101" s="285"/>
      <c r="KCR101" s="285"/>
      <c r="KCS101" s="285"/>
      <c r="KCT101" s="285"/>
      <c r="KCU101" s="285"/>
      <c r="KCV101" s="285"/>
      <c r="KCW101" s="285"/>
      <c r="KCX101" s="285"/>
      <c r="KCY101" s="285"/>
      <c r="KCZ101" s="285"/>
      <c r="KDA101" s="285"/>
      <c r="KDB101" s="285"/>
      <c r="KDC101" s="285"/>
      <c r="KDD101" s="285"/>
      <c r="KDE101" s="285"/>
      <c r="KDF101" s="285"/>
      <c r="KDG101" s="285"/>
      <c r="KDH101" s="285"/>
      <c r="KDI101" s="285"/>
      <c r="KDJ101" s="285"/>
      <c r="KDK101" s="285"/>
      <c r="KDL101" s="285"/>
      <c r="KDM101" s="285"/>
      <c r="KDN101" s="285"/>
      <c r="KDO101" s="285"/>
      <c r="KDP101" s="285"/>
      <c r="KDQ101" s="285"/>
      <c r="KDR101" s="285"/>
      <c r="KDS101" s="285"/>
      <c r="KDT101" s="285"/>
      <c r="KDU101" s="285"/>
      <c r="KDV101" s="285"/>
      <c r="KDW101" s="285"/>
      <c r="KDX101" s="285"/>
      <c r="KDY101" s="285"/>
      <c r="KDZ101" s="285"/>
      <c r="KEA101" s="285"/>
      <c r="KEB101" s="285"/>
      <c r="KEC101" s="285"/>
      <c r="KED101" s="285"/>
      <c r="KEE101" s="285"/>
      <c r="KEF101" s="285"/>
      <c r="KEG101" s="285"/>
      <c r="KEH101" s="285"/>
      <c r="KEI101" s="285"/>
      <c r="KEJ101" s="285"/>
      <c r="KEK101" s="285"/>
      <c r="KEL101" s="285"/>
      <c r="KEM101" s="285"/>
      <c r="KEN101" s="285"/>
      <c r="KEO101" s="285"/>
      <c r="KEP101" s="285"/>
      <c r="KEQ101" s="285"/>
      <c r="KER101" s="285"/>
      <c r="KES101" s="285"/>
      <c r="KET101" s="285"/>
      <c r="KEU101" s="285"/>
      <c r="KEV101" s="285"/>
      <c r="KEW101" s="285"/>
      <c r="KEX101" s="285"/>
      <c r="KEY101" s="285"/>
      <c r="KEZ101" s="285"/>
      <c r="KFA101" s="285"/>
      <c r="KFB101" s="285"/>
      <c r="KFC101" s="285"/>
      <c r="KFD101" s="285"/>
      <c r="KFE101" s="285"/>
      <c r="KFF101" s="285"/>
      <c r="KFG101" s="285"/>
      <c r="KFH101" s="285"/>
      <c r="KFI101" s="285"/>
      <c r="KFJ101" s="285"/>
      <c r="KFK101" s="285"/>
      <c r="KFL101" s="285"/>
      <c r="KFM101" s="285"/>
      <c r="KFN101" s="285"/>
      <c r="KFO101" s="285"/>
      <c r="KFP101" s="285"/>
      <c r="KFQ101" s="285"/>
      <c r="KFR101" s="285"/>
      <c r="KFS101" s="285"/>
      <c r="KFT101" s="285"/>
      <c r="KFU101" s="285"/>
      <c r="KFV101" s="285"/>
      <c r="KFW101" s="285"/>
      <c r="KFX101" s="285"/>
      <c r="KFY101" s="285"/>
      <c r="KFZ101" s="285"/>
      <c r="KGA101" s="285"/>
      <c r="KGB101" s="285"/>
      <c r="KGC101" s="285"/>
      <c r="KGD101" s="285"/>
      <c r="KGE101" s="285"/>
      <c r="KGF101" s="285"/>
      <c r="KGG101" s="285"/>
      <c r="KGH101" s="285"/>
      <c r="KGI101" s="285"/>
      <c r="KGJ101" s="285"/>
      <c r="KGK101" s="285"/>
      <c r="KGL101" s="285"/>
      <c r="KGM101" s="285"/>
      <c r="KGN101" s="285"/>
      <c r="KGO101" s="285"/>
      <c r="KGP101" s="285"/>
      <c r="KGQ101" s="285"/>
      <c r="KGR101" s="285"/>
      <c r="KGS101" s="285"/>
      <c r="KGT101" s="285"/>
      <c r="KGU101" s="285"/>
      <c r="KGV101" s="285"/>
      <c r="KGW101" s="285"/>
      <c r="KGX101" s="285"/>
      <c r="KGY101" s="285"/>
      <c r="KGZ101" s="285"/>
      <c r="KHA101" s="285"/>
      <c r="KHB101" s="285"/>
      <c r="KHC101" s="285"/>
      <c r="KHD101" s="285"/>
      <c r="KHE101" s="285"/>
      <c r="KHF101" s="285"/>
      <c r="KHG101" s="285"/>
      <c r="KHH101" s="285"/>
      <c r="KHI101" s="285"/>
      <c r="KHJ101" s="285"/>
      <c r="KHK101" s="285"/>
      <c r="KHL101" s="285"/>
      <c r="KHM101" s="285"/>
      <c r="KHN101" s="285"/>
      <c r="KHO101" s="285"/>
      <c r="KHP101" s="285"/>
      <c r="KHQ101" s="285"/>
      <c r="KHR101" s="285"/>
      <c r="KHS101" s="285"/>
      <c r="KHT101" s="285"/>
      <c r="KHU101" s="285"/>
      <c r="KHV101" s="285"/>
      <c r="KHW101" s="285"/>
      <c r="KHX101" s="285"/>
      <c r="KHY101" s="285"/>
      <c r="KHZ101" s="285"/>
      <c r="KIA101" s="285"/>
      <c r="KIB101" s="285"/>
      <c r="KIC101" s="285"/>
      <c r="KID101" s="285"/>
      <c r="KIE101" s="285"/>
      <c r="KIF101" s="285"/>
      <c r="KIG101" s="285"/>
      <c r="KIH101" s="285"/>
      <c r="KII101" s="285"/>
      <c r="KIJ101" s="285"/>
      <c r="KIK101" s="285"/>
      <c r="KIL101" s="285"/>
      <c r="KIM101" s="285"/>
      <c r="KIN101" s="285"/>
      <c r="KIO101" s="285"/>
      <c r="KIP101" s="285"/>
      <c r="KIQ101" s="285"/>
      <c r="KIR101" s="285"/>
      <c r="KIS101" s="285"/>
      <c r="KIT101" s="285"/>
      <c r="KIU101" s="285"/>
      <c r="KIV101" s="285"/>
      <c r="KIW101" s="285"/>
      <c r="KIX101" s="285"/>
      <c r="KIY101" s="285"/>
      <c r="KIZ101" s="285"/>
      <c r="KJA101" s="285"/>
      <c r="KJB101" s="285"/>
      <c r="KJC101" s="285"/>
      <c r="KJD101" s="285"/>
      <c r="KJE101" s="285"/>
      <c r="KJF101" s="285"/>
      <c r="KJG101" s="285"/>
      <c r="KJH101" s="285"/>
      <c r="KJI101" s="285"/>
      <c r="KJJ101" s="285"/>
      <c r="KJK101" s="285"/>
      <c r="KJL101" s="285"/>
      <c r="KJM101" s="285"/>
      <c r="KJN101" s="285"/>
      <c r="KJO101" s="285"/>
      <c r="KJP101" s="285"/>
      <c r="KJQ101" s="285"/>
      <c r="KJR101" s="285"/>
      <c r="KJS101" s="285"/>
      <c r="KJT101" s="285"/>
      <c r="KJU101" s="285"/>
      <c r="KJV101" s="285"/>
      <c r="KJW101" s="285"/>
      <c r="KJX101" s="285"/>
      <c r="KJY101" s="285"/>
      <c r="KJZ101" s="285"/>
      <c r="KKA101" s="285"/>
      <c r="KKB101" s="285"/>
      <c r="KKC101" s="285"/>
      <c r="KKD101" s="285"/>
      <c r="KKE101" s="285"/>
      <c r="KKF101" s="285"/>
      <c r="KKG101" s="285"/>
      <c r="KKH101" s="285"/>
      <c r="KKI101" s="285"/>
      <c r="KKJ101" s="285"/>
      <c r="KKK101" s="285"/>
      <c r="KKL101" s="285"/>
      <c r="KKM101" s="285"/>
      <c r="KKN101" s="285"/>
      <c r="KKO101" s="285"/>
      <c r="KKP101" s="285"/>
      <c r="KKQ101" s="285"/>
      <c r="KKR101" s="285"/>
      <c r="KKS101" s="285"/>
      <c r="KKT101" s="285"/>
      <c r="KKU101" s="285"/>
      <c r="KKV101" s="285"/>
      <c r="KKW101" s="285"/>
      <c r="KKX101" s="285"/>
      <c r="KKY101" s="285"/>
      <c r="KKZ101" s="285"/>
      <c r="KLA101" s="285"/>
      <c r="KLB101" s="285"/>
      <c r="KLC101" s="285"/>
      <c r="KLD101" s="285"/>
      <c r="KLE101" s="285"/>
      <c r="KLF101" s="285"/>
      <c r="KLG101" s="285"/>
      <c r="KLH101" s="285"/>
      <c r="KLI101" s="285"/>
      <c r="KLJ101" s="285"/>
      <c r="KLK101" s="285"/>
      <c r="KLL101" s="285"/>
      <c r="KLM101" s="285"/>
      <c r="KLN101" s="285"/>
      <c r="KLO101" s="285"/>
      <c r="KLP101" s="285"/>
      <c r="KLQ101" s="285"/>
      <c r="KLR101" s="285"/>
      <c r="KLS101" s="285"/>
      <c r="KLT101" s="285"/>
      <c r="KLU101" s="285"/>
      <c r="KLV101" s="285"/>
      <c r="KLW101" s="285"/>
      <c r="KLX101" s="285"/>
      <c r="KLY101" s="285"/>
      <c r="KLZ101" s="285"/>
      <c r="KMA101" s="285"/>
      <c r="KMB101" s="285"/>
      <c r="KMC101" s="285"/>
      <c r="KMD101" s="285"/>
      <c r="KME101" s="285"/>
      <c r="KMF101" s="285"/>
      <c r="KMG101" s="285"/>
      <c r="KMH101" s="285"/>
      <c r="KMI101" s="285"/>
      <c r="KMJ101" s="285"/>
      <c r="KMK101" s="285"/>
      <c r="KML101" s="285"/>
      <c r="KMM101" s="285"/>
      <c r="KMN101" s="285"/>
      <c r="KMO101" s="285"/>
      <c r="KMP101" s="285"/>
      <c r="KMQ101" s="285"/>
      <c r="KMR101" s="285"/>
      <c r="KMS101" s="285"/>
      <c r="KMT101" s="285"/>
      <c r="KMU101" s="285"/>
      <c r="KMV101" s="285"/>
      <c r="KMW101" s="285"/>
      <c r="KMX101" s="285"/>
      <c r="KMY101" s="285"/>
      <c r="KMZ101" s="285"/>
      <c r="KNA101" s="285"/>
      <c r="KNB101" s="285"/>
      <c r="KNC101" s="285"/>
      <c r="KND101" s="285"/>
      <c r="KNE101" s="285"/>
      <c r="KNF101" s="285"/>
      <c r="KNG101" s="285"/>
      <c r="KNH101" s="285"/>
      <c r="KNI101" s="285"/>
      <c r="KNJ101" s="285"/>
      <c r="KNK101" s="285"/>
      <c r="KNL101" s="285"/>
      <c r="KNM101" s="285"/>
      <c r="KNN101" s="285"/>
      <c r="KNO101" s="285"/>
      <c r="KNP101" s="285"/>
      <c r="KNQ101" s="285"/>
      <c r="KNR101" s="285"/>
      <c r="KNS101" s="285"/>
      <c r="KNT101" s="285"/>
      <c r="KNU101" s="285"/>
      <c r="KNV101" s="285"/>
      <c r="KNW101" s="285"/>
      <c r="KNX101" s="285"/>
      <c r="KNY101" s="285"/>
      <c r="KNZ101" s="285"/>
      <c r="KOA101" s="285"/>
      <c r="KOB101" s="285"/>
      <c r="KOC101" s="285"/>
      <c r="KOD101" s="285"/>
      <c r="KOE101" s="285"/>
      <c r="KOF101" s="285"/>
      <c r="KOG101" s="285"/>
      <c r="KOH101" s="285"/>
      <c r="KOI101" s="285"/>
      <c r="KOJ101" s="285"/>
      <c r="KOK101" s="285"/>
      <c r="KOL101" s="285"/>
      <c r="KOM101" s="285"/>
      <c r="KON101" s="285"/>
      <c r="KOO101" s="285"/>
      <c r="KOP101" s="285"/>
      <c r="KOQ101" s="285"/>
      <c r="KOR101" s="285"/>
      <c r="KOS101" s="285"/>
      <c r="KOT101" s="285"/>
      <c r="KOU101" s="285"/>
      <c r="KOV101" s="285"/>
      <c r="KOW101" s="285"/>
      <c r="KOX101" s="285"/>
      <c r="KOY101" s="285"/>
      <c r="KOZ101" s="285"/>
      <c r="KPA101" s="285"/>
      <c r="KPB101" s="285"/>
      <c r="KPC101" s="285"/>
      <c r="KPD101" s="285"/>
      <c r="KPE101" s="285"/>
      <c r="KPF101" s="285"/>
      <c r="KPG101" s="285"/>
      <c r="KPH101" s="285"/>
      <c r="KPI101" s="285"/>
      <c r="KPJ101" s="285"/>
      <c r="KPK101" s="285"/>
      <c r="KPL101" s="285"/>
      <c r="KPM101" s="285"/>
      <c r="KPN101" s="285"/>
      <c r="KPO101" s="285"/>
      <c r="KPP101" s="285"/>
      <c r="KPQ101" s="285"/>
      <c r="KPR101" s="285"/>
      <c r="KPS101" s="285"/>
      <c r="KPT101" s="285"/>
      <c r="KPU101" s="285"/>
      <c r="KPV101" s="285"/>
      <c r="KPW101" s="285"/>
      <c r="KPX101" s="285"/>
      <c r="KPY101" s="285"/>
      <c r="KPZ101" s="285"/>
      <c r="KQA101" s="285"/>
      <c r="KQB101" s="285"/>
      <c r="KQC101" s="285"/>
      <c r="KQD101" s="285"/>
      <c r="KQE101" s="285"/>
      <c r="KQF101" s="285"/>
      <c r="KQG101" s="285"/>
      <c r="KQH101" s="285"/>
      <c r="KQI101" s="285"/>
      <c r="KQJ101" s="285"/>
      <c r="KQK101" s="285"/>
      <c r="KQL101" s="285"/>
      <c r="KQM101" s="285"/>
      <c r="KQN101" s="285"/>
      <c r="KQO101" s="285"/>
      <c r="KQP101" s="285"/>
      <c r="KQQ101" s="285"/>
      <c r="KQR101" s="285"/>
      <c r="KQS101" s="285"/>
      <c r="KQT101" s="285"/>
      <c r="KQU101" s="285"/>
      <c r="KQV101" s="285"/>
      <c r="KQW101" s="285"/>
      <c r="KQX101" s="285"/>
      <c r="KQY101" s="285"/>
      <c r="KQZ101" s="285"/>
      <c r="KRA101" s="285"/>
      <c r="KRB101" s="285"/>
      <c r="KRC101" s="285"/>
      <c r="KRD101" s="285"/>
      <c r="KRE101" s="285"/>
      <c r="KRF101" s="285"/>
      <c r="KRG101" s="285"/>
      <c r="KRH101" s="285"/>
      <c r="KRI101" s="285"/>
      <c r="KRJ101" s="285"/>
      <c r="KRK101" s="285"/>
      <c r="KRL101" s="285"/>
      <c r="KRM101" s="285"/>
      <c r="KRN101" s="285"/>
      <c r="KRO101" s="285"/>
      <c r="KRP101" s="285"/>
      <c r="KRQ101" s="285"/>
      <c r="KRR101" s="285"/>
      <c r="KRS101" s="285"/>
      <c r="KRT101" s="285"/>
      <c r="KRU101" s="285"/>
      <c r="KRV101" s="285"/>
      <c r="KRW101" s="285"/>
      <c r="KRX101" s="285"/>
      <c r="KRY101" s="285"/>
      <c r="KRZ101" s="285"/>
      <c r="KSA101" s="285"/>
      <c r="KSB101" s="285"/>
      <c r="KSC101" s="285"/>
      <c r="KSD101" s="285"/>
      <c r="KSE101" s="285"/>
      <c r="KSF101" s="285"/>
      <c r="KSG101" s="285"/>
      <c r="KSH101" s="285"/>
      <c r="KSI101" s="285"/>
      <c r="KSJ101" s="285"/>
      <c r="KSK101" s="285"/>
      <c r="KSL101" s="285"/>
      <c r="KSM101" s="285"/>
      <c r="KSN101" s="285"/>
      <c r="KSO101" s="285"/>
      <c r="KSP101" s="285"/>
      <c r="KSQ101" s="285"/>
      <c r="KSR101" s="285"/>
      <c r="KSS101" s="285"/>
      <c r="KST101" s="285"/>
      <c r="KSU101" s="285"/>
      <c r="KSV101" s="285"/>
      <c r="KSW101" s="285"/>
      <c r="KSX101" s="285"/>
      <c r="KSY101" s="285"/>
      <c r="KSZ101" s="285"/>
      <c r="KTA101" s="285"/>
      <c r="KTB101" s="285"/>
      <c r="KTC101" s="285"/>
      <c r="KTD101" s="285"/>
      <c r="KTE101" s="285"/>
      <c r="KTF101" s="285"/>
      <c r="KTG101" s="285"/>
      <c r="KTH101" s="285"/>
      <c r="KTI101" s="285"/>
      <c r="KTJ101" s="285"/>
      <c r="KTK101" s="285"/>
      <c r="KTL101" s="285"/>
      <c r="KTM101" s="285"/>
      <c r="KTN101" s="285"/>
      <c r="KTO101" s="285"/>
      <c r="KTP101" s="285"/>
      <c r="KTQ101" s="285"/>
      <c r="KTR101" s="285"/>
      <c r="KTS101" s="285"/>
      <c r="KTT101" s="285"/>
      <c r="KTU101" s="285"/>
      <c r="KTV101" s="285"/>
      <c r="KTW101" s="285"/>
      <c r="KTX101" s="285"/>
      <c r="KTY101" s="285"/>
      <c r="KTZ101" s="285"/>
      <c r="KUA101" s="285"/>
      <c r="KUB101" s="285"/>
      <c r="KUC101" s="285"/>
      <c r="KUD101" s="285"/>
      <c r="KUE101" s="285"/>
      <c r="KUF101" s="285"/>
      <c r="KUG101" s="285"/>
      <c r="KUH101" s="285"/>
      <c r="KUI101" s="285"/>
      <c r="KUJ101" s="285"/>
      <c r="KUK101" s="285"/>
      <c r="KUL101" s="285"/>
      <c r="KUM101" s="285"/>
      <c r="KUN101" s="285"/>
      <c r="KUO101" s="285"/>
      <c r="KUP101" s="285"/>
      <c r="KUQ101" s="285"/>
      <c r="KUR101" s="285"/>
      <c r="KUS101" s="285"/>
      <c r="KUT101" s="285"/>
      <c r="KUU101" s="285"/>
      <c r="KUV101" s="285"/>
      <c r="KUW101" s="285"/>
      <c r="KUX101" s="285"/>
      <c r="KUY101" s="285"/>
      <c r="KUZ101" s="285"/>
      <c r="KVA101" s="285"/>
      <c r="KVB101" s="285"/>
      <c r="KVC101" s="285"/>
      <c r="KVD101" s="285"/>
      <c r="KVE101" s="285"/>
      <c r="KVF101" s="285"/>
      <c r="KVG101" s="285"/>
      <c r="KVH101" s="285"/>
      <c r="KVI101" s="285"/>
      <c r="KVJ101" s="285"/>
      <c r="KVK101" s="285"/>
      <c r="KVL101" s="285"/>
      <c r="KVM101" s="285"/>
      <c r="KVN101" s="285"/>
      <c r="KVO101" s="285"/>
      <c r="KVP101" s="285"/>
      <c r="KVQ101" s="285"/>
      <c r="KVR101" s="285"/>
      <c r="KVS101" s="285"/>
      <c r="KVT101" s="285"/>
      <c r="KVU101" s="285"/>
      <c r="KVV101" s="285"/>
      <c r="KVW101" s="285"/>
      <c r="KVX101" s="285"/>
      <c r="KVY101" s="285"/>
      <c r="KVZ101" s="285"/>
      <c r="KWA101" s="285"/>
      <c r="KWB101" s="285"/>
      <c r="KWC101" s="285"/>
      <c r="KWD101" s="285"/>
      <c r="KWE101" s="285"/>
      <c r="KWF101" s="285"/>
      <c r="KWG101" s="285"/>
      <c r="KWH101" s="285"/>
      <c r="KWI101" s="285"/>
      <c r="KWJ101" s="285"/>
      <c r="KWK101" s="285"/>
      <c r="KWL101" s="285"/>
      <c r="KWM101" s="285"/>
      <c r="KWN101" s="285"/>
      <c r="KWO101" s="285"/>
      <c r="KWP101" s="285"/>
      <c r="KWQ101" s="285"/>
      <c r="KWR101" s="285"/>
      <c r="KWS101" s="285"/>
      <c r="KWT101" s="285"/>
      <c r="KWU101" s="285"/>
      <c r="KWV101" s="285"/>
      <c r="KWW101" s="285"/>
      <c r="KWX101" s="285"/>
      <c r="KWY101" s="285"/>
      <c r="KWZ101" s="285"/>
      <c r="KXA101" s="285"/>
      <c r="KXB101" s="285"/>
      <c r="KXC101" s="285"/>
      <c r="KXD101" s="285"/>
      <c r="KXE101" s="285"/>
      <c r="KXF101" s="285"/>
      <c r="KXG101" s="285"/>
      <c r="KXH101" s="285"/>
      <c r="KXI101" s="285"/>
      <c r="KXJ101" s="285"/>
      <c r="KXK101" s="285"/>
      <c r="KXL101" s="285"/>
      <c r="KXM101" s="285"/>
      <c r="KXN101" s="285"/>
      <c r="KXO101" s="285"/>
      <c r="KXP101" s="285"/>
      <c r="KXQ101" s="285"/>
      <c r="KXR101" s="285"/>
      <c r="KXS101" s="285"/>
      <c r="KXT101" s="285"/>
      <c r="KXU101" s="285"/>
      <c r="KXV101" s="285"/>
      <c r="KXW101" s="285"/>
      <c r="KXX101" s="285"/>
      <c r="KXY101" s="285"/>
      <c r="KXZ101" s="285"/>
      <c r="KYA101" s="285"/>
      <c r="KYB101" s="285"/>
      <c r="KYC101" s="285"/>
      <c r="KYD101" s="285"/>
      <c r="KYE101" s="285"/>
      <c r="KYF101" s="285"/>
      <c r="KYG101" s="285"/>
      <c r="KYH101" s="285"/>
      <c r="KYI101" s="285"/>
      <c r="KYJ101" s="285"/>
      <c r="KYK101" s="285"/>
      <c r="KYL101" s="285"/>
      <c r="KYM101" s="285"/>
      <c r="KYN101" s="285"/>
      <c r="KYO101" s="285"/>
      <c r="KYP101" s="285"/>
      <c r="KYQ101" s="285"/>
      <c r="KYR101" s="285"/>
      <c r="KYS101" s="285"/>
      <c r="KYT101" s="285"/>
      <c r="KYU101" s="285"/>
      <c r="KYV101" s="285"/>
      <c r="KYW101" s="285"/>
      <c r="KYX101" s="285"/>
      <c r="KYY101" s="285"/>
      <c r="KYZ101" s="285"/>
      <c r="KZA101" s="285"/>
      <c r="KZB101" s="285"/>
      <c r="KZC101" s="285"/>
      <c r="KZD101" s="285"/>
      <c r="KZE101" s="285"/>
      <c r="KZF101" s="285"/>
      <c r="KZG101" s="285"/>
      <c r="KZH101" s="285"/>
      <c r="KZI101" s="285"/>
      <c r="KZJ101" s="285"/>
      <c r="KZK101" s="285"/>
      <c r="KZL101" s="285"/>
      <c r="KZM101" s="285"/>
      <c r="KZN101" s="285"/>
      <c r="KZO101" s="285"/>
      <c r="KZP101" s="285"/>
      <c r="KZQ101" s="285"/>
      <c r="KZR101" s="285"/>
      <c r="KZS101" s="285"/>
      <c r="KZT101" s="285"/>
      <c r="KZU101" s="285"/>
      <c r="KZV101" s="285"/>
      <c r="KZW101" s="285"/>
      <c r="KZX101" s="285"/>
      <c r="KZY101" s="285"/>
      <c r="KZZ101" s="285"/>
      <c r="LAA101" s="285"/>
      <c r="LAB101" s="285"/>
      <c r="LAC101" s="285"/>
      <c r="LAD101" s="285"/>
      <c r="LAE101" s="285"/>
      <c r="LAF101" s="285"/>
      <c r="LAG101" s="285"/>
      <c r="LAH101" s="285"/>
      <c r="LAI101" s="285"/>
      <c r="LAJ101" s="285"/>
      <c r="LAK101" s="285"/>
      <c r="LAL101" s="285"/>
      <c r="LAM101" s="285"/>
      <c r="LAN101" s="285"/>
      <c r="LAO101" s="285"/>
      <c r="LAP101" s="285"/>
      <c r="LAQ101" s="285"/>
      <c r="LAR101" s="285"/>
      <c r="LAS101" s="285"/>
      <c r="LAT101" s="285"/>
      <c r="LAU101" s="285"/>
      <c r="LAV101" s="285"/>
      <c r="LAW101" s="285"/>
      <c r="LAX101" s="285"/>
      <c r="LAY101" s="285"/>
      <c r="LAZ101" s="285"/>
      <c r="LBA101" s="285"/>
      <c r="LBB101" s="285"/>
      <c r="LBC101" s="285"/>
      <c r="LBD101" s="285"/>
      <c r="LBE101" s="285"/>
      <c r="LBF101" s="285"/>
      <c r="LBG101" s="285"/>
      <c r="LBH101" s="285"/>
      <c r="LBI101" s="285"/>
      <c r="LBJ101" s="285"/>
      <c r="LBK101" s="285"/>
      <c r="LBL101" s="285"/>
      <c r="LBM101" s="285"/>
      <c r="LBN101" s="285"/>
      <c r="LBO101" s="285"/>
      <c r="LBP101" s="285"/>
      <c r="LBQ101" s="285"/>
      <c r="LBR101" s="285"/>
      <c r="LBS101" s="285"/>
      <c r="LBT101" s="285"/>
      <c r="LBU101" s="285"/>
      <c r="LBV101" s="285"/>
      <c r="LBW101" s="285"/>
      <c r="LBX101" s="285"/>
      <c r="LBY101" s="285"/>
      <c r="LBZ101" s="285"/>
      <c r="LCA101" s="285"/>
      <c r="LCB101" s="285"/>
      <c r="LCC101" s="285"/>
      <c r="LCD101" s="285"/>
      <c r="LCE101" s="285"/>
      <c r="LCF101" s="285"/>
      <c r="LCG101" s="285"/>
      <c r="LCH101" s="285"/>
      <c r="LCI101" s="285"/>
      <c r="LCJ101" s="285"/>
      <c r="LCK101" s="285"/>
      <c r="LCL101" s="285"/>
      <c r="LCM101" s="285"/>
      <c r="LCN101" s="285"/>
      <c r="LCO101" s="285"/>
      <c r="LCP101" s="285"/>
      <c r="LCQ101" s="285"/>
      <c r="LCR101" s="285"/>
      <c r="LCS101" s="285"/>
      <c r="LCT101" s="285"/>
      <c r="LCU101" s="285"/>
      <c r="LCV101" s="285"/>
      <c r="LCW101" s="285"/>
      <c r="LCX101" s="285"/>
      <c r="LCY101" s="285"/>
      <c r="LCZ101" s="285"/>
      <c r="LDA101" s="285"/>
      <c r="LDB101" s="285"/>
      <c r="LDC101" s="285"/>
      <c r="LDD101" s="285"/>
      <c r="LDE101" s="285"/>
      <c r="LDF101" s="285"/>
      <c r="LDG101" s="285"/>
      <c r="LDH101" s="285"/>
      <c r="LDI101" s="285"/>
      <c r="LDJ101" s="285"/>
      <c r="LDK101" s="285"/>
      <c r="LDL101" s="285"/>
      <c r="LDM101" s="285"/>
      <c r="LDN101" s="285"/>
      <c r="LDO101" s="285"/>
      <c r="LDP101" s="285"/>
      <c r="LDQ101" s="285"/>
      <c r="LDR101" s="285"/>
      <c r="LDS101" s="285"/>
      <c r="LDT101" s="285"/>
      <c r="LDU101" s="285"/>
      <c r="LDV101" s="285"/>
      <c r="LDW101" s="285"/>
      <c r="LDX101" s="285"/>
      <c r="LDY101" s="285"/>
      <c r="LDZ101" s="285"/>
      <c r="LEA101" s="285"/>
      <c r="LEB101" s="285"/>
      <c r="LEC101" s="285"/>
      <c r="LED101" s="285"/>
      <c r="LEE101" s="285"/>
      <c r="LEF101" s="285"/>
      <c r="LEG101" s="285"/>
      <c r="LEH101" s="285"/>
      <c r="LEI101" s="285"/>
      <c r="LEJ101" s="285"/>
      <c r="LEK101" s="285"/>
      <c r="LEL101" s="285"/>
      <c r="LEM101" s="285"/>
      <c r="LEN101" s="285"/>
      <c r="LEO101" s="285"/>
      <c r="LEP101" s="285"/>
      <c r="LEQ101" s="285"/>
      <c r="LER101" s="285"/>
      <c r="LES101" s="285"/>
      <c r="LET101" s="285"/>
      <c r="LEU101" s="285"/>
      <c r="LEV101" s="285"/>
      <c r="LEW101" s="285"/>
      <c r="LEX101" s="285"/>
      <c r="LEY101" s="285"/>
      <c r="LEZ101" s="285"/>
      <c r="LFA101" s="285"/>
      <c r="LFB101" s="285"/>
      <c r="LFC101" s="285"/>
      <c r="LFD101" s="285"/>
      <c r="LFE101" s="285"/>
      <c r="LFF101" s="285"/>
      <c r="LFG101" s="285"/>
      <c r="LFH101" s="285"/>
      <c r="LFI101" s="285"/>
      <c r="LFJ101" s="285"/>
      <c r="LFK101" s="285"/>
      <c r="LFL101" s="285"/>
      <c r="LFM101" s="285"/>
      <c r="LFN101" s="285"/>
      <c r="LFO101" s="285"/>
      <c r="LFP101" s="285"/>
      <c r="LFQ101" s="285"/>
      <c r="LFR101" s="285"/>
      <c r="LFS101" s="285"/>
      <c r="LFT101" s="285"/>
      <c r="LFU101" s="285"/>
      <c r="LFV101" s="285"/>
      <c r="LFW101" s="285"/>
      <c r="LFX101" s="285"/>
      <c r="LFY101" s="285"/>
      <c r="LFZ101" s="285"/>
      <c r="LGA101" s="285"/>
      <c r="LGB101" s="285"/>
      <c r="LGC101" s="285"/>
      <c r="LGD101" s="285"/>
      <c r="LGE101" s="285"/>
      <c r="LGF101" s="285"/>
      <c r="LGG101" s="285"/>
      <c r="LGH101" s="285"/>
      <c r="LGI101" s="285"/>
      <c r="LGJ101" s="285"/>
      <c r="LGK101" s="285"/>
      <c r="LGL101" s="285"/>
      <c r="LGM101" s="285"/>
      <c r="LGN101" s="285"/>
      <c r="LGO101" s="285"/>
      <c r="LGP101" s="285"/>
      <c r="LGQ101" s="285"/>
      <c r="LGR101" s="285"/>
      <c r="LGS101" s="285"/>
      <c r="LGT101" s="285"/>
      <c r="LGU101" s="285"/>
      <c r="LGV101" s="285"/>
      <c r="LGW101" s="285"/>
      <c r="LGX101" s="285"/>
      <c r="LGY101" s="285"/>
      <c r="LGZ101" s="285"/>
      <c r="LHA101" s="285"/>
      <c r="LHB101" s="285"/>
      <c r="LHC101" s="285"/>
      <c r="LHD101" s="285"/>
      <c r="LHE101" s="285"/>
      <c r="LHF101" s="285"/>
      <c r="LHG101" s="285"/>
      <c r="LHH101" s="285"/>
      <c r="LHI101" s="285"/>
      <c r="LHJ101" s="285"/>
      <c r="LHK101" s="285"/>
      <c r="LHL101" s="285"/>
      <c r="LHM101" s="285"/>
      <c r="LHN101" s="285"/>
      <c r="LHO101" s="285"/>
      <c r="LHP101" s="285"/>
      <c r="LHQ101" s="285"/>
      <c r="LHR101" s="285"/>
      <c r="LHS101" s="285"/>
      <c r="LHT101" s="285"/>
      <c r="LHU101" s="285"/>
      <c r="LHV101" s="285"/>
      <c r="LHW101" s="285"/>
      <c r="LHX101" s="285"/>
      <c r="LHY101" s="285"/>
      <c r="LHZ101" s="285"/>
      <c r="LIA101" s="285"/>
      <c r="LIB101" s="285"/>
      <c r="LIC101" s="285"/>
      <c r="LID101" s="285"/>
      <c r="LIE101" s="285"/>
      <c r="LIF101" s="285"/>
      <c r="LIG101" s="285"/>
      <c r="LIH101" s="285"/>
      <c r="LII101" s="285"/>
      <c r="LIJ101" s="285"/>
      <c r="LIK101" s="285"/>
      <c r="LIL101" s="285"/>
      <c r="LIM101" s="285"/>
      <c r="LIN101" s="285"/>
      <c r="LIO101" s="285"/>
      <c r="LIP101" s="285"/>
      <c r="LIQ101" s="285"/>
      <c r="LIR101" s="285"/>
      <c r="LIS101" s="285"/>
      <c r="LIT101" s="285"/>
      <c r="LIU101" s="285"/>
      <c r="LIV101" s="285"/>
      <c r="LIW101" s="285"/>
      <c r="LIX101" s="285"/>
      <c r="LIY101" s="285"/>
      <c r="LIZ101" s="285"/>
      <c r="LJA101" s="285"/>
      <c r="LJB101" s="285"/>
      <c r="LJC101" s="285"/>
      <c r="LJD101" s="285"/>
      <c r="LJE101" s="285"/>
      <c r="LJF101" s="285"/>
      <c r="LJG101" s="285"/>
      <c r="LJH101" s="285"/>
      <c r="LJI101" s="285"/>
      <c r="LJJ101" s="285"/>
      <c r="LJK101" s="285"/>
      <c r="LJL101" s="285"/>
      <c r="LJM101" s="285"/>
      <c r="LJN101" s="285"/>
      <c r="LJO101" s="285"/>
      <c r="LJP101" s="285"/>
      <c r="LJQ101" s="285"/>
      <c r="LJR101" s="285"/>
      <c r="LJS101" s="285"/>
      <c r="LJT101" s="285"/>
      <c r="LJU101" s="285"/>
      <c r="LJV101" s="285"/>
      <c r="LJW101" s="285"/>
      <c r="LJX101" s="285"/>
      <c r="LJY101" s="285"/>
      <c r="LJZ101" s="285"/>
      <c r="LKA101" s="285"/>
      <c r="LKB101" s="285"/>
      <c r="LKC101" s="285"/>
      <c r="LKD101" s="285"/>
      <c r="LKE101" s="285"/>
      <c r="LKF101" s="285"/>
      <c r="LKG101" s="285"/>
      <c r="LKH101" s="285"/>
      <c r="LKI101" s="285"/>
      <c r="LKJ101" s="285"/>
      <c r="LKK101" s="285"/>
      <c r="LKL101" s="285"/>
      <c r="LKM101" s="285"/>
      <c r="LKN101" s="285"/>
      <c r="LKO101" s="285"/>
      <c r="LKP101" s="285"/>
      <c r="LKQ101" s="285"/>
      <c r="LKR101" s="285"/>
      <c r="LKS101" s="285"/>
      <c r="LKT101" s="285"/>
      <c r="LKU101" s="285"/>
      <c r="LKV101" s="285"/>
      <c r="LKW101" s="285"/>
      <c r="LKX101" s="285"/>
      <c r="LKY101" s="285"/>
      <c r="LKZ101" s="285"/>
      <c r="LLA101" s="285"/>
      <c r="LLB101" s="285"/>
      <c r="LLC101" s="285"/>
      <c r="LLD101" s="285"/>
      <c r="LLE101" s="285"/>
      <c r="LLF101" s="285"/>
      <c r="LLG101" s="285"/>
      <c r="LLH101" s="285"/>
      <c r="LLI101" s="285"/>
      <c r="LLJ101" s="285"/>
      <c r="LLK101" s="285"/>
      <c r="LLL101" s="285"/>
      <c r="LLM101" s="285"/>
      <c r="LLN101" s="285"/>
      <c r="LLO101" s="285"/>
      <c r="LLP101" s="285"/>
      <c r="LLQ101" s="285"/>
      <c r="LLR101" s="285"/>
      <c r="LLS101" s="285"/>
      <c r="LLT101" s="285"/>
      <c r="LLU101" s="285"/>
      <c r="LLV101" s="285"/>
      <c r="LLW101" s="285"/>
      <c r="LLX101" s="285"/>
      <c r="LLY101" s="285"/>
      <c r="LLZ101" s="285"/>
      <c r="LMA101" s="285"/>
      <c r="LMB101" s="285"/>
      <c r="LMC101" s="285"/>
      <c r="LMD101" s="285"/>
      <c r="LME101" s="285"/>
      <c r="LMF101" s="285"/>
      <c r="LMG101" s="285"/>
      <c r="LMH101" s="285"/>
      <c r="LMI101" s="285"/>
      <c r="LMJ101" s="285"/>
      <c r="LMK101" s="285"/>
      <c r="LML101" s="285"/>
      <c r="LMM101" s="285"/>
      <c r="LMN101" s="285"/>
      <c r="LMO101" s="285"/>
      <c r="LMP101" s="285"/>
      <c r="LMQ101" s="285"/>
      <c r="LMR101" s="285"/>
      <c r="LMS101" s="285"/>
      <c r="LMT101" s="285"/>
      <c r="LMU101" s="285"/>
      <c r="LMV101" s="285"/>
      <c r="LMW101" s="285"/>
      <c r="LMX101" s="285"/>
      <c r="LMY101" s="285"/>
      <c r="LMZ101" s="285"/>
      <c r="LNA101" s="285"/>
      <c r="LNB101" s="285"/>
      <c r="LNC101" s="285"/>
      <c r="LND101" s="285"/>
      <c r="LNE101" s="285"/>
      <c r="LNF101" s="285"/>
      <c r="LNG101" s="285"/>
      <c r="LNH101" s="285"/>
      <c r="LNI101" s="285"/>
      <c r="LNJ101" s="285"/>
      <c r="LNK101" s="285"/>
      <c r="LNL101" s="285"/>
      <c r="LNM101" s="285"/>
      <c r="LNN101" s="285"/>
      <c r="LNO101" s="285"/>
      <c r="LNP101" s="285"/>
      <c r="LNQ101" s="285"/>
      <c r="LNR101" s="285"/>
      <c r="LNS101" s="285"/>
      <c r="LNT101" s="285"/>
      <c r="LNU101" s="285"/>
      <c r="LNV101" s="285"/>
      <c r="LNW101" s="285"/>
      <c r="LNX101" s="285"/>
      <c r="LNY101" s="285"/>
      <c r="LNZ101" s="285"/>
      <c r="LOA101" s="285"/>
      <c r="LOB101" s="285"/>
      <c r="LOC101" s="285"/>
      <c r="LOD101" s="285"/>
      <c r="LOE101" s="285"/>
      <c r="LOF101" s="285"/>
      <c r="LOG101" s="285"/>
      <c r="LOH101" s="285"/>
      <c r="LOI101" s="285"/>
      <c r="LOJ101" s="285"/>
      <c r="LOK101" s="285"/>
      <c r="LOL101" s="285"/>
      <c r="LOM101" s="285"/>
      <c r="LON101" s="285"/>
      <c r="LOO101" s="285"/>
      <c r="LOP101" s="285"/>
      <c r="LOQ101" s="285"/>
      <c r="LOR101" s="285"/>
      <c r="LOS101" s="285"/>
      <c r="LOT101" s="285"/>
      <c r="LOU101" s="285"/>
      <c r="LOV101" s="285"/>
      <c r="LOW101" s="285"/>
      <c r="LOX101" s="285"/>
      <c r="LOY101" s="285"/>
      <c r="LOZ101" s="285"/>
      <c r="LPA101" s="285"/>
      <c r="LPB101" s="285"/>
      <c r="LPC101" s="285"/>
      <c r="LPD101" s="285"/>
      <c r="LPE101" s="285"/>
      <c r="LPF101" s="285"/>
      <c r="LPG101" s="285"/>
      <c r="LPH101" s="285"/>
      <c r="LPI101" s="285"/>
      <c r="LPJ101" s="285"/>
      <c r="LPK101" s="285"/>
      <c r="LPL101" s="285"/>
      <c r="LPM101" s="285"/>
      <c r="LPN101" s="285"/>
      <c r="LPO101" s="285"/>
      <c r="LPP101" s="285"/>
      <c r="LPQ101" s="285"/>
      <c r="LPR101" s="285"/>
      <c r="LPS101" s="285"/>
      <c r="LPT101" s="285"/>
      <c r="LPU101" s="285"/>
      <c r="LPV101" s="285"/>
      <c r="LPW101" s="285"/>
      <c r="LPX101" s="285"/>
      <c r="LPY101" s="285"/>
      <c r="LPZ101" s="285"/>
      <c r="LQA101" s="285"/>
      <c r="LQB101" s="285"/>
      <c r="LQC101" s="285"/>
      <c r="LQD101" s="285"/>
      <c r="LQE101" s="285"/>
      <c r="LQF101" s="285"/>
      <c r="LQG101" s="285"/>
      <c r="LQH101" s="285"/>
      <c r="LQI101" s="285"/>
      <c r="LQJ101" s="285"/>
      <c r="LQK101" s="285"/>
      <c r="LQL101" s="285"/>
      <c r="LQM101" s="285"/>
      <c r="LQN101" s="285"/>
      <c r="LQO101" s="285"/>
      <c r="LQP101" s="285"/>
      <c r="LQQ101" s="285"/>
      <c r="LQR101" s="285"/>
      <c r="LQS101" s="285"/>
      <c r="LQT101" s="285"/>
      <c r="LQU101" s="285"/>
      <c r="LQV101" s="285"/>
      <c r="LQW101" s="285"/>
      <c r="LQX101" s="285"/>
      <c r="LQY101" s="285"/>
      <c r="LQZ101" s="285"/>
      <c r="LRA101" s="285"/>
      <c r="LRB101" s="285"/>
      <c r="LRC101" s="285"/>
      <c r="LRD101" s="285"/>
      <c r="LRE101" s="285"/>
      <c r="LRF101" s="285"/>
      <c r="LRG101" s="285"/>
      <c r="LRH101" s="285"/>
      <c r="LRI101" s="285"/>
      <c r="LRJ101" s="285"/>
      <c r="LRK101" s="285"/>
      <c r="LRL101" s="285"/>
      <c r="LRM101" s="285"/>
      <c r="LRN101" s="285"/>
      <c r="LRO101" s="285"/>
      <c r="LRP101" s="285"/>
      <c r="LRQ101" s="285"/>
      <c r="LRR101" s="285"/>
      <c r="LRS101" s="285"/>
      <c r="LRT101" s="285"/>
      <c r="LRU101" s="285"/>
      <c r="LRV101" s="285"/>
      <c r="LRW101" s="285"/>
      <c r="LRX101" s="285"/>
      <c r="LRY101" s="285"/>
      <c r="LRZ101" s="285"/>
      <c r="LSA101" s="285"/>
      <c r="LSB101" s="285"/>
      <c r="LSC101" s="285"/>
      <c r="LSD101" s="285"/>
      <c r="LSE101" s="285"/>
      <c r="LSF101" s="285"/>
      <c r="LSG101" s="285"/>
      <c r="LSH101" s="285"/>
      <c r="LSI101" s="285"/>
      <c r="LSJ101" s="285"/>
      <c r="LSK101" s="285"/>
      <c r="LSL101" s="285"/>
      <c r="LSM101" s="285"/>
      <c r="LSN101" s="285"/>
      <c r="LSO101" s="285"/>
      <c r="LSP101" s="285"/>
      <c r="LSQ101" s="285"/>
      <c r="LSR101" s="285"/>
      <c r="LSS101" s="285"/>
      <c r="LST101" s="285"/>
      <c r="LSU101" s="285"/>
      <c r="LSV101" s="285"/>
      <c r="LSW101" s="285"/>
      <c r="LSX101" s="285"/>
      <c r="LSY101" s="285"/>
      <c r="LSZ101" s="285"/>
      <c r="LTA101" s="285"/>
      <c r="LTB101" s="285"/>
      <c r="LTC101" s="285"/>
      <c r="LTD101" s="285"/>
      <c r="LTE101" s="285"/>
      <c r="LTF101" s="285"/>
      <c r="LTG101" s="285"/>
      <c r="LTH101" s="285"/>
      <c r="LTI101" s="285"/>
      <c r="LTJ101" s="285"/>
      <c r="LTK101" s="285"/>
      <c r="LTL101" s="285"/>
      <c r="LTM101" s="285"/>
      <c r="LTN101" s="285"/>
      <c r="LTO101" s="285"/>
      <c r="LTP101" s="285"/>
      <c r="LTQ101" s="285"/>
      <c r="LTR101" s="285"/>
      <c r="LTS101" s="285"/>
      <c r="LTT101" s="285"/>
      <c r="LTU101" s="285"/>
      <c r="LTV101" s="285"/>
      <c r="LTW101" s="285"/>
      <c r="LTX101" s="285"/>
      <c r="LTY101" s="285"/>
      <c r="LTZ101" s="285"/>
      <c r="LUA101" s="285"/>
      <c r="LUB101" s="285"/>
      <c r="LUC101" s="285"/>
      <c r="LUD101" s="285"/>
      <c r="LUE101" s="285"/>
      <c r="LUF101" s="285"/>
      <c r="LUG101" s="285"/>
      <c r="LUH101" s="285"/>
      <c r="LUI101" s="285"/>
      <c r="LUJ101" s="285"/>
      <c r="LUK101" s="285"/>
      <c r="LUL101" s="285"/>
      <c r="LUM101" s="285"/>
      <c r="LUN101" s="285"/>
      <c r="LUO101" s="285"/>
      <c r="LUP101" s="285"/>
      <c r="LUQ101" s="285"/>
      <c r="LUR101" s="285"/>
      <c r="LUS101" s="285"/>
      <c r="LUT101" s="285"/>
      <c r="LUU101" s="285"/>
      <c r="LUV101" s="285"/>
      <c r="LUW101" s="285"/>
      <c r="LUX101" s="285"/>
      <c r="LUY101" s="285"/>
      <c r="LUZ101" s="285"/>
      <c r="LVA101" s="285"/>
      <c r="LVB101" s="285"/>
      <c r="LVC101" s="285"/>
      <c r="LVD101" s="285"/>
      <c r="LVE101" s="285"/>
      <c r="LVF101" s="285"/>
      <c r="LVG101" s="285"/>
      <c r="LVH101" s="285"/>
      <c r="LVI101" s="285"/>
      <c r="LVJ101" s="285"/>
      <c r="LVK101" s="285"/>
      <c r="LVL101" s="285"/>
      <c r="LVM101" s="285"/>
      <c r="LVN101" s="285"/>
      <c r="LVO101" s="285"/>
      <c r="LVP101" s="285"/>
      <c r="LVQ101" s="285"/>
      <c r="LVR101" s="285"/>
      <c r="LVS101" s="285"/>
      <c r="LVT101" s="285"/>
      <c r="LVU101" s="285"/>
      <c r="LVV101" s="285"/>
      <c r="LVW101" s="285"/>
      <c r="LVX101" s="285"/>
      <c r="LVY101" s="285"/>
      <c r="LVZ101" s="285"/>
      <c r="LWA101" s="285"/>
      <c r="LWB101" s="285"/>
      <c r="LWC101" s="285"/>
      <c r="LWD101" s="285"/>
      <c r="LWE101" s="285"/>
      <c r="LWF101" s="285"/>
      <c r="LWG101" s="285"/>
      <c r="LWH101" s="285"/>
      <c r="LWI101" s="285"/>
      <c r="LWJ101" s="285"/>
      <c r="LWK101" s="285"/>
      <c r="LWL101" s="285"/>
      <c r="LWM101" s="285"/>
      <c r="LWN101" s="285"/>
      <c r="LWO101" s="285"/>
      <c r="LWP101" s="285"/>
      <c r="LWQ101" s="285"/>
      <c r="LWR101" s="285"/>
      <c r="LWS101" s="285"/>
      <c r="LWT101" s="285"/>
      <c r="LWU101" s="285"/>
      <c r="LWV101" s="285"/>
      <c r="LWW101" s="285"/>
      <c r="LWX101" s="285"/>
      <c r="LWY101" s="285"/>
      <c r="LWZ101" s="285"/>
      <c r="LXA101" s="285"/>
      <c r="LXB101" s="285"/>
      <c r="LXC101" s="285"/>
      <c r="LXD101" s="285"/>
      <c r="LXE101" s="285"/>
      <c r="LXF101" s="285"/>
      <c r="LXG101" s="285"/>
      <c r="LXH101" s="285"/>
      <c r="LXI101" s="285"/>
      <c r="LXJ101" s="285"/>
      <c r="LXK101" s="285"/>
      <c r="LXL101" s="285"/>
      <c r="LXM101" s="285"/>
      <c r="LXN101" s="285"/>
      <c r="LXO101" s="285"/>
      <c r="LXP101" s="285"/>
      <c r="LXQ101" s="285"/>
      <c r="LXR101" s="285"/>
      <c r="LXS101" s="285"/>
      <c r="LXT101" s="285"/>
      <c r="LXU101" s="285"/>
      <c r="LXV101" s="285"/>
      <c r="LXW101" s="285"/>
      <c r="LXX101" s="285"/>
      <c r="LXY101" s="285"/>
      <c r="LXZ101" s="285"/>
      <c r="LYA101" s="285"/>
      <c r="LYB101" s="285"/>
      <c r="LYC101" s="285"/>
      <c r="LYD101" s="285"/>
      <c r="LYE101" s="285"/>
      <c r="LYF101" s="285"/>
      <c r="LYG101" s="285"/>
      <c r="LYH101" s="285"/>
      <c r="LYI101" s="285"/>
      <c r="LYJ101" s="285"/>
      <c r="LYK101" s="285"/>
      <c r="LYL101" s="285"/>
      <c r="LYM101" s="285"/>
      <c r="LYN101" s="285"/>
      <c r="LYO101" s="285"/>
      <c r="LYP101" s="285"/>
      <c r="LYQ101" s="285"/>
      <c r="LYR101" s="285"/>
      <c r="LYS101" s="285"/>
      <c r="LYT101" s="285"/>
      <c r="LYU101" s="285"/>
      <c r="LYV101" s="285"/>
      <c r="LYW101" s="285"/>
      <c r="LYX101" s="285"/>
      <c r="LYY101" s="285"/>
      <c r="LYZ101" s="285"/>
      <c r="LZA101" s="285"/>
      <c r="LZB101" s="285"/>
      <c r="LZC101" s="285"/>
      <c r="LZD101" s="285"/>
      <c r="LZE101" s="285"/>
      <c r="LZF101" s="285"/>
      <c r="LZG101" s="285"/>
      <c r="LZH101" s="285"/>
      <c r="LZI101" s="285"/>
      <c r="LZJ101" s="285"/>
      <c r="LZK101" s="285"/>
      <c r="LZL101" s="285"/>
      <c r="LZM101" s="285"/>
      <c r="LZN101" s="285"/>
      <c r="LZO101" s="285"/>
      <c r="LZP101" s="285"/>
      <c r="LZQ101" s="285"/>
      <c r="LZR101" s="285"/>
      <c r="LZS101" s="285"/>
      <c r="LZT101" s="285"/>
      <c r="LZU101" s="285"/>
      <c r="LZV101" s="285"/>
      <c r="LZW101" s="285"/>
      <c r="LZX101" s="285"/>
      <c r="LZY101" s="285"/>
      <c r="LZZ101" s="285"/>
      <c r="MAA101" s="285"/>
      <c r="MAB101" s="285"/>
      <c r="MAC101" s="285"/>
      <c r="MAD101" s="285"/>
      <c r="MAE101" s="285"/>
      <c r="MAF101" s="285"/>
      <c r="MAG101" s="285"/>
      <c r="MAH101" s="285"/>
      <c r="MAI101" s="285"/>
      <c r="MAJ101" s="285"/>
      <c r="MAK101" s="285"/>
      <c r="MAL101" s="285"/>
      <c r="MAM101" s="285"/>
      <c r="MAN101" s="285"/>
      <c r="MAO101" s="285"/>
      <c r="MAP101" s="285"/>
      <c r="MAQ101" s="285"/>
      <c r="MAR101" s="285"/>
      <c r="MAS101" s="285"/>
      <c r="MAT101" s="285"/>
      <c r="MAU101" s="285"/>
      <c r="MAV101" s="285"/>
      <c r="MAW101" s="285"/>
      <c r="MAX101" s="285"/>
      <c r="MAY101" s="285"/>
      <c r="MAZ101" s="285"/>
      <c r="MBA101" s="285"/>
      <c r="MBB101" s="285"/>
      <c r="MBC101" s="285"/>
      <c r="MBD101" s="285"/>
      <c r="MBE101" s="285"/>
      <c r="MBF101" s="285"/>
      <c r="MBG101" s="285"/>
      <c r="MBH101" s="285"/>
      <c r="MBI101" s="285"/>
      <c r="MBJ101" s="285"/>
      <c r="MBK101" s="285"/>
      <c r="MBL101" s="285"/>
      <c r="MBM101" s="285"/>
      <c r="MBN101" s="285"/>
      <c r="MBO101" s="285"/>
      <c r="MBP101" s="285"/>
      <c r="MBQ101" s="285"/>
      <c r="MBR101" s="285"/>
      <c r="MBS101" s="285"/>
      <c r="MBT101" s="285"/>
      <c r="MBU101" s="285"/>
      <c r="MBV101" s="285"/>
      <c r="MBW101" s="285"/>
      <c r="MBX101" s="285"/>
      <c r="MBY101" s="285"/>
      <c r="MBZ101" s="285"/>
      <c r="MCA101" s="285"/>
      <c r="MCB101" s="285"/>
      <c r="MCC101" s="285"/>
      <c r="MCD101" s="285"/>
      <c r="MCE101" s="285"/>
      <c r="MCF101" s="285"/>
      <c r="MCG101" s="285"/>
      <c r="MCH101" s="285"/>
      <c r="MCI101" s="285"/>
      <c r="MCJ101" s="285"/>
      <c r="MCK101" s="285"/>
      <c r="MCL101" s="285"/>
      <c r="MCM101" s="285"/>
      <c r="MCN101" s="285"/>
      <c r="MCO101" s="285"/>
      <c r="MCP101" s="285"/>
      <c r="MCQ101" s="285"/>
      <c r="MCR101" s="285"/>
      <c r="MCS101" s="285"/>
      <c r="MCT101" s="285"/>
      <c r="MCU101" s="285"/>
      <c r="MCV101" s="285"/>
      <c r="MCW101" s="285"/>
      <c r="MCX101" s="285"/>
      <c r="MCY101" s="285"/>
      <c r="MCZ101" s="285"/>
      <c r="MDA101" s="285"/>
      <c r="MDB101" s="285"/>
      <c r="MDC101" s="285"/>
      <c r="MDD101" s="285"/>
      <c r="MDE101" s="285"/>
      <c r="MDF101" s="285"/>
      <c r="MDG101" s="285"/>
      <c r="MDH101" s="285"/>
      <c r="MDI101" s="285"/>
      <c r="MDJ101" s="285"/>
      <c r="MDK101" s="285"/>
      <c r="MDL101" s="285"/>
      <c r="MDM101" s="285"/>
      <c r="MDN101" s="285"/>
      <c r="MDO101" s="285"/>
      <c r="MDP101" s="285"/>
      <c r="MDQ101" s="285"/>
      <c r="MDR101" s="285"/>
      <c r="MDS101" s="285"/>
      <c r="MDT101" s="285"/>
      <c r="MDU101" s="285"/>
      <c r="MDV101" s="285"/>
      <c r="MDW101" s="285"/>
      <c r="MDX101" s="285"/>
      <c r="MDY101" s="285"/>
      <c r="MDZ101" s="285"/>
      <c r="MEA101" s="285"/>
      <c r="MEB101" s="285"/>
      <c r="MEC101" s="285"/>
      <c r="MED101" s="285"/>
      <c r="MEE101" s="285"/>
      <c r="MEF101" s="285"/>
      <c r="MEG101" s="285"/>
      <c r="MEH101" s="285"/>
      <c r="MEI101" s="285"/>
      <c r="MEJ101" s="285"/>
      <c r="MEK101" s="285"/>
      <c r="MEL101" s="285"/>
      <c r="MEM101" s="285"/>
      <c r="MEN101" s="285"/>
      <c r="MEO101" s="285"/>
      <c r="MEP101" s="285"/>
      <c r="MEQ101" s="285"/>
      <c r="MER101" s="285"/>
      <c r="MES101" s="285"/>
      <c r="MET101" s="285"/>
      <c r="MEU101" s="285"/>
      <c r="MEV101" s="285"/>
      <c r="MEW101" s="285"/>
      <c r="MEX101" s="285"/>
      <c r="MEY101" s="285"/>
      <c r="MEZ101" s="285"/>
      <c r="MFA101" s="285"/>
      <c r="MFB101" s="285"/>
      <c r="MFC101" s="285"/>
      <c r="MFD101" s="285"/>
      <c r="MFE101" s="285"/>
      <c r="MFF101" s="285"/>
      <c r="MFG101" s="285"/>
      <c r="MFH101" s="285"/>
      <c r="MFI101" s="285"/>
      <c r="MFJ101" s="285"/>
      <c r="MFK101" s="285"/>
      <c r="MFL101" s="285"/>
      <c r="MFM101" s="285"/>
      <c r="MFN101" s="285"/>
      <c r="MFO101" s="285"/>
      <c r="MFP101" s="285"/>
      <c r="MFQ101" s="285"/>
      <c r="MFR101" s="285"/>
      <c r="MFS101" s="285"/>
      <c r="MFT101" s="285"/>
      <c r="MFU101" s="285"/>
      <c r="MFV101" s="285"/>
      <c r="MFW101" s="285"/>
      <c r="MFX101" s="285"/>
      <c r="MFY101" s="285"/>
      <c r="MFZ101" s="285"/>
      <c r="MGA101" s="285"/>
      <c r="MGB101" s="285"/>
      <c r="MGC101" s="285"/>
      <c r="MGD101" s="285"/>
      <c r="MGE101" s="285"/>
      <c r="MGF101" s="285"/>
      <c r="MGG101" s="285"/>
      <c r="MGH101" s="285"/>
      <c r="MGI101" s="285"/>
      <c r="MGJ101" s="285"/>
      <c r="MGK101" s="285"/>
      <c r="MGL101" s="285"/>
      <c r="MGM101" s="285"/>
      <c r="MGN101" s="285"/>
      <c r="MGO101" s="285"/>
      <c r="MGP101" s="285"/>
      <c r="MGQ101" s="285"/>
      <c r="MGR101" s="285"/>
      <c r="MGS101" s="285"/>
      <c r="MGT101" s="285"/>
      <c r="MGU101" s="285"/>
      <c r="MGV101" s="285"/>
      <c r="MGW101" s="285"/>
      <c r="MGX101" s="285"/>
      <c r="MGY101" s="285"/>
      <c r="MGZ101" s="285"/>
      <c r="MHA101" s="285"/>
      <c r="MHB101" s="285"/>
      <c r="MHC101" s="285"/>
      <c r="MHD101" s="285"/>
      <c r="MHE101" s="285"/>
      <c r="MHF101" s="285"/>
      <c r="MHG101" s="285"/>
      <c r="MHH101" s="285"/>
      <c r="MHI101" s="285"/>
      <c r="MHJ101" s="285"/>
      <c r="MHK101" s="285"/>
      <c r="MHL101" s="285"/>
      <c r="MHM101" s="285"/>
      <c r="MHN101" s="285"/>
      <c r="MHO101" s="285"/>
      <c r="MHP101" s="285"/>
      <c r="MHQ101" s="285"/>
      <c r="MHR101" s="285"/>
      <c r="MHS101" s="285"/>
      <c r="MHT101" s="285"/>
      <c r="MHU101" s="285"/>
      <c r="MHV101" s="285"/>
      <c r="MHW101" s="285"/>
      <c r="MHX101" s="285"/>
      <c r="MHY101" s="285"/>
      <c r="MHZ101" s="285"/>
      <c r="MIA101" s="285"/>
      <c r="MIB101" s="285"/>
      <c r="MIC101" s="285"/>
      <c r="MID101" s="285"/>
      <c r="MIE101" s="285"/>
      <c r="MIF101" s="285"/>
      <c r="MIG101" s="285"/>
      <c r="MIH101" s="285"/>
      <c r="MII101" s="285"/>
      <c r="MIJ101" s="285"/>
      <c r="MIK101" s="285"/>
      <c r="MIL101" s="285"/>
      <c r="MIM101" s="285"/>
      <c r="MIN101" s="285"/>
      <c r="MIO101" s="285"/>
      <c r="MIP101" s="285"/>
      <c r="MIQ101" s="285"/>
      <c r="MIR101" s="285"/>
      <c r="MIS101" s="285"/>
      <c r="MIT101" s="285"/>
      <c r="MIU101" s="285"/>
      <c r="MIV101" s="285"/>
      <c r="MIW101" s="285"/>
      <c r="MIX101" s="285"/>
      <c r="MIY101" s="285"/>
      <c r="MIZ101" s="285"/>
      <c r="MJA101" s="285"/>
      <c r="MJB101" s="285"/>
      <c r="MJC101" s="285"/>
      <c r="MJD101" s="285"/>
      <c r="MJE101" s="285"/>
      <c r="MJF101" s="285"/>
      <c r="MJG101" s="285"/>
      <c r="MJH101" s="285"/>
      <c r="MJI101" s="285"/>
      <c r="MJJ101" s="285"/>
      <c r="MJK101" s="285"/>
      <c r="MJL101" s="285"/>
      <c r="MJM101" s="285"/>
      <c r="MJN101" s="285"/>
      <c r="MJO101" s="285"/>
      <c r="MJP101" s="285"/>
      <c r="MJQ101" s="285"/>
      <c r="MJR101" s="285"/>
      <c r="MJS101" s="285"/>
      <c r="MJT101" s="285"/>
      <c r="MJU101" s="285"/>
      <c r="MJV101" s="285"/>
      <c r="MJW101" s="285"/>
      <c r="MJX101" s="285"/>
      <c r="MJY101" s="285"/>
      <c r="MJZ101" s="285"/>
      <c r="MKA101" s="285"/>
      <c r="MKB101" s="285"/>
      <c r="MKC101" s="285"/>
      <c r="MKD101" s="285"/>
      <c r="MKE101" s="285"/>
      <c r="MKF101" s="285"/>
      <c r="MKG101" s="285"/>
      <c r="MKH101" s="285"/>
      <c r="MKI101" s="285"/>
      <c r="MKJ101" s="285"/>
      <c r="MKK101" s="285"/>
      <c r="MKL101" s="285"/>
      <c r="MKM101" s="285"/>
      <c r="MKN101" s="285"/>
      <c r="MKO101" s="285"/>
      <c r="MKP101" s="285"/>
      <c r="MKQ101" s="285"/>
      <c r="MKR101" s="285"/>
      <c r="MKS101" s="285"/>
      <c r="MKT101" s="285"/>
      <c r="MKU101" s="285"/>
      <c r="MKV101" s="285"/>
      <c r="MKW101" s="285"/>
      <c r="MKX101" s="285"/>
      <c r="MKY101" s="285"/>
      <c r="MKZ101" s="285"/>
      <c r="MLA101" s="285"/>
      <c r="MLB101" s="285"/>
      <c r="MLC101" s="285"/>
      <c r="MLD101" s="285"/>
      <c r="MLE101" s="285"/>
      <c r="MLF101" s="285"/>
      <c r="MLG101" s="285"/>
      <c r="MLH101" s="285"/>
      <c r="MLI101" s="285"/>
      <c r="MLJ101" s="285"/>
      <c r="MLK101" s="285"/>
      <c r="MLL101" s="285"/>
      <c r="MLM101" s="285"/>
      <c r="MLN101" s="285"/>
      <c r="MLO101" s="285"/>
      <c r="MLP101" s="285"/>
      <c r="MLQ101" s="285"/>
      <c r="MLR101" s="285"/>
      <c r="MLS101" s="285"/>
      <c r="MLT101" s="285"/>
      <c r="MLU101" s="285"/>
      <c r="MLV101" s="285"/>
      <c r="MLW101" s="285"/>
      <c r="MLX101" s="285"/>
      <c r="MLY101" s="285"/>
      <c r="MLZ101" s="285"/>
      <c r="MMA101" s="285"/>
      <c r="MMB101" s="285"/>
      <c r="MMC101" s="285"/>
      <c r="MMD101" s="285"/>
      <c r="MME101" s="285"/>
      <c r="MMF101" s="285"/>
      <c r="MMG101" s="285"/>
      <c r="MMH101" s="285"/>
      <c r="MMI101" s="285"/>
      <c r="MMJ101" s="285"/>
      <c r="MMK101" s="285"/>
      <c r="MML101" s="285"/>
      <c r="MMM101" s="285"/>
      <c r="MMN101" s="285"/>
      <c r="MMO101" s="285"/>
      <c r="MMP101" s="285"/>
      <c r="MMQ101" s="285"/>
      <c r="MMR101" s="285"/>
      <c r="MMS101" s="285"/>
      <c r="MMT101" s="285"/>
      <c r="MMU101" s="285"/>
      <c r="MMV101" s="285"/>
      <c r="MMW101" s="285"/>
      <c r="MMX101" s="285"/>
      <c r="MMY101" s="285"/>
      <c r="MMZ101" s="285"/>
      <c r="MNA101" s="285"/>
      <c r="MNB101" s="285"/>
      <c r="MNC101" s="285"/>
      <c r="MND101" s="285"/>
      <c r="MNE101" s="285"/>
      <c r="MNF101" s="285"/>
      <c r="MNG101" s="285"/>
      <c r="MNH101" s="285"/>
      <c r="MNI101" s="285"/>
      <c r="MNJ101" s="285"/>
      <c r="MNK101" s="285"/>
      <c r="MNL101" s="285"/>
      <c r="MNM101" s="285"/>
      <c r="MNN101" s="285"/>
      <c r="MNO101" s="285"/>
      <c r="MNP101" s="285"/>
      <c r="MNQ101" s="285"/>
      <c r="MNR101" s="285"/>
      <c r="MNS101" s="285"/>
      <c r="MNT101" s="285"/>
      <c r="MNU101" s="285"/>
      <c r="MNV101" s="285"/>
      <c r="MNW101" s="285"/>
      <c r="MNX101" s="285"/>
      <c r="MNY101" s="285"/>
      <c r="MNZ101" s="285"/>
      <c r="MOA101" s="285"/>
      <c r="MOB101" s="285"/>
      <c r="MOC101" s="285"/>
      <c r="MOD101" s="285"/>
      <c r="MOE101" s="285"/>
      <c r="MOF101" s="285"/>
      <c r="MOG101" s="285"/>
      <c r="MOH101" s="285"/>
      <c r="MOI101" s="285"/>
      <c r="MOJ101" s="285"/>
      <c r="MOK101" s="285"/>
      <c r="MOL101" s="285"/>
      <c r="MOM101" s="285"/>
      <c r="MON101" s="285"/>
      <c r="MOO101" s="285"/>
      <c r="MOP101" s="285"/>
      <c r="MOQ101" s="285"/>
      <c r="MOR101" s="285"/>
      <c r="MOS101" s="285"/>
      <c r="MOT101" s="285"/>
      <c r="MOU101" s="285"/>
      <c r="MOV101" s="285"/>
      <c r="MOW101" s="285"/>
      <c r="MOX101" s="285"/>
      <c r="MOY101" s="285"/>
      <c r="MOZ101" s="285"/>
      <c r="MPA101" s="285"/>
      <c r="MPB101" s="285"/>
      <c r="MPC101" s="285"/>
      <c r="MPD101" s="285"/>
      <c r="MPE101" s="285"/>
      <c r="MPF101" s="285"/>
      <c r="MPG101" s="285"/>
      <c r="MPH101" s="285"/>
      <c r="MPI101" s="285"/>
      <c r="MPJ101" s="285"/>
      <c r="MPK101" s="285"/>
      <c r="MPL101" s="285"/>
      <c r="MPM101" s="285"/>
      <c r="MPN101" s="285"/>
      <c r="MPO101" s="285"/>
      <c r="MPP101" s="285"/>
      <c r="MPQ101" s="285"/>
      <c r="MPR101" s="285"/>
      <c r="MPS101" s="285"/>
      <c r="MPT101" s="285"/>
      <c r="MPU101" s="285"/>
      <c r="MPV101" s="285"/>
      <c r="MPW101" s="285"/>
      <c r="MPX101" s="285"/>
      <c r="MPY101" s="285"/>
      <c r="MPZ101" s="285"/>
      <c r="MQA101" s="285"/>
      <c r="MQB101" s="285"/>
      <c r="MQC101" s="285"/>
      <c r="MQD101" s="285"/>
      <c r="MQE101" s="285"/>
      <c r="MQF101" s="285"/>
      <c r="MQG101" s="285"/>
      <c r="MQH101" s="285"/>
      <c r="MQI101" s="285"/>
      <c r="MQJ101" s="285"/>
      <c r="MQK101" s="285"/>
      <c r="MQL101" s="285"/>
      <c r="MQM101" s="285"/>
      <c r="MQN101" s="285"/>
      <c r="MQO101" s="285"/>
      <c r="MQP101" s="285"/>
      <c r="MQQ101" s="285"/>
      <c r="MQR101" s="285"/>
      <c r="MQS101" s="285"/>
      <c r="MQT101" s="285"/>
      <c r="MQU101" s="285"/>
      <c r="MQV101" s="285"/>
      <c r="MQW101" s="285"/>
      <c r="MQX101" s="285"/>
      <c r="MQY101" s="285"/>
      <c r="MQZ101" s="285"/>
      <c r="MRA101" s="285"/>
      <c r="MRB101" s="285"/>
      <c r="MRC101" s="285"/>
      <c r="MRD101" s="285"/>
      <c r="MRE101" s="285"/>
      <c r="MRF101" s="285"/>
      <c r="MRG101" s="285"/>
      <c r="MRH101" s="285"/>
      <c r="MRI101" s="285"/>
      <c r="MRJ101" s="285"/>
      <c r="MRK101" s="285"/>
      <c r="MRL101" s="285"/>
      <c r="MRM101" s="285"/>
      <c r="MRN101" s="285"/>
      <c r="MRO101" s="285"/>
      <c r="MRP101" s="285"/>
      <c r="MRQ101" s="285"/>
      <c r="MRR101" s="285"/>
      <c r="MRS101" s="285"/>
      <c r="MRT101" s="285"/>
      <c r="MRU101" s="285"/>
      <c r="MRV101" s="285"/>
      <c r="MRW101" s="285"/>
      <c r="MRX101" s="285"/>
      <c r="MRY101" s="285"/>
      <c r="MRZ101" s="285"/>
      <c r="MSA101" s="285"/>
      <c r="MSB101" s="285"/>
      <c r="MSC101" s="285"/>
      <c r="MSD101" s="285"/>
      <c r="MSE101" s="285"/>
      <c r="MSF101" s="285"/>
      <c r="MSG101" s="285"/>
      <c r="MSH101" s="285"/>
      <c r="MSI101" s="285"/>
      <c r="MSJ101" s="285"/>
      <c r="MSK101" s="285"/>
      <c r="MSL101" s="285"/>
      <c r="MSM101" s="285"/>
      <c r="MSN101" s="285"/>
      <c r="MSO101" s="285"/>
      <c r="MSP101" s="285"/>
      <c r="MSQ101" s="285"/>
      <c r="MSR101" s="285"/>
      <c r="MSS101" s="285"/>
      <c r="MST101" s="285"/>
      <c r="MSU101" s="285"/>
      <c r="MSV101" s="285"/>
      <c r="MSW101" s="285"/>
      <c r="MSX101" s="285"/>
      <c r="MSY101" s="285"/>
      <c r="MSZ101" s="285"/>
      <c r="MTA101" s="285"/>
      <c r="MTB101" s="285"/>
      <c r="MTC101" s="285"/>
      <c r="MTD101" s="285"/>
      <c r="MTE101" s="285"/>
      <c r="MTF101" s="285"/>
      <c r="MTG101" s="285"/>
      <c r="MTH101" s="285"/>
      <c r="MTI101" s="285"/>
      <c r="MTJ101" s="285"/>
      <c r="MTK101" s="285"/>
      <c r="MTL101" s="285"/>
      <c r="MTM101" s="285"/>
      <c r="MTN101" s="285"/>
      <c r="MTO101" s="285"/>
      <c r="MTP101" s="285"/>
      <c r="MTQ101" s="285"/>
      <c r="MTR101" s="285"/>
      <c r="MTS101" s="285"/>
      <c r="MTT101" s="285"/>
      <c r="MTU101" s="285"/>
      <c r="MTV101" s="285"/>
      <c r="MTW101" s="285"/>
      <c r="MTX101" s="285"/>
      <c r="MTY101" s="285"/>
      <c r="MTZ101" s="285"/>
      <c r="MUA101" s="285"/>
      <c r="MUB101" s="285"/>
      <c r="MUC101" s="285"/>
      <c r="MUD101" s="285"/>
      <c r="MUE101" s="285"/>
      <c r="MUF101" s="285"/>
      <c r="MUG101" s="285"/>
      <c r="MUH101" s="285"/>
      <c r="MUI101" s="285"/>
      <c r="MUJ101" s="285"/>
      <c r="MUK101" s="285"/>
      <c r="MUL101" s="285"/>
      <c r="MUM101" s="285"/>
      <c r="MUN101" s="285"/>
      <c r="MUO101" s="285"/>
      <c r="MUP101" s="285"/>
      <c r="MUQ101" s="285"/>
      <c r="MUR101" s="285"/>
      <c r="MUS101" s="285"/>
      <c r="MUT101" s="285"/>
      <c r="MUU101" s="285"/>
      <c r="MUV101" s="285"/>
      <c r="MUW101" s="285"/>
      <c r="MUX101" s="285"/>
      <c r="MUY101" s="285"/>
      <c r="MUZ101" s="285"/>
      <c r="MVA101" s="285"/>
      <c r="MVB101" s="285"/>
      <c r="MVC101" s="285"/>
      <c r="MVD101" s="285"/>
      <c r="MVE101" s="285"/>
      <c r="MVF101" s="285"/>
      <c r="MVG101" s="285"/>
      <c r="MVH101" s="285"/>
      <c r="MVI101" s="285"/>
      <c r="MVJ101" s="285"/>
      <c r="MVK101" s="285"/>
      <c r="MVL101" s="285"/>
      <c r="MVM101" s="285"/>
      <c r="MVN101" s="285"/>
      <c r="MVO101" s="285"/>
      <c r="MVP101" s="285"/>
      <c r="MVQ101" s="285"/>
      <c r="MVR101" s="285"/>
      <c r="MVS101" s="285"/>
      <c r="MVT101" s="285"/>
      <c r="MVU101" s="285"/>
      <c r="MVV101" s="285"/>
      <c r="MVW101" s="285"/>
      <c r="MVX101" s="285"/>
      <c r="MVY101" s="285"/>
      <c r="MVZ101" s="285"/>
      <c r="MWA101" s="285"/>
      <c r="MWB101" s="285"/>
      <c r="MWC101" s="285"/>
      <c r="MWD101" s="285"/>
      <c r="MWE101" s="285"/>
      <c r="MWF101" s="285"/>
      <c r="MWG101" s="285"/>
      <c r="MWH101" s="285"/>
      <c r="MWI101" s="285"/>
      <c r="MWJ101" s="285"/>
      <c r="MWK101" s="285"/>
      <c r="MWL101" s="285"/>
      <c r="MWM101" s="285"/>
      <c r="MWN101" s="285"/>
      <c r="MWO101" s="285"/>
      <c r="MWP101" s="285"/>
      <c r="MWQ101" s="285"/>
      <c r="MWR101" s="285"/>
      <c r="MWS101" s="285"/>
      <c r="MWT101" s="285"/>
      <c r="MWU101" s="285"/>
      <c r="MWV101" s="285"/>
      <c r="MWW101" s="285"/>
      <c r="MWX101" s="285"/>
      <c r="MWY101" s="285"/>
      <c r="MWZ101" s="285"/>
      <c r="MXA101" s="285"/>
      <c r="MXB101" s="285"/>
      <c r="MXC101" s="285"/>
      <c r="MXD101" s="285"/>
      <c r="MXE101" s="285"/>
      <c r="MXF101" s="285"/>
      <c r="MXG101" s="285"/>
      <c r="MXH101" s="285"/>
      <c r="MXI101" s="285"/>
      <c r="MXJ101" s="285"/>
      <c r="MXK101" s="285"/>
      <c r="MXL101" s="285"/>
      <c r="MXM101" s="285"/>
      <c r="MXN101" s="285"/>
      <c r="MXO101" s="285"/>
      <c r="MXP101" s="285"/>
      <c r="MXQ101" s="285"/>
      <c r="MXR101" s="285"/>
      <c r="MXS101" s="285"/>
      <c r="MXT101" s="285"/>
      <c r="MXU101" s="285"/>
      <c r="MXV101" s="285"/>
      <c r="MXW101" s="285"/>
      <c r="MXX101" s="285"/>
      <c r="MXY101" s="285"/>
      <c r="MXZ101" s="285"/>
      <c r="MYA101" s="285"/>
      <c r="MYB101" s="285"/>
      <c r="MYC101" s="285"/>
      <c r="MYD101" s="285"/>
      <c r="MYE101" s="285"/>
      <c r="MYF101" s="285"/>
      <c r="MYG101" s="285"/>
      <c r="MYH101" s="285"/>
      <c r="MYI101" s="285"/>
      <c r="MYJ101" s="285"/>
      <c r="MYK101" s="285"/>
      <c r="MYL101" s="285"/>
      <c r="MYM101" s="285"/>
      <c r="MYN101" s="285"/>
      <c r="MYO101" s="285"/>
      <c r="MYP101" s="285"/>
      <c r="MYQ101" s="285"/>
      <c r="MYR101" s="285"/>
      <c r="MYS101" s="285"/>
      <c r="MYT101" s="285"/>
      <c r="MYU101" s="285"/>
      <c r="MYV101" s="285"/>
      <c r="MYW101" s="285"/>
      <c r="MYX101" s="285"/>
      <c r="MYY101" s="285"/>
      <c r="MYZ101" s="285"/>
      <c r="MZA101" s="285"/>
      <c r="MZB101" s="285"/>
      <c r="MZC101" s="285"/>
      <c r="MZD101" s="285"/>
      <c r="MZE101" s="285"/>
      <c r="MZF101" s="285"/>
      <c r="MZG101" s="285"/>
      <c r="MZH101" s="285"/>
      <c r="MZI101" s="285"/>
      <c r="MZJ101" s="285"/>
      <c r="MZK101" s="285"/>
      <c r="MZL101" s="285"/>
      <c r="MZM101" s="285"/>
      <c r="MZN101" s="285"/>
      <c r="MZO101" s="285"/>
      <c r="MZP101" s="285"/>
      <c r="MZQ101" s="285"/>
      <c r="MZR101" s="285"/>
      <c r="MZS101" s="285"/>
      <c r="MZT101" s="285"/>
      <c r="MZU101" s="285"/>
      <c r="MZV101" s="285"/>
      <c r="MZW101" s="285"/>
      <c r="MZX101" s="285"/>
      <c r="MZY101" s="285"/>
      <c r="MZZ101" s="285"/>
      <c r="NAA101" s="285"/>
      <c r="NAB101" s="285"/>
      <c r="NAC101" s="285"/>
      <c r="NAD101" s="285"/>
      <c r="NAE101" s="285"/>
      <c r="NAF101" s="285"/>
      <c r="NAG101" s="285"/>
      <c r="NAH101" s="285"/>
      <c r="NAI101" s="285"/>
      <c r="NAJ101" s="285"/>
      <c r="NAK101" s="285"/>
      <c r="NAL101" s="285"/>
      <c r="NAM101" s="285"/>
      <c r="NAN101" s="285"/>
      <c r="NAO101" s="285"/>
      <c r="NAP101" s="285"/>
      <c r="NAQ101" s="285"/>
      <c r="NAR101" s="285"/>
      <c r="NAS101" s="285"/>
      <c r="NAT101" s="285"/>
      <c r="NAU101" s="285"/>
      <c r="NAV101" s="285"/>
      <c r="NAW101" s="285"/>
      <c r="NAX101" s="285"/>
      <c r="NAY101" s="285"/>
      <c r="NAZ101" s="285"/>
      <c r="NBA101" s="285"/>
      <c r="NBB101" s="285"/>
      <c r="NBC101" s="285"/>
      <c r="NBD101" s="285"/>
      <c r="NBE101" s="285"/>
      <c r="NBF101" s="285"/>
      <c r="NBG101" s="285"/>
      <c r="NBH101" s="285"/>
      <c r="NBI101" s="285"/>
      <c r="NBJ101" s="285"/>
      <c r="NBK101" s="285"/>
      <c r="NBL101" s="285"/>
      <c r="NBM101" s="285"/>
      <c r="NBN101" s="285"/>
      <c r="NBO101" s="285"/>
      <c r="NBP101" s="285"/>
      <c r="NBQ101" s="285"/>
      <c r="NBR101" s="285"/>
      <c r="NBS101" s="285"/>
      <c r="NBT101" s="285"/>
      <c r="NBU101" s="285"/>
      <c r="NBV101" s="285"/>
      <c r="NBW101" s="285"/>
      <c r="NBX101" s="285"/>
      <c r="NBY101" s="285"/>
      <c r="NBZ101" s="285"/>
      <c r="NCA101" s="285"/>
      <c r="NCB101" s="285"/>
      <c r="NCC101" s="285"/>
      <c r="NCD101" s="285"/>
      <c r="NCE101" s="285"/>
      <c r="NCF101" s="285"/>
      <c r="NCG101" s="285"/>
      <c r="NCH101" s="285"/>
      <c r="NCI101" s="285"/>
      <c r="NCJ101" s="285"/>
      <c r="NCK101" s="285"/>
      <c r="NCL101" s="285"/>
      <c r="NCM101" s="285"/>
      <c r="NCN101" s="285"/>
      <c r="NCO101" s="285"/>
      <c r="NCP101" s="285"/>
      <c r="NCQ101" s="285"/>
      <c r="NCR101" s="285"/>
      <c r="NCS101" s="285"/>
      <c r="NCT101" s="285"/>
      <c r="NCU101" s="285"/>
      <c r="NCV101" s="285"/>
      <c r="NCW101" s="285"/>
      <c r="NCX101" s="285"/>
      <c r="NCY101" s="285"/>
      <c r="NCZ101" s="285"/>
      <c r="NDA101" s="285"/>
      <c r="NDB101" s="285"/>
      <c r="NDC101" s="285"/>
      <c r="NDD101" s="285"/>
      <c r="NDE101" s="285"/>
      <c r="NDF101" s="285"/>
      <c r="NDG101" s="285"/>
      <c r="NDH101" s="285"/>
      <c r="NDI101" s="285"/>
      <c r="NDJ101" s="285"/>
      <c r="NDK101" s="285"/>
      <c r="NDL101" s="285"/>
      <c r="NDM101" s="285"/>
      <c r="NDN101" s="285"/>
      <c r="NDO101" s="285"/>
      <c r="NDP101" s="285"/>
      <c r="NDQ101" s="285"/>
      <c r="NDR101" s="285"/>
      <c r="NDS101" s="285"/>
      <c r="NDT101" s="285"/>
      <c r="NDU101" s="285"/>
      <c r="NDV101" s="285"/>
      <c r="NDW101" s="285"/>
      <c r="NDX101" s="285"/>
      <c r="NDY101" s="285"/>
      <c r="NDZ101" s="285"/>
      <c r="NEA101" s="285"/>
      <c r="NEB101" s="285"/>
      <c r="NEC101" s="285"/>
      <c r="NED101" s="285"/>
      <c r="NEE101" s="285"/>
      <c r="NEF101" s="285"/>
      <c r="NEG101" s="285"/>
      <c r="NEH101" s="285"/>
      <c r="NEI101" s="285"/>
      <c r="NEJ101" s="285"/>
      <c r="NEK101" s="285"/>
      <c r="NEL101" s="285"/>
      <c r="NEM101" s="285"/>
      <c r="NEN101" s="285"/>
      <c r="NEO101" s="285"/>
      <c r="NEP101" s="285"/>
      <c r="NEQ101" s="285"/>
      <c r="NER101" s="285"/>
      <c r="NES101" s="285"/>
      <c r="NET101" s="285"/>
      <c r="NEU101" s="285"/>
      <c r="NEV101" s="285"/>
      <c r="NEW101" s="285"/>
      <c r="NEX101" s="285"/>
      <c r="NEY101" s="285"/>
      <c r="NEZ101" s="285"/>
      <c r="NFA101" s="285"/>
      <c r="NFB101" s="285"/>
      <c r="NFC101" s="285"/>
      <c r="NFD101" s="285"/>
      <c r="NFE101" s="285"/>
      <c r="NFF101" s="285"/>
      <c r="NFG101" s="285"/>
      <c r="NFH101" s="285"/>
      <c r="NFI101" s="285"/>
      <c r="NFJ101" s="285"/>
      <c r="NFK101" s="285"/>
      <c r="NFL101" s="285"/>
      <c r="NFM101" s="285"/>
      <c r="NFN101" s="285"/>
      <c r="NFO101" s="285"/>
      <c r="NFP101" s="285"/>
      <c r="NFQ101" s="285"/>
      <c r="NFR101" s="285"/>
      <c r="NFS101" s="285"/>
      <c r="NFT101" s="285"/>
      <c r="NFU101" s="285"/>
      <c r="NFV101" s="285"/>
      <c r="NFW101" s="285"/>
      <c r="NFX101" s="285"/>
      <c r="NFY101" s="285"/>
      <c r="NFZ101" s="285"/>
      <c r="NGA101" s="285"/>
      <c r="NGB101" s="285"/>
      <c r="NGC101" s="285"/>
      <c r="NGD101" s="285"/>
      <c r="NGE101" s="285"/>
      <c r="NGF101" s="285"/>
      <c r="NGG101" s="285"/>
      <c r="NGH101" s="285"/>
      <c r="NGI101" s="285"/>
      <c r="NGJ101" s="285"/>
      <c r="NGK101" s="285"/>
      <c r="NGL101" s="285"/>
      <c r="NGM101" s="285"/>
      <c r="NGN101" s="285"/>
      <c r="NGO101" s="285"/>
      <c r="NGP101" s="285"/>
      <c r="NGQ101" s="285"/>
      <c r="NGR101" s="285"/>
      <c r="NGS101" s="285"/>
      <c r="NGT101" s="285"/>
      <c r="NGU101" s="285"/>
      <c r="NGV101" s="285"/>
      <c r="NGW101" s="285"/>
      <c r="NGX101" s="285"/>
      <c r="NGY101" s="285"/>
      <c r="NGZ101" s="285"/>
      <c r="NHA101" s="285"/>
      <c r="NHB101" s="285"/>
      <c r="NHC101" s="285"/>
      <c r="NHD101" s="285"/>
      <c r="NHE101" s="285"/>
      <c r="NHF101" s="285"/>
      <c r="NHG101" s="285"/>
      <c r="NHH101" s="285"/>
      <c r="NHI101" s="285"/>
      <c r="NHJ101" s="285"/>
      <c r="NHK101" s="285"/>
      <c r="NHL101" s="285"/>
      <c r="NHM101" s="285"/>
      <c r="NHN101" s="285"/>
      <c r="NHO101" s="285"/>
      <c r="NHP101" s="285"/>
      <c r="NHQ101" s="285"/>
      <c r="NHR101" s="285"/>
      <c r="NHS101" s="285"/>
      <c r="NHT101" s="285"/>
      <c r="NHU101" s="285"/>
      <c r="NHV101" s="285"/>
      <c r="NHW101" s="285"/>
      <c r="NHX101" s="285"/>
      <c r="NHY101" s="285"/>
      <c r="NHZ101" s="285"/>
      <c r="NIA101" s="285"/>
      <c r="NIB101" s="285"/>
      <c r="NIC101" s="285"/>
      <c r="NID101" s="285"/>
      <c r="NIE101" s="285"/>
      <c r="NIF101" s="285"/>
      <c r="NIG101" s="285"/>
      <c r="NIH101" s="285"/>
      <c r="NII101" s="285"/>
      <c r="NIJ101" s="285"/>
      <c r="NIK101" s="285"/>
      <c r="NIL101" s="285"/>
      <c r="NIM101" s="285"/>
      <c r="NIN101" s="285"/>
      <c r="NIO101" s="285"/>
      <c r="NIP101" s="285"/>
      <c r="NIQ101" s="285"/>
      <c r="NIR101" s="285"/>
      <c r="NIS101" s="285"/>
      <c r="NIT101" s="285"/>
      <c r="NIU101" s="285"/>
      <c r="NIV101" s="285"/>
      <c r="NIW101" s="285"/>
      <c r="NIX101" s="285"/>
      <c r="NIY101" s="285"/>
      <c r="NIZ101" s="285"/>
      <c r="NJA101" s="285"/>
      <c r="NJB101" s="285"/>
      <c r="NJC101" s="285"/>
      <c r="NJD101" s="285"/>
      <c r="NJE101" s="285"/>
      <c r="NJF101" s="285"/>
      <c r="NJG101" s="285"/>
      <c r="NJH101" s="285"/>
      <c r="NJI101" s="285"/>
      <c r="NJJ101" s="285"/>
      <c r="NJK101" s="285"/>
      <c r="NJL101" s="285"/>
      <c r="NJM101" s="285"/>
      <c r="NJN101" s="285"/>
      <c r="NJO101" s="285"/>
      <c r="NJP101" s="285"/>
      <c r="NJQ101" s="285"/>
      <c r="NJR101" s="285"/>
      <c r="NJS101" s="285"/>
      <c r="NJT101" s="285"/>
      <c r="NJU101" s="285"/>
      <c r="NJV101" s="285"/>
      <c r="NJW101" s="285"/>
      <c r="NJX101" s="285"/>
      <c r="NJY101" s="285"/>
      <c r="NJZ101" s="285"/>
      <c r="NKA101" s="285"/>
      <c r="NKB101" s="285"/>
      <c r="NKC101" s="285"/>
      <c r="NKD101" s="285"/>
      <c r="NKE101" s="285"/>
      <c r="NKF101" s="285"/>
      <c r="NKG101" s="285"/>
      <c r="NKH101" s="285"/>
      <c r="NKI101" s="285"/>
      <c r="NKJ101" s="285"/>
      <c r="NKK101" s="285"/>
      <c r="NKL101" s="285"/>
      <c r="NKM101" s="285"/>
      <c r="NKN101" s="285"/>
      <c r="NKO101" s="285"/>
      <c r="NKP101" s="285"/>
      <c r="NKQ101" s="285"/>
      <c r="NKR101" s="285"/>
      <c r="NKS101" s="285"/>
      <c r="NKT101" s="285"/>
      <c r="NKU101" s="285"/>
      <c r="NKV101" s="285"/>
      <c r="NKW101" s="285"/>
      <c r="NKX101" s="285"/>
      <c r="NKY101" s="285"/>
      <c r="NKZ101" s="285"/>
      <c r="NLA101" s="285"/>
      <c r="NLB101" s="285"/>
      <c r="NLC101" s="285"/>
      <c r="NLD101" s="285"/>
      <c r="NLE101" s="285"/>
      <c r="NLF101" s="285"/>
      <c r="NLG101" s="285"/>
      <c r="NLH101" s="285"/>
      <c r="NLI101" s="285"/>
      <c r="NLJ101" s="285"/>
      <c r="NLK101" s="285"/>
      <c r="NLL101" s="285"/>
      <c r="NLM101" s="285"/>
      <c r="NLN101" s="285"/>
      <c r="NLO101" s="285"/>
      <c r="NLP101" s="285"/>
      <c r="NLQ101" s="285"/>
      <c r="NLR101" s="285"/>
      <c r="NLS101" s="285"/>
      <c r="NLT101" s="285"/>
      <c r="NLU101" s="285"/>
      <c r="NLV101" s="285"/>
      <c r="NLW101" s="285"/>
      <c r="NLX101" s="285"/>
      <c r="NLY101" s="285"/>
      <c r="NLZ101" s="285"/>
      <c r="NMA101" s="285"/>
      <c r="NMB101" s="285"/>
      <c r="NMC101" s="285"/>
      <c r="NMD101" s="285"/>
      <c r="NME101" s="285"/>
      <c r="NMF101" s="285"/>
      <c r="NMG101" s="285"/>
      <c r="NMH101" s="285"/>
      <c r="NMI101" s="285"/>
      <c r="NMJ101" s="285"/>
      <c r="NMK101" s="285"/>
      <c r="NML101" s="285"/>
      <c r="NMM101" s="285"/>
      <c r="NMN101" s="285"/>
      <c r="NMO101" s="285"/>
      <c r="NMP101" s="285"/>
      <c r="NMQ101" s="285"/>
      <c r="NMR101" s="285"/>
      <c r="NMS101" s="285"/>
      <c r="NMT101" s="285"/>
      <c r="NMU101" s="285"/>
      <c r="NMV101" s="285"/>
      <c r="NMW101" s="285"/>
      <c r="NMX101" s="285"/>
      <c r="NMY101" s="285"/>
      <c r="NMZ101" s="285"/>
      <c r="NNA101" s="285"/>
      <c r="NNB101" s="285"/>
      <c r="NNC101" s="285"/>
      <c r="NND101" s="285"/>
      <c r="NNE101" s="285"/>
      <c r="NNF101" s="285"/>
      <c r="NNG101" s="285"/>
      <c r="NNH101" s="285"/>
      <c r="NNI101" s="285"/>
      <c r="NNJ101" s="285"/>
      <c r="NNK101" s="285"/>
      <c r="NNL101" s="285"/>
      <c r="NNM101" s="285"/>
      <c r="NNN101" s="285"/>
      <c r="NNO101" s="285"/>
      <c r="NNP101" s="285"/>
      <c r="NNQ101" s="285"/>
      <c r="NNR101" s="285"/>
      <c r="NNS101" s="285"/>
      <c r="NNT101" s="285"/>
      <c r="NNU101" s="285"/>
      <c r="NNV101" s="285"/>
      <c r="NNW101" s="285"/>
      <c r="NNX101" s="285"/>
      <c r="NNY101" s="285"/>
      <c r="NNZ101" s="285"/>
      <c r="NOA101" s="285"/>
      <c r="NOB101" s="285"/>
      <c r="NOC101" s="285"/>
      <c r="NOD101" s="285"/>
      <c r="NOE101" s="285"/>
      <c r="NOF101" s="285"/>
      <c r="NOG101" s="285"/>
      <c r="NOH101" s="285"/>
      <c r="NOI101" s="285"/>
      <c r="NOJ101" s="285"/>
      <c r="NOK101" s="285"/>
      <c r="NOL101" s="285"/>
      <c r="NOM101" s="285"/>
      <c r="NON101" s="285"/>
      <c r="NOO101" s="285"/>
      <c r="NOP101" s="285"/>
      <c r="NOQ101" s="285"/>
      <c r="NOR101" s="285"/>
      <c r="NOS101" s="285"/>
      <c r="NOT101" s="285"/>
      <c r="NOU101" s="285"/>
      <c r="NOV101" s="285"/>
      <c r="NOW101" s="285"/>
      <c r="NOX101" s="285"/>
      <c r="NOY101" s="285"/>
      <c r="NOZ101" s="285"/>
      <c r="NPA101" s="285"/>
      <c r="NPB101" s="285"/>
      <c r="NPC101" s="285"/>
      <c r="NPD101" s="285"/>
      <c r="NPE101" s="285"/>
      <c r="NPF101" s="285"/>
      <c r="NPG101" s="285"/>
      <c r="NPH101" s="285"/>
      <c r="NPI101" s="285"/>
      <c r="NPJ101" s="285"/>
      <c r="NPK101" s="285"/>
      <c r="NPL101" s="285"/>
      <c r="NPM101" s="285"/>
      <c r="NPN101" s="285"/>
      <c r="NPO101" s="285"/>
      <c r="NPP101" s="285"/>
      <c r="NPQ101" s="285"/>
      <c r="NPR101" s="285"/>
      <c r="NPS101" s="285"/>
      <c r="NPT101" s="285"/>
      <c r="NPU101" s="285"/>
      <c r="NPV101" s="285"/>
      <c r="NPW101" s="285"/>
      <c r="NPX101" s="285"/>
      <c r="NPY101" s="285"/>
      <c r="NPZ101" s="285"/>
      <c r="NQA101" s="285"/>
      <c r="NQB101" s="285"/>
      <c r="NQC101" s="285"/>
      <c r="NQD101" s="285"/>
      <c r="NQE101" s="285"/>
      <c r="NQF101" s="285"/>
      <c r="NQG101" s="285"/>
      <c r="NQH101" s="285"/>
      <c r="NQI101" s="285"/>
      <c r="NQJ101" s="285"/>
      <c r="NQK101" s="285"/>
      <c r="NQL101" s="285"/>
      <c r="NQM101" s="285"/>
      <c r="NQN101" s="285"/>
      <c r="NQO101" s="285"/>
      <c r="NQP101" s="285"/>
      <c r="NQQ101" s="285"/>
      <c r="NQR101" s="285"/>
      <c r="NQS101" s="285"/>
      <c r="NQT101" s="285"/>
      <c r="NQU101" s="285"/>
      <c r="NQV101" s="285"/>
      <c r="NQW101" s="285"/>
      <c r="NQX101" s="285"/>
      <c r="NQY101" s="285"/>
      <c r="NQZ101" s="285"/>
      <c r="NRA101" s="285"/>
      <c r="NRB101" s="285"/>
      <c r="NRC101" s="285"/>
      <c r="NRD101" s="285"/>
      <c r="NRE101" s="285"/>
      <c r="NRF101" s="285"/>
      <c r="NRG101" s="285"/>
      <c r="NRH101" s="285"/>
      <c r="NRI101" s="285"/>
      <c r="NRJ101" s="285"/>
      <c r="NRK101" s="285"/>
      <c r="NRL101" s="285"/>
      <c r="NRM101" s="285"/>
      <c r="NRN101" s="285"/>
      <c r="NRO101" s="285"/>
      <c r="NRP101" s="285"/>
      <c r="NRQ101" s="285"/>
      <c r="NRR101" s="285"/>
      <c r="NRS101" s="285"/>
      <c r="NRT101" s="285"/>
      <c r="NRU101" s="285"/>
      <c r="NRV101" s="285"/>
      <c r="NRW101" s="285"/>
      <c r="NRX101" s="285"/>
      <c r="NRY101" s="285"/>
      <c r="NRZ101" s="285"/>
      <c r="NSA101" s="285"/>
      <c r="NSB101" s="285"/>
      <c r="NSC101" s="285"/>
      <c r="NSD101" s="285"/>
      <c r="NSE101" s="285"/>
      <c r="NSF101" s="285"/>
      <c r="NSG101" s="285"/>
      <c r="NSH101" s="285"/>
      <c r="NSI101" s="285"/>
      <c r="NSJ101" s="285"/>
      <c r="NSK101" s="285"/>
      <c r="NSL101" s="285"/>
      <c r="NSM101" s="285"/>
      <c r="NSN101" s="285"/>
      <c r="NSO101" s="285"/>
      <c r="NSP101" s="285"/>
      <c r="NSQ101" s="285"/>
      <c r="NSR101" s="285"/>
      <c r="NSS101" s="285"/>
      <c r="NST101" s="285"/>
      <c r="NSU101" s="285"/>
      <c r="NSV101" s="285"/>
      <c r="NSW101" s="285"/>
      <c r="NSX101" s="285"/>
      <c r="NSY101" s="285"/>
      <c r="NSZ101" s="285"/>
      <c r="NTA101" s="285"/>
      <c r="NTB101" s="285"/>
      <c r="NTC101" s="285"/>
      <c r="NTD101" s="285"/>
      <c r="NTE101" s="285"/>
      <c r="NTF101" s="285"/>
      <c r="NTG101" s="285"/>
      <c r="NTH101" s="285"/>
      <c r="NTI101" s="285"/>
      <c r="NTJ101" s="285"/>
      <c r="NTK101" s="285"/>
      <c r="NTL101" s="285"/>
      <c r="NTM101" s="285"/>
      <c r="NTN101" s="285"/>
      <c r="NTO101" s="285"/>
      <c r="NTP101" s="285"/>
      <c r="NTQ101" s="285"/>
      <c r="NTR101" s="285"/>
      <c r="NTS101" s="285"/>
      <c r="NTT101" s="285"/>
      <c r="NTU101" s="285"/>
      <c r="NTV101" s="285"/>
      <c r="NTW101" s="285"/>
      <c r="NTX101" s="285"/>
      <c r="NTY101" s="285"/>
      <c r="NTZ101" s="285"/>
      <c r="NUA101" s="285"/>
      <c r="NUB101" s="285"/>
      <c r="NUC101" s="285"/>
      <c r="NUD101" s="285"/>
      <c r="NUE101" s="285"/>
      <c r="NUF101" s="285"/>
      <c r="NUG101" s="285"/>
      <c r="NUH101" s="285"/>
      <c r="NUI101" s="285"/>
      <c r="NUJ101" s="285"/>
      <c r="NUK101" s="285"/>
      <c r="NUL101" s="285"/>
      <c r="NUM101" s="285"/>
      <c r="NUN101" s="285"/>
      <c r="NUO101" s="285"/>
      <c r="NUP101" s="285"/>
      <c r="NUQ101" s="285"/>
      <c r="NUR101" s="285"/>
      <c r="NUS101" s="285"/>
      <c r="NUT101" s="285"/>
      <c r="NUU101" s="285"/>
      <c r="NUV101" s="285"/>
      <c r="NUW101" s="285"/>
      <c r="NUX101" s="285"/>
      <c r="NUY101" s="285"/>
      <c r="NUZ101" s="285"/>
      <c r="NVA101" s="285"/>
      <c r="NVB101" s="285"/>
      <c r="NVC101" s="285"/>
      <c r="NVD101" s="285"/>
      <c r="NVE101" s="285"/>
      <c r="NVF101" s="285"/>
      <c r="NVG101" s="285"/>
      <c r="NVH101" s="285"/>
      <c r="NVI101" s="285"/>
      <c r="NVJ101" s="285"/>
      <c r="NVK101" s="285"/>
      <c r="NVL101" s="285"/>
      <c r="NVM101" s="285"/>
      <c r="NVN101" s="285"/>
      <c r="NVO101" s="285"/>
      <c r="NVP101" s="285"/>
      <c r="NVQ101" s="285"/>
      <c r="NVR101" s="285"/>
      <c r="NVS101" s="285"/>
      <c r="NVT101" s="285"/>
      <c r="NVU101" s="285"/>
      <c r="NVV101" s="285"/>
      <c r="NVW101" s="285"/>
      <c r="NVX101" s="285"/>
      <c r="NVY101" s="285"/>
      <c r="NVZ101" s="285"/>
      <c r="NWA101" s="285"/>
      <c r="NWB101" s="285"/>
      <c r="NWC101" s="285"/>
      <c r="NWD101" s="285"/>
      <c r="NWE101" s="285"/>
      <c r="NWF101" s="285"/>
      <c r="NWG101" s="285"/>
      <c r="NWH101" s="285"/>
      <c r="NWI101" s="285"/>
      <c r="NWJ101" s="285"/>
      <c r="NWK101" s="285"/>
      <c r="NWL101" s="285"/>
      <c r="NWM101" s="285"/>
      <c r="NWN101" s="285"/>
      <c r="NWO101" s="285"/>
      <c r="NWP101" s="285"/>
      <c r="NWQ101" s="285"/>
      <c r="NWR101" s="285"/>
      <c r="NWS101" s="285"/>
      <c r="NWT101" s="285"/>
      <c r="NWU101" s="285"/>
      <c r="NWV101" s="285"/>
      <c r="NWW101" s="285"/>
      <c r="NWX101" s="285"/>
      <c r="NWY101" s="285"/>
      <c r="NWZ101" s="285"/>
      <c r="NXA101" s="285"/>
      <c r="NXB101" s="285"/>
      <c r="NXC101" s="285"/>
      <c r="NXD101" s="285"/>
      <c r="NXE101" s="285"/>
      <c r="NXF101" s="285"/>
      <c r="NXG101" s="285"/>
      <c r="NXH101" s="285"/>
      <c r="NXI101" s="285"/>
      <c r="NXJ101" s="285"/>
      <c r="NXK101" s="285"/>
      <c r="NXL101" s="285"/>
      <c r="NXM101" s="285"/>
      <c r="NXN101" s="285"/>
      <c r="NXO101" s="285"/>
      <c r="NXP101" s="285"/>
      <c r="NXQ101" s="285"/>
      <c r="NXR101" s="285"/>
      <c r="NXS101" s="285"/>
      <c r="NXT101" s="285"/>
      <c r="NXU101" s="285"/>
      <c r="NXV101" s="285"/>
      <c r="NXW101" s="285"/>
      <c r="NXX101" s="285"/>
      <c r="NXY101" s="285"/>
      <c r="NXZ101" s="285"/>
      <c r="NYA101" s="285"/>
      <c r="NYB101" s="285"/>
      <c r="NYC101" s="285"/>
      <c r="NYD101" s="285"/>
      <c r="NYE101" s="285"/>
      <c r="NYF101" s="285"/>
      <c r="NYG101" s="285"/>
      <c r="NYH101" s="285"/>
      <c r="NYI101" s="285"/>
      <c r="NYJ101" s="285"/>
      <c r="NYK101" s="285"/>
      <c r="NYL101" s="285"/>
      <c r="NYM101" s="285"/>
      <c r="NYN101" s="285"/>
      <c r="NYO101" s="285"/>
      <c r="NYP101" s="285"/>
      <c r="NYQ101" s="285"/>
      <c r="NYR101" s="285"/>
      <c r="NYS101" s="285"/>
      <c r="NYT101" s="285"/>
      <c r="NYU101" s="285"/>
      <c r="NYV101" s="285"/>
      <c r="NYW101" s="285"/>
      <c r="NYX101" s="285"/>
      <c r="NYY101" s="285"/>
      <c r="NYZ101" s="285"/>
      <c r="NZA101" s="285"/>
      <c r="NZB101" s="285"/>
      <c r="NZC101" s="285"/>
      <c r="NZD101" s="285"/>
      <c r="NZE101" s="285"/>
      <c r="NZF101" s="285"/>
      <c r="NZG101" s="285"/>
      <c r="NZH101" s="285"/>
      <c r="NZI101" s="285"/>
      <c r="NZJ101" s="285"/>
      <c r="NZK101" s="285"/>
      <c r="NZL101" s="285"/>
      <c r="NZM101" s="285"/>
      <c r="NZN101" s="285"/>
      <c r="NZO101" s="285"/>
      <c r="NZP101" s="285"/>
      <c r="NZQ101" s="285"/>
      <c r="NZR101" s="285"/>
      <c r="NZS101" s="285"/>
      <c r="NZT101" s="285"/>
      <c r="NZU101" s="285"/>
      <c r="NZV101" s="285"/>
      <c r="NZW101" s="285"/>
      <c r="NZX101" s="285"/>
      <c r="NZY101" s="285"/>
      <c r="NZZ101" s="285"/>
      <c r="OAA101" s="285"/>
      <c r="OAB101" s="285"/>
      <c r="OAC101" s="285"/>
      <c r="OAD101" s="285"/>
      <c r="OAE101" s="285"/>
      <c r="OAF101" s="285"/>
      <c r="OAG101" s="285"/>
      <c r="OAH101" s="285"/>
      <c r="OAI101" s="285"/>
      <c r="OAJ101" s="285"/>
      <c r="OAK101" s="285"/>
      <c r="OAL101" s="285"/>
      <c r="OAM101" s="285"/>
      <c r="OAN101" s="285"/>
      <c r="OAO101" s="285"/>
      <c r="OAP101" s="285"/>
      <c r="OAQ101" s="285"/>
      <c r="OAR101" s="285"/>
      <c r="OAS101" s="285"/>
      <c r="OAT101" s="285"/>
      <c r="OAU101" s="285"/>
      <c r="OAV101" s="285"/>
      <c r="OAW101" s="285"/>
      <c r="OAX101" s="285"/>
      <c r="OAY101" s="285"/>
      <c r="OAZ101" s="285"/>
      <c r="OBA101" s="285"/>
      <c r="OBB101" s="285"/>
      <c r="OBC101" s="285"/>
      <c r="OBD101" s="285"/>
      <c r="OBE101" s="285"/>
      <c r="OBF101" s="285"/>
      <c r="OBG101" s="285"/>
      <c r="OBH101" s="285"/>
      <c r="OBI101" s="285"/>
      <c r="OBJ101" s="285"/>
      <c r="OBK101" s="285"/>
      <c r="OBL101" s="285"/>
      <c r="OBM101" s="285"/>
      <c r="OBN101" s="285"/>
      <c r="OBO101" s="285"/>
      <c r="OBP101" s="285"/>
      <c r="OBQ101" s="285"/>
      <c r="OBR101" s="285"/>
      <c r="OBS101" s="285"/>
      <c r="OBT101" s="285"/>
      <c r="OBU101" s="285"/>
      <c r="OBV101" s="285"/>
      <c r="OBW101" s="285"/>
      <c r="OBX101" s="285"/>
      <c r="OBY101" s="285"/>
      <c r="OBZ101" s="285"/>
      <c r="OCA101" s="285"/>
      <c r="OCB101" s="285"/>
      <c r="OCC101" s="285"/>
      <c r="OCD101" s="285"/>
      <c r="OCE101" s="285"/>
      <c r="OCF101" s="285"/>
      <c r="OCG101" s="285"/>
      <c r="OCH101" s="285"/>
      <c r="OCI101" s="285"/>
      <c r="OCJ101" s="285"/>
      <c r="OCK101" s="285"/>
      <c r="OCL101" s="285"/>
      <c r="OCM101" s="285"/>
      <c r="OCN101" s="285"/>
      <c r="OCO101" s="285"/>
      <c r="OCP101" s="285"/>
      <c r="OCQ101" s="285"/>
      <c r="OCR101" s="285"/>
      <c r="OCS101" s="285"/>
      <c r="OCT101" s="285"/>
      <c r="OCU101" s="285"/>
      <c r="OCV101" s="285"/>
      <c r="OCW101" s="285"/>
      <c r="OCX101" s="285"/>
      <c r="OCY101" s="285"/>
      <c r="OCZ101" s="285"/>
      <c r="ODA101" s="285"/>
      <c r="ODB101" s="285"/>
      <c r="ODC101" s="285"/>
      <c r="ODD101" s="285"/>
      <c r="ODE101" s="285"/>
      <c r="ODF101" s="285"/>
      <c r="ODG101" s="285"/>
      <c r="ODH101" s="285"/>
      <c r="ODI101" s="285"/>
      <c r="ODJ101" s="285"/>
      <c r="ODK101" s="285"/>
      <c r="ODL101" s="285"/>
      <c r="ODM101" s="285"/>
      <c r="ODN101" s="285"/>
      <c r="ODO101" s="285"/>
      <c r="ODP101" s="285"/>
      <c r="ODQ101" s="285"/>
      <c r="ODR101" s="285"/>
      <c r="ODS101" s="285"/>
      <c r="ODT101" s="285"/>
      <c r="ODU101" s="285"/>
      <c r="ODV101" s="285"/>
      <c r="ODW101" s="285"/>
      <c r="ODX101" s="285"/>
      <c r="ODY101" s="285"/>
      <c r="ODZ101" s="285"/>
      <c r="OEA101" s="285"/>
      <c r="OEB101" s="285"/>
      <c r="OEC101" s="285"/>
      <c r="OED101" s="285"/>
      <c r="OEE101" s="285"/>
      <c r="OEF101" s="285"/>
      <c r="OEG101" s="285"/>
      <c r="OEH101" s="285"/>
      <c r="OEI101" s="285"/>
      <c r="OEJ101" s="285"/>
      <c r="OEK101" s="285"/>
      <c r="OEL101" s="285"/>
      <c r="OEM101" s="285"/>
      <c r="OEN101" s="285"/>
      <c r="OEO101" s="285"/>
      <c r="OEP101" s="285"/>
      <c r="OEQ101" s="285"/>
      <c r="OER101" s="285"/>
      <c r="OES101" s="285"/>
      <c r="OET101" s="285"/>
      <c r="OEU101" s="285"/>
      <c r="OEV101" s="285"/>
      <c r="OEW101" s="285"/>
      <c r="OEX101" s="285"/>
      <c r="OEY101" s="285"/>
      <c r="OEZ101" s="285"/>
      <c r="OFA101" s="285"/>
      <c r="OFB101" s="285"/>
      <c r="OFC101" s="285"/>
      <c r="OFD101" s="285"/>
      <c r="OFE101" s="285"/>
      <c r="OFF101" s="285"/>
      <c r="OFG101" s="285"/>
      <c r="OFH101" s="285"/>
      <c r="OFI101" s="285"/>
      <c r="OFJ101" s="285"/>
      <c r="OFK101" s="285"/>
      <c r="OFL101" s="285"/>
      <c r="OFM101" s="285"/>
      <c r="OFN101" s="285"/>
      <c r="OFO101" s="285"/>
      <c r="OFP101" s="285"/>
      <c r="OFQ101" s="285"/>
      <c r="OFR101" s="285"/>
      <c r="OFS101" s="285"/>
      <c r="OFT101" s="285"/>
      <c r="OFU101" s="285"/>
      <c r="OFV101" s="285"/>
      <c r="OFW101" s="285"/>
      <c r="OFX101" s="285"/>
      <c r="OFY101" s="285"/>
      <c r="OFZ101" s="285"/>
      <c r="OGA101" s="285"/>
      <c r="OGB101" s="285"/>
      <c r="OGC101" s="285"/>
      <c r="OGD101" s="285"/>
      <c r="OGE101" s="285"/>
      <c r="OGF101" s="285"/>
      <c r="OGG101" s="285"/>
      <c r="OGH101" s="285"/>
      <c r="OGI101" s="285"/>
      <c r="OGJ101" s="285"/>
      <c r="OGK101" s="285"/>
      <c r="OGL101" s="285"/>
      <c r="OGM101" s="285"/>
      <c r="OGN101" s="285"/>
      <c r="OGO101" s="285"/>
      <c r="OGP101" s="285"/>
      <c r="OGQ101" s="285"/>
      <c r="OGR101" s="285"/>
      <c r="OGS101" s="285"/>
      <c r="OGT101" s="285"/>
      <c r="OGU101" s="285"/>
      <c r="OGV101" s="285"/>
      <c r="OGW101" s="285"/>
      <c r="OGX101" s="285"/>
      <c r="OGY101" s="285"/>
      <c r="OGZ101" s="285"/>
      <c r="OHA101" s="285"/>
      <c r="OHB101" s="285"/>
      <c r="OHC101" s="285"/>
      <c r="OHD101" s="285"/>
      <c r="OHE101" s="285"/>
      <c r="OHF101" s="285"/>
      <c r="OHG101" s="285"/>
      <c r="OHH101" s="285"/>
      <c r="OHI101" s="285"/>
      <c r="OHJ101" s="285"/>
      <c r="OHK101" s="285"/>
      <c r="OHL101" s="285"/>
      <c r="OHM101" s="285"/>
      <c r="OHN101" s="285"/>
      <c r="OHO101" s="285"/>
      <c r="OHP101" s="285"/>
      <c r="OHQ101" s="285"/>
      <c r="OHR101" s="285"/>
      <c r="OHS101" s="285"/>
      <c r="OHT101" s="285"/>
      <c r="OHU101" s="285"/>
      <c r="OHV101" s="285"/>
      <c r="OHW101" s="285"/>
      <c r="OHX101" s="285"/>
      <c r="OHY101" s="285"/>
      <c r="OHZ101" s="285"/>
      <c r="OIA101" s="285"/>
      <c r="OIB101" s="285"/>
      <c r="OIC101" s="285"/>
      <c r="OID101" s="285"/>
      <c r="OIE101" s="285"/>
      <c r="OIF101" s="285"/>
      <c r="OIG101" s="285"/>
      <c r="OIH101" s="285"/>
      <c r="OII101" s="285"/>
      <c r="OIJ101" s="285"/>
      <c r="OIK101" s="285"/>
      <c r="OIL101" s="285"/>
      <c r="OIM101" s="285"/>
      <c r="OIN101" s="285"/>
      <c r="OIO101" s="285"/>
      <c r="OIP101" s="285"/>
      <c r="OIQ101" s="285"/>
      <c r="OIR101" s="285"/>
      <c r="OIS101" s="285"/>
      <c r="OIT101" s="285"/>
      <c r="OIU101" s="285"/>
      <c r="OIV101" s="285"/>
      <c r="OIW101" s="285"/>
      <c r="OIX101" s="285"/>
      <c r="OIY101" s="285"/>
      <c r="OIZ101" s="285"/>
      <c r="OJA101" s="285"/>
      <c r="OJB101" s="285"/>
      <c r="OJC101" s="285"/>
      <c r="OJD101" s="285"/>
      <c r="OJE101" s="285"/>
      <c r="OJF101" s="285"/>
      <c r="OJG101" s="285"/>
      <c r="OJH101" s="285"/>
      <c r="OJI101" s="285"/>
      <c r="OJJ101" s="285"/>
      <c r="OJK101" s="285"/>
      <c r="OJL101" s="285"/>
      <c r="OJM101" s="285"/>
      <c r="OJN101" s="285"/>
      <c r="OJO101" s="285"/>
      <c r="OJP101" s="285"/>
      <c r="OJQ101" s="285"/>
      <c r="OJR101" s="285"/>
      <c r="OJS101" s="285"/>
      <c r="OJT101" s="285"/>
      <c r="OJU101" s="285"/>
      <c r="OJV101" s="285"/>
      <c r="OJW101" s="285"/>
      <c r="OJX101" s="285"/>
      <c r="OJY101" s="285"/>
      <c r="OJZ101" s="285"/>
      <c r="OKA101" s="285"/>
      <c r="OKB101" s="285"/>
      <c r="OKC101" s="285"/>
      <c r="OKD101" s="285"/>
      <c r="OKE101" s="285"/>
      <c r="OKF101" s="285"/>
      <c r="OKG101" s="285"/>
      <c r="OKH101" s="285"/>
      <c r="OKI101" s="285"/>
      <c r="OKJ101" s="285"/>
      <c r="OKK101" s="285"/>
      <c r="OKL101" s="285"/>
      <c r="OKM101" s="285"/>
      <c r="OKN101" s="285"/>
      <c r="OKO101" s="285"/>
      <c r="OKP101" s="285"/>
      <c r="OKQ101" s="285"/>
      <c r="OKR101" s="285"/>
      <c r="OKS101" s="285"/>
      <c r="OKT101" s="285"/>
      <c r="OKU101" s="285"/>
      <c r="OKV101" s="285"/>
      <c r="OKW101" s="285"/>
      <c r="OKX101" s="285"/>
      <c r="OKY101" s="285"/>
      <c r="OKZ101" s="285"/>
      <c r="OLA101" s="285"/>
      <c r="OLB101" s="285"/>
      <c r="OLC101" s="285"/>
      <c r="OLD101" s="285"/>
      <c r="OLE101" s="285"/>
      <c r="OLF101" s="285"/>
      <c r="OLG101" s="285"/>
      <c r="OLH101" s="285"/>
      <c r="OLI101" s="285"/>
      <c r="OLJ101" s="285"/>
      <c r="OLK101" s="285"/>
      <c r="OLL101" s="285"/>
      <c r="OLM101" s="285"/>
      <c r="OLN101" s="285"/>
      <c r="OLO101" s="285"/>
      <c r="OLP101" s="285"/>
      <c r="OLQ101" s="285"/>
      <c r="OLR101" s="285"/>
      <c r="OLS101" s="285"/>
      <c r="OLT101" s="285"/>
      <c r="OLU101" s="285"/>
      <c r="OLV101" s="285"/>
      <c r="OLW101" s="285"/>
      <c r="OLX101" s="285"/>
      <c r="OLY101" s="285"/>
      <c r="OLZ101" s="285"/>
      <c r="OMA101" s="285"/>
      <c r="OMB101" s="285"/>
      <c r="OMC101" s="285"/>
      <c r="OMD101" s="285"/>
      <c r="OME101" s="285"/>
      <c r="OMF101" s="285"/>
      <c r="OMG101" s="285"/>
      <c r="OMH101" s="285"/>
      <c r="OMI101" s="285"/>
      <c r="OMJ101" s="285"/>
      <c r="OMK101" s="285"/>
      <c r="OML101" s="285"/>
      <c r="OMM101" s="285"/>
      <c r="OMN101" s="285"/>
      <c r="OMO101" s="285"/>
      <c r="OMP101" s="285"/>
      <c r="OMQ101" s="285"/>
      <c r="OMR101" s="285"/>
      <c r="OMS101" s="285"/>
      <c r="OMT101" s="285"/>
      <c r="OMU101" s="285"/>
      <c r="OMV101" s="285"/>
      <c r="OMW101" s="285"/>
      <c r="OMX101" s="285"/>
      <c r="OMY101" s="285"/>
      <c r="OMZ101" s="285"/>
      <c r="ONA101" s="285"/>
      <c r="ONB101" s="285"/>
      <c r="ONC101" s="285"/>
      <c r="OND101" s="285"/>
      <c r="ONE101" s="285"/>
      <c r="ONF101" s="285"/>
      <c r="ONG101" s="285"/>
      <c r="ONH101" s="285"/>
      <c r="ONI101" s="285"/>
      <c r="ONJ101" s="285"/>
      <c r="ONK101" s="285"/>
      <c r="ONL101" s="285"/>
      <c r="ONM101" s="285"/>
      <c r="ONN101" s="285"/>
      <c r="ONO101" s="285"/>
      <c r="ONP101" s="285"/>
      <c r="ONQ101" s="285"/>
      <c r="ONR101" s="285"/>
      <c r="ONS101" s="285"/>
      <c r="ONT101" s="285"/>
      <c r="ONU101" s="285"/>
      <c r="ONV101" s="285"/>
      <c r="ONW101" s="285"/>
      <c r="ONX101" s="285"/>
      <c r="ONY101" s="285"/>
      <c r="ONZ101" s="285"/>
      <c r="OOA101" s="285"/>
      <c r="OOB101" s="285"/>
      <c r="OOC101" s="285"/>
      <c r="OOD101" s="285"/>
      <c r="OOE101" s="285"/>
      <c r="OOF101" s="285"/>
      <c r="OOG101" s="285"/>
      <c r="OOH101" s="285"/>
      <c r="OOI101" s="285"/>
      <c r="OOJ101" s="285"/>
      <c r="OOK101" s="285"/>
      <c r="OOL101" s="285"/>
      <c r="OOM101" s="285"/>
      <c r="OON101" s="285"/>
      <c r="OOO101" s="285"/>
      <c r="OOP101" s="285"/>
      <c r="OOQ101" s="285"/>
      <c r="OOR101" s="285"/>
      <c r="OOS101" s="285"/>
      <c r="OOT101" s="285"/>
      <c r="OOU101" s="285"/>
      <c r="OOV101" s="285"/>
      <c r="OOW101" s="285"/>
      <c r="OOX101" s="285"/>
      <c r="OOY101" s="285"/>
      <c r="OOZ101" s="285"/>
      <c r="OPA101" s="285"/>
      <c r="OPB101" s="285"/>
      <c r="OPC101" s="285"/>
      <c r="OPD101" s="285"/>
      <c r="OPE101" s="285"/>
      <c r="OPF101" s="285"/>
      <c r="OPG101" s="285"/>
      <c r="OPH101" s="285"/>
      <c r="OPI101" s="285"/>
      <c r="OPJ101" s="285"/>
      <c r="OPK101" s="285"/>
      <c r="OPL101" s="285"/>
      <c r="OPM101" s="285"/>
      <c r="OPN101" s="285"/>
      <c r="OPO101" s="285"/>
      <c r="OPP101" s="285"/>
      <c r="OPQ101" s="285"/>
      <c r="OPR101" s="285"/>
      <c r="OPS101" s="285"/>
      <c r="OPT101" s="285"/>
      <c r="OPU101" s="285"/>
      <c r="OPV101" s="285"/>
      <c r="OPW101" s="285"/>
      <c r="OPX101" s="285"/>
      <c r="OPY101" s="285"/>
      <c r="OPZ101" s="285"/>
      <c r="OQA101" s="285"/>
      <c r="OQB101" s="285"/>
      <c r="OQC101" s="285"/>
      <c r="OQD101" s="285"/>
      <c r="OQE101" s="285"/>
      <c r="OQF101" s="285"/>
      <c r="OQG101" s="285"/>
      <c r="OQH101" s="285"/>
      <c r="OQI101" s="285"/>
      <c r="OQJ101" s="285"/>
      <c r="OQK101" s="285"/>
      <c r="OQL101" s="285"/>
      <c r="OQM101" s="285"/>
      <c r="OQN101" s="285"/>
      <c r="OQO101" s="285"/>
      <c r="OQP101" s="285"/>
      <c r="OQQ101" s="285"/>
      <c r="OQR101" s="285"/>
      <c r="OQS101" s="285"/>
      <c r="OQT101" s="285"/>
      <c r="OQU101" s="285"/>
      <c r="OQV101" s="285"/>
      <c r="OQW101" s="285"/>
      <c r="OQX101" s="285"/>
      <c r="OQY101" s="285"/>
      <c r="OQZ101" s="285"/>
      <c r="ORA101" s="285"/>
      <c r="ORB101" s="285"/>
      <c r="ORC101" s="285"/>
      <c r="ORD101" s="285"/>
      <c r="ORE101" s="285"/>
      <c r="ORF101" s="285"/>
      <c r="ORG101" s="285"/>
      <c r="ORH101" s="285"/>
      <c r="ORI101" s="285"/>
      <c r="ORJ101" s="285"/>
      <c r="ORK101" s="285"/>
      <c r="ORL101" s="285"/>
      <c r="ORM101" s="285"/>
      <c r="ORN101" s="285"/>
      <c r="ORO101" s="285"/>
      <c r="ORP101" s="285"/>
      <c r="ORQ101" s="285"/>
      <c r="ORR101" s="285"/>
      <c r="ORS101" s="285"/>
      <c r="ORT101" s="285"/>
      <c r="ORU101" s="285"/>
      <c r="ORV101" s="285"/>
      <c r="ORW101" s="285"/>
      <c r="ORX101" s="285"/>
      <c r="ORY101" s="285"/>
      <c r="ORZ101" s="285"/>
      <c r="OSA101" s="285"/>
      <c r="OSB101" s="285"/>
      <c r="OSC101" s="285"/>
      <c r="OSD101" s="285"/>
      <c r="OSE101" s="285"/>
      <c r="OSF101" s="285"/>
      <c r="OSG101" s="285"/>
      <c r="OSH101" s="285"/>
      <c r="OSI101" s="285"/>
      <c r="OSJ101" s="285"/>
      <c r="OSK101" s="285"/>
      <c r="OSL101" s="285"/>
      <c r="OSM101" s="285"/>
      <c r="OSN101" s="285"/>
      <c r="OSO101" s="285"/>
      <c r="OSP101" s="285"/>
      <c r="OSQ101" s="285"/>
      <c r="OSR101" s="285"/>
      <c r="OSS101" s="285"/>
      <c r="OST101" s="285"/>
      <c r="OSU101" s="285"/>
      <c r="OSV101" s="285"/>
      <c r="OSW101" s="285"/>
      <c r="OSX101" s="285"/>
      <c r="OSY101" s="285"/>
      <c r="OSZ101" s="285"/>
      <c r="OTA101" s="285"/>
      <c r="OTB101" s="285"/>
      <c r="OTC101" s="285"/>
      <c r="OTD101" s="285"/>
      <c r="OTE101" s="285"/>
      <c r="OTF101" s="285"/>
      <c r="OTG101" s="285"/>
      <c r="OTH101" s="285"/>
      <c r="OTI101" s="285"/>
      <c r="OTJ101" s="285"/>
      <c r="OTK101" s="285"/>
      <c r="OTL101" s="285"/>
      <c r="OTM101" s="285"/>
      <c r="OTN101" s="285"/>
      <c r="OTO101" s="285"/>
      <c r="OTP101" s="285"/>
      <c r="OTQ101" s="285"/>
      <c r="OTR101" s="285"/>
      <c r="OTS101" s="285"/>
      <c r="OTT101" s="285"/>
      <c r="OTU101" s="285"/>
      <c r="OTV101" s="285"/>
      <c r="OTW101" s="285"/>
      <c r="OTX101" s="285"/>
      <c r="OTY101" s="285"/>
      <c r="OTZ101" s="285"/>
      <c r="OUA101" s="285"/>
      <c r="OUB101" s="285"/>
      <c r="OUC101" s="285"/>
      <c r="OUD101" s="285"/>
      <c r="OUE101" s="285"/>
      <c r="OUF101" s="285"/>
      <c r="OUG101" s="285"/>
      <c r="OUH101" s="285"/>
      <c r="OUI101" s="285"/>
      <c r="OUJ101" s="285"/>
      <c r="OUK101" s="285"/>
      <c r="OUL101" s="285"/>
      <c r="OUM101" s="285"/>
      <c r="OUN101" s="285"/>
      <c r="OUO101" s="285"/>
      <c r="OUP101" s="285"/>
      <c r="OUQ101" s="285"/>
      <c r="OUR101" s="285"/>
      <c r="OUS101" s="285"/>
      <c r="OUT101" s="285"/>
      <c r="OUU101" s="285"/>
      <c r="OUV101" s="285"/>
      <c r="OUW101" s="285"/>
      <c r="OUX101" s="285"/>
      <c r="OUY101" s="285"/>
      <c r="OUZ101" s="285"/>
      <c r="OVA101" s="285"/>
      <c r="OVB101" s="285"/>
      <c r="OVC101" s="285"/>
      <c r="OVD101" s="285"/>
      <c r="OVE101" s="285"/>
      <c r="OVF101" s="285"/>
      <c r="OVG101" s="285"/>
      <c r="OVH101" s="285"/>
      <c r="OVI101" s="285"/>
      <c r="OVJ101" s="285"/>
      <c r="OVK101" s="285"/>
      <c r="OVL101" s="285"/>
      <c r="OVM101" s="285"/>
      <c r="OVN101" s="285"/>
      <c r="OVO101" s="285"/>
      <c r="OVP101" s="285"/>
      <c r="OVQ101" s="285"/>
      <c r="OVR101" s="285"/>
      <c r="OVS101" s="285"/>
      <c r="OVT101" s="285"/>
      <c r="OVU101" s="285"/>
      <c r="OVV101" s="285"/>
      <c r="OVW101" s="285"/>
      <c r="OVX101" s="285"/>
      <c r="OVY101" s="285"/>
      <c r="OVZ101" s="285"/>
      <c r="OWA101" s="285"/>
      <c r="OWB101" s="285"/>
      <c r="OWC101" s="285"/>
      <c r="OWD101" s="285"/>
      <c r="OWE101" s="285"/>
      <c r="OWF101" s="285"/>
      <c r="OWG101" s="285"/>
      <c r="OWH101" s="285"/>
      <c r="OWI101" s="285"/>
      <c r="OWJ101" s="285"/>
      <c r="OWK101" s="285"/>
      <c r="OWL101" s="285"/>
      <c r="OWM101" s="285"/>
      <c r="OWN101" s="285"/>
      <c r="OWO101" s="285"/>
      <c r="OWP101" s="285"/>
      <c r="OWQ101" s="285"/>
      <c r="OWR101" s="285"/>
      <c r="OWS101" s="285"/>
      <c r="OWT101" s="285"/>
      <c r="OWU101" s="285"/>
      <c r="OWV101" s="285"/>
      <c r="OWW101" s="285"/>
      <c r="OWX101" s="285"/>
      <c r="OWY101" s="285"/>
      <c r="OWZ101" s="285"/>
      <c r="OXA101" s="285"/>
      <c r="OXB101" s="285"/>
      <c r="OXC101" s="285"/>
      <c r="OXD101" s="285"/>
      <c r="OXE101" s="285"/>
      <c r="OXF101" s="285"/>
      <c r="OXG101" s="285"/>
      <c r="OXH101" s="285"/>
      <c r="OXI101" s="285"/>
      <c r="OXJ101" s="285"/>
      <c r="OXK101" s="285"/>
      <c r="OXL101" s="285"/>
      <c r="OXM101" s="285"/>
      <c r="OXN101" s="285"/>
      <c r="OXO101" s="285"/>
      <c r="OXP101" s="285"/>
      <c r="OXQ101" s="285"/>
      <c r="OXR101" s="285"/>
      <c r="OXS101" s="285"/>
      <c r="OXT101" s="285"/>
      <c r="OXU101" s="285"/>
      <c r="OXV101" s="285"/>
      <c r="OXW101" s="285"/>
      <c r="OXX101" s="285"/>
      <c r="OXY101" s="285"/>
      <c r="OXZ101" s="285"/>
      <c r="OYA101" s="285"/>
      <c r="OYB101" s="285"/>
      <c r="OYC101" s="285"/>
      <c r="OYD101" s="285"/>
      <c r="OYE101" s="285"/>
      <c r="OYF101" s="285"/>
      <c r="OYG101" s="285"/>
      <c r="OYH101" s="285"/>
      <c r="OYI101" s="285"/>
      <c r="OYJ101" s="285"/>
      <c r="OYK101" s="285"/>
      <c r="OYL101" s="285"/>
      <c r="OYM101" s="285"/>
      <c r="OYN101" s="285"/>
      <c r="OYO101" s="285"/>
      <c r="OYP101" s="285"/>
      <c r="OYQ101" s="285"/>
      <c r="OYR101" s="285"/>
      <c r="OYS101" s="285"/>
      <c r="OYT101" s="285"/>
      <c r="OYU101" s="285"/>
      <c r="OYV101" s="285"/>
      <c r="OYW101" s="285"/>
      <c r="OYX101" s="285"/>
      <c r="OYY101" s="285"/>
      <c r="OYZ101" s="285"/>
      <c r="OZA101" s="285"/>
      <c r="OZB101" s="285"/>
      <c r="OZC101" s="285"/>
      <c r="OZD101" s="285"/>
      <c r="OZE101" s="285"/>
      <c r="OZF101" s="285"/>
      <c r="OZG101" s="285"/>
      <c r="OZH101" s="285"/>
      <c r="OZI101" s="285"/>
      <c r="OZJ101" s="285"/>
      <c r="OZK101" s="285"/>
      <c r="OZL101" s="285"/>
      <c r="OZM101" s="285"/>
      <c r="OZN101" s="285"/>
      <c r="OZO101" s="285"/>
      <c r="OZP101" s="285"/>
      <c r="OZQ101" s="285"/>
      <c r="OZR101" s="285"/>
      <c r="OZS101" s="285"/>
      <c r="OZT101" s="285"/>
      <c r="OZU101" s="285"/>
      <c r="OZV101" s="285"/>
      <c r="OZW101" s="285"/>
      <c r="OZX101" s="285"/>
      <c r="OZY101" s="285"/>
      <c r="OZZ101" s="285"/>
      <c r="PAA101" s="285"/>
      <c r="PAB101" s="285"/>
      <c r="PAC101" s="285"/>
      <c r="PAD101" s="285"/>
      <c r="PAE101" s="285"/>
      <c r="PAF101" s="285"/>
      <c r="PAG101" s="285"/>
      <c r="PAH101" s="285"/>
      <c r="PAI101" s="285"/>
      <c r="PAJ101" s="285"/>
      <c r="PAK101" s="285"/>
      <c r="PAL101" s="285"/>
      <c r="PAM101" s="285"/>
      <c r="PAN101" s="285"/>
      <c r="PAO101" s="285"/>
      <c r="PAP101" s="285"/>
      <c r="PAQ101" s="285"/>
      <c r="PAR101" s="285"/>
      <c r="PAS101" s="285"/>
      <c r="PAT101" s="285"/>
      <c r="PAU101" s="285"/>
      <c r="PAV101" s="285"/>
      <c r="PAW101" s="285"/>
      <c r="PAX101" s="285"/>
      <c r="PAY101" s="285"/>
      <c r="PAZ101" s="285"/>
      <c r="PBA101" s="285"/>
      <c r="PBB101" s="285"/>
      <c r="PBC101" s="285"/>
      <c r="PBD101" s="285"/>
      <c r="PBE101" s="285"/>
      <c r="PBF101" s="285"/>
      <c r="PBG101" s="285"/>
      <c r="PBH101" s="285"/>
      <c r="PBI101" s="285"/>
      <c r="PBJ101" s="285"/>
      <c r="PBK101" s="285"/>
      <c r="PBL101" s="285"/>
      <c r="PBM101" s="285"/>
      <c r="PBN101" s="285"/>
      <c r="PBO101" s="285"/>
      <c r="PBP101" s="285"/>
      <c r="PBQ101" s="285"/>
      <c r="PBR101" s="285"/>
      <c r="PBS101" s="285"/>
      <c r="PBT101" s="285"/>
      <c r="PBU101" s="285"/>
      <c r="PBV101" s="285"/>
      <c r="PBW101" s="285"/>
      <c r="PBX101" s="285"/>
      <c r="PBY101" s="285"/>
      <c r="PBZ101" s="285"/>
      <c r="PCA101" s="285"/>
      <c r="PCB101" s="285"/>
      <c r="PCC101" s="285"/>
      <c r="PCD101" s="285"/>
      <c r="PCE101" s="285"/>
      <c r="PCF101" s="285"/>
      <c r="PCG101" s="285"/>
      <c r="PCH101" s="285"/>
      <c r="PCI101" s="285"/>
      <c r="PCJ101" s="285"/>
      <c r="PCK101" s="285"/>
      <c r="PCL101" s="285"/>
      <c r="PCM101" s="285"/>
      <c r="PCN101" s="285"/>
      <c r="PCO101" s="285"/>
      <c r="PCP101" s="285"/>
      <c r="PCQ101" s="285"/>
      <c r="PCR101" s="285"/>
      <c r="PCS101" s="285"/>
      <c r="PCT101" s="285"/>
      <c r="PCU101" s="285"/>
      <c r="PCV101" s="285"/>
      <c r="PCW101" s="285"/>
      <c r="PCX101" s="285"/>
      <c r="PCY101" s="285"/>
      <c r="PCZ101" s="285"/>
      <c r="PDA101" s="285"/>
      <c r="PDB101" s="285"/>
      <c r="PDC101" s="285"/>
      <c r="PDD101" s="285"/>
      <c r="PDE101" s="285"/>
      <c r="PDF101" s="285"/>
      <c r="PDG101" s="285"/>
      <c r="PDH101" s="285"/>
      <c r="PDI101" s="285"/>
      <c r="PDJ101" s="285"/>
      <c r="PDK101" s="285"/>
      <c r="PDL101" s="285"/>
      <c r="PDM101" s="285"/>
      <c r="PDN101" s="285"/>
      <c r="PDO101" s="285"/>
      <c r="PDP101" s="285"/>
      <c r="PDQ101" s="285"/>
      <c r="PDR101" s="285"/>
      <c r="PDS101" s="285"/>
      <c r="PDT101" s="285"/>
      <c r="PDU101" s="285"/>
      <c r="PDV101" s="285"/>
      <c r="PDW101" s="285"/>
      <c r="PDX101" s="285"/>
      <c r="PDY101" s="285"/>
      <c r="PDZ101" s="285"/>
      <c r="PEA101" s="285"/>
      <c r="PEB101" s="285"/>
      <c r="PEC101" s="285"/>
      <c r="PED101" s="285"/>
      <c r="PEE101" s="285"/>
      <c r="PEF101" s="285"/>
      <c r="PEG101" s="285"/>
      <c r="PEH101" s="285"/>
      <c r="PEI101" s="285"/>
      <c r="PEJ101" s="285"/>
      <c r="PEK101" s="285"/>
      <c r="PEL101" s="285"/>
      <c r="PEM101" s="285"/>
      <c r="PEN101" s="285"/>
      <c r="PEO101" s="285"/>
      <c r="PEP101" s="285"/>
      <c r="PEQ101" s="285"/>
      <c r="PER101" s="285"/>
      <c r="PES101" s="285"/>
      <c r="PET101" s="285"/>
      <c r="PEU101" s="285"/>
      <c r="PEV101" s="285"/>
      <c r="PEW101" s="285"/>
      <c r="PEX101" s="285"/>
      <c r="PEY101" s="285"/>
      <c r="PEZ101" s="285"/>
      <c r="PFA101" s="285"/>
      <c r="PFB101" s="285"/>
      <c r="PFC101" s="285"/>
      <c r="PFD101" s="285"/>
      <c r="PFE101" s="285"/>
      <c r="PFF101" s="285"/>
      <c r="PFG101" s="285"/>
      <c r="PFH101" s="285"/>
      <c r="PFI101" s="285"/>
      <c r="PFJ101" s="285"/>
      <c r="PFK101" s="285"/>
      <c r="PFL101" s="285"/>
      <c r="PFM101" s="285"/>
      <c r="PFN101" s="285"/>
      <c r="PFO101" s="285"/>
      <c r="PFP101" s="285"/>
      <c r="PFQ101" s="285"/>
      <c r="PFR101" s="285"/>
      <c r="PFS101" s="285"/>
      <c r="PFT101" s="285"/>
      <c r="PFU101" s="285"/>
      <c r="PFV101" s="285"/>
      <c r="PFW101" s="285"/>
      <c r="PFX101" s="285"/>
      <c r="PFY101" s="285"/>
      <c r="PFZ101" s="285"/>
      <c r="PGA101" s="285"/>
      <c r="PGB101" s="285"/>
      <c r="PGC101" s="285"/>
      <c r="PGD101" s="285"/>
      <c r="PGE101" s="285"/>
      <c r="PGF101" s="285"/>
      <c r="PGG101" s="285"/>
      <c r="PGH101" s="285"/>
      <c r="PGI101" s="285"/>
      <c r="PGJ101" s="285"/>
      <c r="PGK101" s="285"/>
      <c r="PGL101" s="285"/>
      <c r="PGM101" s="285"/>
      <c r="PGN101" s="285"/>
      <c r="PGO101" s="285"/>
      <c r="PGP101" s="285"/>
      <c r="PGQ101" s="285"/>
      <c r="PGR101" s="285"/>
      <c r="PGS101" s="285"/>
      <c r="PGT101" s="285"/>
      <c r="PGU101" s="285"/>
      <c r="PGV101" s="285"/>
      <c r="PGW101" s="285"/>
      <c r="PGX101" s="285"/>
      <c r="PGY101" s="285"/>
      <c r="PGZ101" s="285"/>
      <c r="PHA101" s="285"/>
      <c r="PHB101" s="285"/>
      <c r="PHC101" s="285"/>
      <c r="PHD101" s="285"/>
      <c r="PHE101" s="285"/>
      <c r="PHF101" s="285"/>
      <c r="PHG101" s="285"/>
      <c r="PHH101" s="285"/>
      <c r="PHI101" s="285"/>
      <c r="PHJ101" s="285"/>
      <c r="PHK101" s="285"/>
      <c r="PHL101" s="285"/>
      <c r="PHM101" s="285"/>
      <c r="PHN101" s="285"/>
      <c r="PHO101" s="285"/>
      <c r="PHP101" s="285"/>
      <c r="PHQ101" s="285"/>
      <c r="PHR101" s="285"/>
      <c r="PHS101" s="285"/>
      <c r="PHT101" s="285"/>
      <c r="PHU101" s="285"/>
      <c r="PHV101" s="285"/>
      <c r="PHW101" s="285"/>
      <c r="PHX101" s="285"/>
      <c r="PHY101" s="285"/>
      <c r="PHZ101" s="285"/>
      <c r="PIA101" s="285"/>
      <c r="PIB101" s="285"/>
      <c r="PIC101" s="285"/>
      <c r="PID101" s="285"/>
      <c r="PIE101" s="285"/>
      <c r="PIF101" s="285"/>
      <c r="PIG101" s="285"/>
      <c r="PIH101" s="285"/>
      <c r="PII101" s="285"/>
      <c r="PIJ101" s="285"/>
      <c r="PIK101" s="285"/>
      <c r="PIL101" s="285"/>
      <c r="PIM101" s="285"/>
      <c r="PIN101" s="285"/>
      <c r="PIO101" s="285"/>
      <c r="PIP101" s="285"/>
      <c r="PIQ101" s="285"/>
      <c r="PIR101" s="285"/>
      <c r="PIS101" s="285"/>
      <c r="PIT101" s="285"/>
      <c r="PIU101" s="285"/>
      <c r="PIV101" s="285"/>
      <c r="PIW101" s="285"/>
      <c r="PIX101" s="285"/>
      <c r="PIY101" s="285"/>
      <c r="PIZ101" s="285"/>
      <c r="PJA101" s="285"/>
      <c r="PJB101" s="285"/>
      <c r="PJC101" s="285"/>
      <c r="PJD101" s="285"/>
      <c r="PJE101" s="285"/>
      <c r="PJF101" s="285"/>
      <c r="PJG101" s="285"/>
      <c r="PJH101" s="285"/>
      <c r="PJI101" s="285"/>
      <c r="PJJ101" s="285"/>
      <c r="PJK101" s="285"/>
      <c r="PJL101" s="285"/>
      <c r="PJM101" s="285"/>
      <c r="PJN101" s="285"/>
      <c r="PJO101" s="285"/>
      <c r="PJP101" s="285"/>
      <c r="PJQ101" s="285"/>
      <c r="PJR101" s="285"/>
      <c r="PJS101" s="285"/>
      <c r="PJT101" s="285"/>
      <c r="PJU101" s="285"/>
      <c r="PJV101" s="285"/>
      <c r="PJW101" s="285"/>
      <c r="PJX101" s="285"/>
      <c r="PJY101" s="285"/>
      <c r="PJZ101" s="285"/>
      <c r="PKA101" s="285"/>
      <c r="PKB101" s="285"/>
      <c r="PKC101" s="285"/>
      <c r="PKD101" s="285"/>
      <c r="PKE101" s="285"/>
      <c r="PKF101" s="285"/>
      <c r="PKG101" s="285"/>
      <c r="PKH101" s="285"/>
      <c r="PKI101" s="285"/>
      <c r="PKJ101" s="285"/>
      <c r="PKK101" s="285"/>
      <c r="PKL101" s="285"/>
      <c r="PKM101" s="285"/>
      <c r="PKN101" s="285"/>
      <c r="PKO101" s="285"/>
      <c r="PKP101" s="285"/>
      <c r="PKQ101" s="285"/>
      <c r="PKR101" s="285"/>
      <c r="PKS101" s="285"/>
      <c r="PKT101" s="285"/>
      <c r="PKU101" s="285"/>
      <c r="PKV101" s="285"/>
      <c r="PKW101" s="285"/>
      <c r="PKX101" s="285"/>
      <c r="PKY101" s="285"/>
      <c r="PKZ101" s="285"/>
      <c r="PLA101" s="285"/>
      <c r="PLB101" s="285"/>
      <c r="PLC101" s="285"/>
      <c r="PLD101" s="285"/>
      <c r="PLE101" s="285"/>
      <c r="PLF101" s="285"/>
      <c r="PLG101" s="285"/>
      <c r="PLH101" s="285"/>
      <c r="PLI101" s="285"/>
      <c r="PLJ101" s="285"/>
      <c r="PLK101" s="285"/>
      <c r="PLL101" s="285"/>
      <c r="PLM101" s="285"/>
      <c r="PLN101" s="285"/>
      <c r="PLO101" s="285"/>
      <c r="PLP101" s="285"/>
      <c r="PLQ101" s="285"/>
      <c r="PLR101" s="285"/>
      <c r="PLS101" s="285"/>
      <c r="PLT101" s="285"/>
      <c r="PLU101" s="285"/>
      <c r="PLV101" s="285"/>
      <c r="PLW101" s="285"/>
      <c r="PLX101" s="285"/>
      <c r="PLY101" s="285"/>
      <c r="PLZ101" s="285"/>
      <c r="PMA101" s="285"/>
      <c r="PMB101" s="285"/>
      <c r="PMC101" s="285"/>
      <c r="PMD101" s="285"/>
      <c r="PME101" s="285"/>
      <c r="PMF101" s="285"/>
      <c r="PMG101" s="285"/>
      <c r="PMH101" s="285"/>
      <c r="PMI101" s="285"/>
      <c r="PMJ101" s="285"/>
      <c r="PMK101" s="285"/>
      <c r="PML101" s="285"/>
      <c r="PMM101" s="285"/>
      <c r="PMN101" s="285"/>
      <c r="PMO101" s="285"/>
      <c r="PMP101" s="285"/>
      <c r="PMQ101" s="285"/>
      <c r="PMR101" s="285"/>
      <c r="PMS101" s="285"/>
      <c r="PMT101" s="285"/>
      <c r="PMU101" s="285"/>
      <c r="PMV101" s="285"/>
      <c r="PMW101" s="285"/>
      <c r="PMX101" s="285"/>
      <c r="PMY101" s="285"/>
      <c r="PMZ101" s="285"/>
      <c r="PNA101" s="285"/>
      <c r="PNB101" s="285"/>
      <c r="PNC101" s="285"/>
      <c r="PND101" s="285"/>
      <c r="PNE101" s="285"/>
      <c r="PNF101" s="285"/>
      <c r="PNG101" s="285"/>
      <c r="PNH101" s="285"/>
      <c r="PNI101" s="285"/>
      <c r="PNJ101" s="285"/>
      <c r="PNK101" s="285"/>
      <c r="PNL101" s="285"/>
      <c r="PNM101" s="285"/>
      <c r="PNN101" s="285"/>
      <c r="PNO101" s="285"/>
      <c r="PNP101" s="285"/>
      <c r="PNQ101" s="285"/>
      <c r="PNR101" s="285"/>
      <c r="PNS101" s="285"/>
      <c r="PNT101" s="285"/>
      <c r="PNU101" s="285"/>
      <c r="PNV101" s="285"/>
      <c r="PNW101" s="285"/>
      <c r="PNX101" s="285"/>
      <c r="PNY101" s="285"/>
      <c r="PNZ101" s="285"/>
      <c r="POA101" s="285"/>
      <c r="POB101" s="285"/>
      <c r="POC101" s="285"/>
      <c r="POD101" s="285"/>
      <c r="POE101" s="285"/>
      <c r="POF101" s="285"/>
      <c r="POG101" s="285"/>
      <c r="POH101" s="285"/>
      <c r="POI101" s="285"/>
      <c r="POJ101" s="285"/>
      <c r="POK101" s="285"/>
      <c r="POL101" s="285"/>
      <c r="POM101" s="285"/>
      <c r="PON101" s="285"/>
      <c r="POO101" s="285"/>
      <c r="POP101" s="285"/>
      <c r="POQ101" s="285"/>
      <c r="POR101" s="285"/>
      <c r="POS101" s="285"/>
      <c r="POT101" s="285"/>
      <c r="POU101" s="285"/>
      <c r="POV101" s="285"/>
      <c r="POW101" s="285"/>
      <c r="POX101" s="285"/>
      <c r="POY101" s="285"/>
      <c r="POZ101" s="285"/>
      <c r="PPA101" s="285"/>
      <c r="PPB101" s="285"/>
      <c r="PPC101" s="285"/>
      <c r="PPD101" s="285"/>
      <c r="PPE101" s="285"/>
      <c r="PPF101" s="285"/>
      <c r="PPG101" s="285"/>
      <c r="PPH101" s="285"/>
      <c r="PPI101" s="285"/>
      <c r="PPJ101" s="285"/>
      <c r="PPK101" s="285"/>
      <c r="PPL101" s="285"/>
      <c r="PPM101" s="285"/>
      <c r="PPN101" s="285"/>
      <c r="PPO101" s="285"/>
      <c r="PPP101" s="285"/>
      <c r="PPQ101" s="285"/>
      <c r="PPR101" s="285"/>
      <c r="PPS101" s="285"/>
      <c r="PPT101" s="285"/>
      <c r="PPU101" s="285"/>
      <c r="PPV101" s="285"/>
      <c r="PPW101" s="285"/>
      <c r="PPX101" s="285"/>
      <c r="PPY101" s="285"/>
      <c r="PPZ101" s="285"/>
      <c r="PQA101" s="285"/>
      <c r="PQB101" s="285"/>
      <c r="PQC101" s="285"/>
      <c r="PQD101" s="285"/>
      <c r="PQE101" s="285"/>
      <c r="PQF101" s="285"/>
      <c r="PQG101" s="285"/>
      <c r="PQH101" s="285"/>
      <c r="PQI101" s="285"/>
      <c r="PQJ101" s="285"/>
      <c r="PQK101" s="285"/>
      <c r="PQL101" s="285"/>
      <c r="PQM101" s="285"/>
      <c r="PQN101" s="285"/>
      <c r="PQO101" s="285"/>
      <c r="PQP101" s="285"/>
      <c r="PQQ101" s="285"/>
      <c r="PQR101" s="285"/>
      <c r="PQS101" s="285"/>
      <c r="PQT101" s="285"/>
      <c r="PQU101" s="285"/>
      <c r="PQV101" s="285"/>
      <c r="PQW101" s="285"/>
      <c r="PQX101" s="285"/>
      <c r="PQY101" s="285"/>
      <c r="PQZ101" s="285"/>
      <c r="PRA101" s="285"/>
      <c r="PRB101" s="285"/>
      <c r="PRC101" s="285"/>
      <c r="PRD101" s="285"/>
      <c r="PRE101" s="285"/>
      <c r="PRF101" s="285"/>
      <c r="PRG101" s="285"/>
      <c r="PRH101" s="285"/>
      <c r="PRI101" s="285"/>
      <c r="PRJ101" s="285"/>
      <c r="PRK101" s="285"/>
      <c r="PRL101" s="285"/>
      <c r="PRM101" s="285"/>
      <c r="PRN101" s="285"/>
      <c r="PRO101" s="285"/>
      <c r="PRP101" s="285"/>
      <c r="PRQ101" s="285"/>
      <c r="PRR101" s="285"/>
      <c r="PRS101" s="285"/>
      <c r="PRT101" s="285"/>
      <c r="PRU101" s="285"/>
      <c r="PRV101" s="285"/>
      <c r="PRW101" s="285"/>
      <c r="PRX101" s="285"/>
      <c r="PRY101" s="285"/>
      <c r="PRZ101" s="285"/>
      <c r="PSA101" s="285"/>
      <c r="PSB101" s="285"/>
      <c r="PSC101" s="285"/>
      <c r="PSD101" s="285"/>
      <c r="PSE101" s="285"/>
      <c r="PSF101" s="285"/>
      <c r="PSG101" s="285"/>
      <c r="PSH101" s="285"/>
      <c r="PSI101" s="285"/>
      <c r="PSJ101" s="285"/>
      <c r="PSK101" s="285"/>
      <c r="PSL101" s="285"/>
      <c r="PSM101" s="285"/>
      <c r="PSN101" s="285"/>
      <c r="PSO101" s="285"/>
      <c r="PSP101" s="285"/>
      <c r="PSQ101" s="285"/>
      <c r="PSR101" s="285"/>
      <c r="PSS101" s="285"/>
      <c r="PST101" s="285"/>
      <c r="PSU101" s="285"/>
      <c r="PSV101" s="285"/>
      <c r="PSW101" s="285"/>
      <c r="PSX101" s="285"/>
      <c r="PSY101" s="285"/>
      <c r="PSZ101" s="285"/>
      <c r="PTA101" s="285"/>
      <c r="PTB101" s="285"/>
      <c r="PTC101" s="285"/>
      <c r="PTD101" s="285"/>
      <c r="PTE101" s="285"/>
      <c r="PTF101" s="285"/>
      <c r="PTG101" s="285"/>
      <c r="PTH101" s="285"/>
      <c r="PTI101" s="285"/>
      <c r="PTJ101" s="285"/>
      <c r="PTK101" s="285"/>
      <c r="PTL101" s="285"/>
      <c r="PTM101" s="285"/>
      <c r="PTN101" s="285"/>
      <c r="PTO101" s="285"/>
      <c r="PTP101" s="285"/>
      <c r="PTQ101" s="285"/>
      <c r="PTR101" s="285"/>
      <c r="PTS101" s="285"/>
      <c r="PTT101" s="285"/>
      <c r="PTU101" s="285"/>
      <c r="PTV101" s="285"/>
      <c r="PTW101" s="285"/>
      <c r="PTX101" s="285"/>
      <c r="PTY101" s="285"/>
      <c r="PTZ101" s="285"/>
      <c r="PUA101" s="285"/>
      <c r="PUB101" s="285"/>
      <c r="PUC101" s="285"/>
      <c r="PUD101" s="285"/>
      <c r="PUE101" s="285"/>
      <c r="PUF101" s="285"/>
      <c r="PUG101" s="285"/>
      <c r="PUH101" s="285"/>
      <c r="PUI101" s="285"/>
      <c r="PUJ101" s="285"/>
      <c r="PUK101" s="285"/>
      <c r="PUL101" s="285"/>
      <c r="PUM101" s="285"/>
      <c r="PUN101" s="285"/>
      <c r="PUO101" s="285"/>
      <c r="PUP101" s="285"/>
      <c r="PUQ101" s="285"/>
      <c r="PUR101" s="285"/>
      <c r="PUS101" s="285"/>
      <c r="PUT101" s="285"/>
      <c r="PUU101" s="285"/>
      <c r="PUV101" s="285"/>
      <c r="PUW101" s="285"/>
      <c r="PUX101" s="285"/>
      <c r="PUY101" s="285"/>
      <c r="PUZ101" s="285"/>
      <c r="PVA101" s="285"/>
      <c r="PVB101" s="285"/>
      <c r="PVC101" s="285"/>
      <c r="PVD101" s="285"/>
      <c r="PVE101" s="285"/>
      <c r="PVF101" s="285"/>
      <c r="PVG101" s="285"/>
      <c r="PVH101" s="285"/>
      <c r="PVI101" s="285"/>
      <c r="PVJ101" s="285"/>
      <c r="PVK101" s="285"/>
      <c r="PVL101" s="285"/>
      <c r="PVM101" s="285"/>
      <c r="PVN101" s="285"/>
      <c r="PVO101" s="285"/>
      <c r="PVP101" s="285"/>
      <c r="PVQ101" s="285"/>
      <c r="PVR101" s="285"/>
      <c r="PVS101" s="285"/>
      <c r="PVT101" s="285"/>
      <c r="PVU101" s="285"/>
      <c r="PVV101" s="285"/>
      <c r="PVW101" s="285"/>
      <c r="PVX101" s="285"/>
      <c r="PVY101" s="285"/>
      <c r="PVZ101" s="285"/>
      <c r="PWA101" s="285"/>
      <c r="PWB101" s="285"/>
      <c r="PWC101" s="285"/>
      <c r="PWD101" s="285"/>
      <c r="PWE101" s="285"/>
      <c r="PWF101" s="285"/>
      <c r="PWG101" s="285"/>
      <c r="PWH101" s="285"/>
      <c r="PWI101" s="285"/>
      <c r="PWJ101" s="285"/>
      <c r="PWK101" s="285"/>
      <c r="PWL101" s="285"/>
      <c r="PWM101" s="285"/>
      <c r="PWN101" s="285"/>
      <c r="PWO101" s="285"/>
      <c r="PWP101" s="285"/>
      <c r="PWQ101" s="285"/>
      <c r="PWR101" s="285"/>
      <c r="PWS101" s="285"/>
      <c r="PWT101" s="285"/>
      <c r="PWU101" s="285"/>
      <c r="PWV101" s="285"/>
      <c r="PWW101" s="285"/>
      <c r="PWX101" s="285"/>
      <c r="PWY101" s="285"/>
      <c r="PWZ101" s="285"/>
      <c r="PXA101" s="285"/>
      <c r="PXB101" s="285"/>
      <c r="PXC101" s="285"/>
      <c r="PXD101" s="285"/>
      <c r="PXE101" s="285"/>
      <c r="PXF101" s="285"/>
      <c r="PXG101" s="285"/>
      <c r="PXH101" s="285"/>
      <c r="PXI101" s="285"/>
      <c r="PXJ101" s="285"/>
      <c r="PXK101" s="285"/>
      <c r="PXL101" s="285"/>
      <c r="PXM101" s="285"/>
      <c r="PXN101" s="285"/>
      <c r="PXO101" s="285"/>
      <c r="PXP101" s="285"/>
      <c r="PXQ101" s="285"/>
      <c r="PXR101" s="285"/>
      <c r="PXS101" s="285"/>
      <c r="PXT101" s="285"/>
      <c r="PXU101" s="285"/>
      <c r="PXV101" s="285"/>
      <c r="PXW101" s="285"/>
      <c r="PXX101" s="285"/>
      <c r="PXY101" s="285"/>
      <c r="PXZ101" s="285"/>
      <c r="PYA101" s="285"/>
      <c r="PYB101" s="285"/>
      <c r="PYC101" s="285"/>
      <c r="PYD101" s="285"/>
      <c r="PYE101" s="285"/>
      <c r="PYF101" s="285"/>
      <c r="PYG101" s="285"/>
      <c r="PYH101" s="285"/>
      <c r="PYI101" s="285"/>
      <c r="PYJ101" s="285"/>
      <c r="PYK101" s="285"/>
      <c r="PYL101" s="285"/>
      <c r="PYM101" s="285"/>
      <c r="PYN101" s="285"/>
      <c r="PYO101" s="285"/>
      <c r="PYP101" s="285"/>
      <c r="PYQ101" s="285"/>
      <c r="PYR101" s="285"/>
      <c r="PYS101" s="285"/>
      <c r="PYT101" s="285"/>
      <c r="PYU101" s="285"/>
      <c r="PYV101" s="285"/>
      <c r="PYW101" s="285"/>
      <c r="PYX101" s="285"/>
      <c r="PYY101" s="285"/>
      <c r="PYZ101" s="285"/>
      <c r="PZA101" s="285"/>
      <c r="PZB101" s="285"/>
      <c r="PZC101" s="285"/>
      <c r="PZD101" s="285"/>
      <c r="PZE101" s="285"/>
      <c r="PZF101" s="285"/>
      <c r="PZG101" s="285"/>
      <c r="PZH101" s="285"/>
      <c r="PZI101" s="285"/>
      <c r="PZJ101" s="285"/>
      <c r="PZK101" s="285"/>
      <c r="PZL101" s="285"/>
      <c r="PZM101" s="285"/>
      <c r="PZN101" s="285"/>
      <c r="PZO101" s="285"/>
      <c r="PZP101" s="285"/>
      <c r="PZQ101" s="285"/>
      <c r="PZR101" s="285"/>
      <c r="PZS101" s="285"/>
      <c r="PZT101" s="285"/>
      <c r="PZU101" s="285"/>
      <c r="PZV101" s="285"/>
      <c r="PZW101" s="285"/>
      <c r="PZX101" s="285"/>
      <c r="PZY101" s="285"/>
      <c r="PZZ101" s="285"/>
      <c r="QAA101" s="285"/>
      <c r="QAB101" s="285"/>
      <c r="QAC101" s="285"/>
      <c r="QAD101" s="285"/>
      <c r="QAE101" s="285"/>
      <c r="QAF101" s="285"/>
      <c r="QAG101" s="285"/>
      <c r="QAH101" s="285"/>
      <c r="QAI101" s="285"/>
      <c r="QAJ101" s="285"/>
      <c r="QAK101" s="285"/>
      <c r="QAL101" s="285"/>
      <c r="QAM101" s="285"/>
      <c r="QAN101" s="285"/>
      <c r="QAO101" s="285"/>
      <c r="QAP101" s="285"/>
      <c r="QAQ101" s="285"/>
      <c r="QAR101" s="285"/>
      <c r="QAS101" s="285"/>
      <c r="QAT101" s="285"/>
      <c r="QAU101" s="285"/>
      <c r="QAV101" s="285"/>
      <c r="QAW101" s="285"/>
      <c r="QAX101" s="285"/>
      <c r="QAY101" s="285"/>
      <c r="QAZ101" s="285"/>
      <c r="QBA101" s="285"/>
      <c r="QBB101" s="285"/>
      <c r="QBC101" s="285"/>
      <c r="QBD101" s="285"/>
      <c r="QBE101" s="285"/>
      <c r="QBF101" s="285"/>
      <c r="QBG101" s="285"/>
      <c r="QBH101" s="285"/>
      <c r="QBI101" s="285"/>
      <c r="QBJ101" s="285"/>
      <c r="QBK101" s="285"/>
      <c r="QBL101" s="285"/>
      <c r="QBM101" s="285"/>
      <c r="QBN101" s="285"/>
      <c r="QBO101" s="285"/>
      <c r="QBP101" s="285"/>
      <c r="QBQ101" s="285"/>
      <c r="QBR101" s="285"/>
      <c r="QBS101" s="285"/>
      <c r="QBT101" s="285"/>
      <c r="QBU101" s="285"/>
      <c r="QBV101" s="285"/>
      <c r="QBW101" s="285"/>
      <c r="QBX101" s="285"/>
      <c r="QBY101" s="285"/>
      <c r="QBZ101" s="285"/>
      <c r="QCA101" s="285"/>
      <c r="QCB101" s="285"/>
      <c r="QCC101" s="285"/>
      <c r="QCD101" s="285"/>
      <c r="QCE101" s="285"/>
      <c r="QCF101" s="285"/>
      <c r="QCG101" s="285"/>
      <c r="QCH101" s="285"/>
      <c r="QCI101" s="285"/>
      <c r="QCJ101" s="285"/>
      <c r="QCK101" s="285"/>
      <c r="QCL101" s="285"/>
      <c r="QCM101" s="285"/>
      <c r="QCN101" s="285"/>
      <c r="QCO101" s="285"/>
      <c r="QCP101" s="285"/>
      <c r="QCQ101" s="285"/>
      <c r="QCR101" s="285"/>
      <c r="QCS101" s="285"/>
      <c r="QCT101" s="285"/>
      <c r="QCU101" s="285"/>
      <c r="QCV101" s="285"/>
      <c r="QCW101" s="285"/>
      <c r="QCX101" s="285"/>
      <c r="QCY101" s="285"/>
      <c r="QCZ101" s="285"/>
      <c r="QDA101" s="285"/>
      <c r="QDB101" s="285"/>
      <c r="QDC101" s="285"/>
      <c r="QDD101" s="285"/>
      <c r="QDE101" s="285"/>
      <c r="QDF101" s="285"/>
      <c r="QDG101" s="285"/>
      <c r="QDH101" s="285"/>
      <c r="QDI101" s="285"/>
      <c r="QDJ101" s="285"/>
      <c r="QDK101" s="285"/>
      <c r="QDL101" s="285"/>
      <c r="QDM101" s="285"/>
      <c r="QDN101" s="285"/>
      <c r="QDO101" s="285"/>
      <c r="QDP101" s="285"/>
      <c r="QDQ101" s="285"/>
      <c r="QDR101" s="285"/>
      <c r="QDS101" s="285"/>
      <c r="QDT101" s="285"/>
      <c r="QDU101" s="285"/>
      <c r="QDV101" s="285"/>
      <c r="QDW101" s="285"/>
      <c r="QDX101" s="285"/>
      <c r="QDY101" s="285"/>
      <c r="QDZ101" s="285"/>
      <c r="QEA101" s="285"/>
      <c r="QEB101" s="285"/>
      <c r="QEC101" s="285"/>
      <c r="QED101" s="285"/>
      <c r="QEE101" s="285"/>
      <c r="QEF101" s="285"/>
      <c r="QEG101" s="285"/>
      <c r="QEH101" s="285"/>
      <c r="QEI101" s="285"/>
      <c r="QEJ101" s="285"/>
      <c r="QEK101" s="285"/>
      <c r="QEL101" s="285"/>
      <c r="QEM101" s="285"/>
      <c r="QEN101" s="285"/>
      <c r="QEO101" s="285"/>
      <c r="QEP101" s="285"/>
      <c r="QEQ101" s="285"/>
      <c r="QER101" s="285"/>
      <c r="QES101" s="285"/>
      <c r="QET101" s="285"/>
      <c r="QEU101" s="285"/>
      <c r="QEV101" s="285"/>
      <c r="QEW101" s="285"/>
      <c r="QEX101" s="285"/>
      <c r="QEY101" s="285"/>
      <c r="QEZ101" s="285"/>
      <c r="QFA101" s="285"/>
      <c r="QFB101" s="285"/>
      <c r="QFC101" s="285"/>
      <c r="QFD101" s="285"/>
      <c r="QFE101" s="285"/>
      <c r="QFF101" s="285"/>
      <c r="QFG101" s="285"/>
      <c r="QFH101" s="285"/>
      <c r="QFI101" s="285"/>
      <c r="QFJ101" s="285"/>
      <c r="QFK101" s="285"/>
      <c r="QFL101" s="285"/>
      <c r="QFM101" s="285"/>
      <c r="QFN101" s="285"/>
      <c r="QFO101" s="285"/>
      <c r="QFP101" s="285"/>
      <c r="QFQ101" s="285"/>
      <c r="QFR101" s="285"/>
      <c r="QFS101" s="285"/>
      <c r="QFT101" s="285"/>
      <c r="QFU101" s="285"/>
      <c r="QFV101" s="285"/>
      <c r="QFW101" s="285"/>
      <c r="QFX101" s="285"/>
      <c r="QFY101" s="285"/>
      <c r="QFZ101" s="285"/>
      <c r="QGA101" s="285"/>
      <c r="QGB101" s="285"/>
      <c r="QGC101" s="285"/>
      <c r="QGD101" s="285"/>
      <c r="QGE101" s="285"/>
      <c r="QGF101" s="285"/>
      <c r="QGG101" s="285"/>
      <c r="QGH101" s="285"/>
      <c r="QGI101" s="285"/>
      <c r="QGJ101" s="285"/>
      <c r="QGK101" s="285"/>
      <c r="QGL101" s="285"/>
      <c r="QGM101" s="285"/>
      <c r="QGN101" s="285"/>
      <c r="QGO101" s="285"/>
      <c r="QGP101" s="285"/>
      <c r="QGQ101" s="285"/>
      <c r="QGR101" s="285"/>
      <c r="QGS101" s="285"/>
      <c r="QGT101" s="285"/>
      <c r="QGU101" s="285"/>
      <c r="QGV101" s="285"/>
      <c r="QGW101" s="285"/>
      <c r="QGX101" s="285"/>
      <c r="QGY101" s="285"/>
      <c r="QGZ101" s="285"/>
      <c r="QHA101" s="285"/>
      <c r="QHB101" s="285"/>
      <c r="QHC101" s="285"/>
      <c r="QHD101" s="285"/>
      <c r="QHE101" s="285"/>
      <c r="QHF101" s="285"/>
      <c r="QHG101" s="285"/>
      <c r="QHH101" s="285"/>
      <c r="QHI101" s="285"/>
      <c r="QHJ101" s="285"/>
      <c r="QHK101" s="285"/>
      <c r="QHL101" s="285"/>
      <c r="QHM101" s="285"/>
      <c r="QHN101" s="285"/>
      <c r="QHO101" s="285"/>
      <c r="QHP101" s="285"/>
      <c r="QHQ101" s="285"/>
      <c r="QHR101" s="285"/>
      <c r="QHS101" s="285"/>
      <c r="QHT101" s="285"/>
      <c r="QHU101" s="285"/>
      <c r="QHV101" s="285"/>
      <c r="QHW101" s="285"/>
      <c r="QHX101" s="285"/>
      <c r="QHY101" s="285"/>
      <c r="QHZ101" s="285"/>
      <c r="QIA101" s="285"/>
      <c r="QIB101" s="285"/>
      <c r="QIC101" s="285"/>
      <c r="QID101" s="285"/>
      <c r="QIE101" s="285"/>
      <c r="QIF101" s="285"/>
      <c r="QIG101" s="285"/>
      <c r="QIH101" s="285"/>
      <c r="QII101" s="285"/>
      <c r="QIJ101" s="285"/>
      <c r="QIK101" s="285"/>
      <c r="QIL101" s="285"/>
      <c r="QIM101" s="285"/>
      <c r="QIN101" s="285"/>
      <c r="QIO101" s="285"/>
      <c r="QIP101" s="285"/>
      <c r="QIQ101" s="285"/>
      <c r="QIR101" s="285"/>
      <c r="QIS101" s="285"/>
      <c r="QIT101" s="285"/>
      <c r="QIU101" s="285"/>
      <c r="QIV101" s="285"/>
      <c r="QIW101" s="285"/>
      <c r="QIX101" s="285"/>
      <c r="QIY101" s="285"/>
      <c r="QIZ101" s="285"/>
      <c r="QJA101" s="285"/>
      <c r="QJB101" s="285"/>
      <c r="QJC101" s="285"/>
      <c r="QJD101" s="285"/>
      <c r="QJE101" s="285"/>
      <c r="QJF101" s="285"/>
      <c r="QJG101" s="285"/>
      <c r="QJH101" s="285"/>
      <c r="QJI101" s="285"/>
      <c r="QJJ101" s="285"/>
      <c r="QJK101" s="285"/>
      <c r="QJL101" s="285"/>
      <c r="QJM101" s="285"/>
      <c r="QJN101" s="285"/>
      <c r="QJO101" s="285"/>
      <c r="QJP101" s="285"/>
      <c r="QJQ101" s="285"/>
      <c r="QJR101" s="285"/>
      <c r="QJS101" s="285"/>
      <c r="QJT101" s="285"/>
      <c r="QJU101" s="285"/>
      <c r="QJV101" s="285"/>
      <c r="QJW101" s="285"/>
      <c r="QJX101" s="285"/>
      <c r="QJY101" s="285"/>
      <c r="QJZ101" s="285"/>
      <c r="QKA101" s="285"/>
      <c r="QKB101" s="285"/>
      <c r="QKC101" s="285"/>
      <c r="QKD101" s="285"/>
      <c r="QKE101" s="285"/>
      <c r="QKF101" s="285"/>
      <c r="QKG101" s="285"/>
      <c r="QKH101" s="285"/>
      <c r="QKI101" s="285"/>
      <c r="QKJ101" s="285"/>
      <c r="QKK101" s="285"/>
      <c r="QKL101" s="285"/>
      <c r="QKM101" s="285"/>
      <c r="QKN101" s="285"/>
      <c r="QKO101" s="285"/>
      <c r="QKP101" s="285"/>
      <c r="QKQ101" s="285"/>
      <c r="QKR101" s="285"/>
      <c r="QKS101" s="285"/>
      <c r="QKT101" s="285"/>
      <c r="QKU101" s="285"/>
      <c r="QKV101" s="285"/>
      <c r="QKW101" s="285"/>
      <c r="QKX101" s="285"/>
      <c r="QKY101" s="285"/>
      <c r="QKZ101" s="285"/>
      <c r="QLA101" s="285"/>
      <c r="QLB101" s="285"/>
      <c r="QLC101" s="285"/>
      <c r="QLD101" s="285"/>
      <c r="QLE101" s="285"/>
      <c r="QLF101" s="285"/>
      <c r="QLG101" s="285"/>
      <c r="QLH101" s="285"/>
      <c r="QLI101" s="285"/>
      <c r="QLJ101" s="285"/>
      <c r="QLK101" s="285"/>
      <c r="QLL101" s="285"/>
      <c r="QLM101" s="285"/>
      <c r="QLN101" s="285"/>
      <c r="QLO101" s="285"/>
      <c r="QLP101" s="285"/>
      <c r="QLQ101" s="285"/>
      <c r="QLR101" s="285"/>
      <c r="QLS101" s="285"/>
      <c r="QLT101" s="285"/>
      <c r="QLU101" s="285"/>
      <c r="QLV101" s="285"/>
      <c r="QLW101" s="285"/>
      <c r="QLX101" s="285"/>
      <c r="QLY101" s="285"/>
      <c r="QLZ101" s="285"/>
      <c r="QMA101" s="285"/>
      <c r="QMB101" s="285"/>
      <c r="QMC101" s="285"/>
      <c r="QMD101" s="285"/>
      <c r="QME101" s="285"/>
      <c r="QMF101" s="285"/>
      <c r="QMG101" s="285"/>
      <c r="QMH101" s="285"/>
      <c r="QMI101" s="285"/>
      <c r="QMJ101" s="285"/>
      <c r="QMK101" s="285"/>
      <c r="QML101" s="285"/>
      <c r="QMM101" s="285"/>
      <c r="QMN101" s="285"/>
      <c r="QMO101" s="285"/>
      <c r="QMP101" s="285"/>
      <c r="QMQ101" s="285"/>
      <c r="QMR101" s="285"/>
      <c r="QMS101" s="285"/>
      <c r="QMT101" s="285"/>
      <c r="QMU101" s="285"/>
      <c r="QMV101" s="285"/>
      <c r="QMW101" s="285"/>
      <c r="QMX101" s="285"/>
      <c r="QMY101" s="285"/>
      <c r="QMZ101" s="285"/>
      <c r="QNA101" s="285"/>
      <c r="QNB101" s="285"/>
      <c r="QNC101" s="285"/>
      <c r="QND101" s="285"/>
      <c r="QNE101" s="285"/>
      <c r="QNF101" s="285"/>
      <c r="QNG101" s="285"/>
      <c r="QNH101" s="285"/>
      <c r="QNI101" s="285"/>
      <c r="QNJ101" s="285"/>
      <c r="QNK101" s="285"/>
      <c r="QNL101" s="285"/>
      <c r="QNM101" s="285"/>
      <c r="QNN101" s="285"/>
      <c r="QNO101" s="285"/>
      <c r="QNP101" s="285"/>
      <c r="QNQ101" s="285"/>
      <c r="QNR101" s="285"/>
      <c r="QNS101" s="285"/>
      <c r="QNT101" s="285"/>
      <c r="QNU101" s="285"/>
      <c r="QNV101" s="285"/>
      <c r="QNW101" s="285"/>
      <c r="QNX101" s="285"/>
      <c r="QNY101" s="285"/>
      <c r="QNZ101" s="285"/>
      <c r="QOA101" s="285"/>
      <c r="QOB101" s="285"/>
      <c r="QOC101" s="285"/>
      <c r="QOD101" s="285"/>
      <c r="QOE101" s="285"/>
      <c r="QOF101" s="285"/>
      <c r="QOG101" s="285"/>
      <c r="QOH101" s="285"/>
      <c r="QOI101" s="285"/>
      <c r="QOJ101" s="285"/>
      <c r="QOK101" s="285"/>
      <c r="QOL101" s="285"/>
      <c r="QOM101" s="285"/>
      <c r="QON101" s="285"/>
      <c r="QOO101" s="285"/>
      <c r="QOP101" s="285"/>
      <c r="QOQ101" s="285"/>
      <c r="QOR101" s="285"/>
      <c r="QOS101" s="285"/>
      <c r="QOT101" s="285"/>
      <c r="QOU101" s="285"/>
      <c r="QOV101" s="285"/>
      <c r="QOW101" s="285"/>
      <c r="QOX101" s="285"/>
      <c r="QOY101" s="285"/>
      <c r="QOZ101" s="285"/>
      <c r="QPA101" s="285"/>
      <c r="QPB101" s="285"/>
      <c r="QPC101" s="285"/>
      <c r="QPD101" s="285"/>
      <c r="QPE101" s="285"/>
      <c r="QPF101" s="285"/>
      <c r="QPG101" s="285"/>
      <c r="QPH101" s="285"/>
      <c r="QPI101" s="285"/>
      <c r="QPJ101" s="285"/>
      <c r="QPK101" s="285"/>
      <c r="QPL101" s="285"/>
      <c r="QPM101" s="285"/>
      <c r="QPN101" s="285"/>
      <c r="QPO101" s="285"/>
      <c r="QPP101" s="285"/>
      <c r="QPQ101" s="285"/>
      <c r="QPR101" s="285"/>
      <c r="QPS101" s="285"/>
      <c r="QPT101" s="285"/>
      <c r="QPU101" s="285"/>
      <c r="QPV101" s="285"/>
      <c r="QPW101" s="285"/>
      <c r="QPX101" s="285"/>
      <c r="QPY101" s="285"/>
      <c r="QPZ101" s="285"/>
      <c r="QQA101" s="285"/>
      <c r="QQB101" s="285"/>
      <c r="QQC101" s="285"/>
      <c r="QQD101" s="285"/>
      <c r="QQE101" s="285"/>
      <c r="QQF101" s="285"/>
      <c r="QQG101" s="285"/>
      <c r="QQH101" s="285"/>
      <c r="QQI101" s="285"/>
      <c r="QQJ101" s="285"/>
      <c r="QQK101" s="285"/>
      <c r="QQL101" s="285"/>
      <c r="QQM101" s="285"/>
      <c r="QQN101" s="285"/>
      <c r="QQO101" s="285"/>
      <c r="QQP101" s="285"/>
      <c r="QQQ101" s="285"/>
      <c r="QQR101" s="285"/>
      <c r="QQS101" s="285"/>
      <c r="QQT101" s="285"/>
      <c r="QQU101" s="285"/>
      <c r="QQV101" s="285"/>
      <c r="QQW101" s="285"/>
      <c r="QQX101" s="285"/>
      <c r="QQY101" s="285"/>
      <c r="QQZ101" s="285"/>
      <c r="QRA101" s="285"/>
      <c r="QRB101" s="285"/>
      <c r="QRC101" s="285"/>
      <c r="QRD101" s="285"/>
      <c r="QRE101" s="285"/>
      <c r="QRF101" s="285"/>
      <c r="QRG101" s="285"/>
      <c r="QRH101" s="285"/>
      <c r="QRI101" s="285"/>
      <c r="QRJ101" s="285"/>
      <c r="QRK101" s="285"/>
      <c r="QRL101" s="285"/>
      <c r="QRM101" s="285"/>
      <c r="QRN101" s="285"/>
      <c r="QRO101" s="285"/>
      <c r="QRP101" s="285"/>
      <c r="QRQ101" s="285"/>
      <c r="QRR101" s="285"/>
      <c r="QRS101" s="285"/>
      <c r="QRT101" s="285"/>
      <c r="QRU101" s="285"/>
      <c r="QRV101" s="285"/>
      <c r="QRW101" s="285"/>
      <c r="QRX101" s="285"/>
      <c r="QRY101" s="285"/>
      <c r="QRZ101" s="285"/>
      <c r="QSA101" s="285"/>
      <c r="QSB101" s="285"/>
      <c r="QSC101" s="285"/>
      <c r="QSD101" s="285"/>
      <c r="QSE101" s="285"/>
      <c r="QSF101" s="285"/>
      <c r="QSG101" s="285"/>
      <c r="QSH101" s="285"/>
      <c r="QSI101" s="285"/>
      <c r="QSJ101" s="285"/>
      <c r="QSK101" s="285"/>
      <c r="QSL101" s="285"/>
      <c r="QSM101" s="285"/>
      <c r="QSN101" s="285"/>
      <c r="QSO101" s="285"/>
      <c r="QSP101" s="285"/>
      <c r="QSQ101" s="285"/>
      <c r="QSR101" s="285"/>
      <c r="QSS101" s="285"/>
      <c r="QST101" s="285"/>
      <c r="QSU101" s="285"/>
      <c r="QSV101" s="285"/>
      <c r="QSW101" s="285"/>
      <c r="QSX101" s="285"/>
      <c r="QSY101" s="285"/>
      <c r="QSZ101" s="285"/>
      <c r="QTA101" s="285"/>
      <c r="QTB101" s="285"/>
      <c r="QTC101" s="285"/>
      <c r="QTD101" s="285"/>
      <c r="QTE101" s="285"/>
      <c r="QTF101" s="285"/>
      <c r="QTG101" s="285"/>
      <c r="QTH101" s="285"/>
      <c r="QTI101" s="285"/>
      <c r="QTJ101" s="285"/>
      <c r="QTK101" s="285"/>
      <c r="QTL101" s="285"/>
      <c r="QTM101" s="285"/>
      <c r="QTN101" s="285"/>
      <c r="QTO101" s="285"/>
      <c r="QTP101" s="285"/>
      <c r="QTQ101" s="285"/>
      <c r="QTR101" s="285"/>
      <c r="QTS101" s="285"/>
      <c r="QTT101" s="285"/>
      <c r="QTU101" s="285"/>
      <c r="QTV101" s="285"/>
      <c r="QTW101" s="285"/>
      <c r="QTX101" s="285"/>
      <c r="QTY101" s="285"/>
      <c r="QTZ101" s="285"/>
      <c r="QUA101" s="285"/>
      <c r="QUB101" s="285"/>
      <c r="QUC101" s="285"/>
      <c r="QUD101" s="285"/>
      <c r="QUE101" s="285"/>
      <c r="QUF101" s="285"/>
      <c r="QUG101" s="285"/>
      <c r="QUH101" s="285"/>
      <c r="QUI101" s="285"/>
      <c r="QUJ101" s="285"/>
      <c r="QUK101" s="285"/>
      <c r="QUL101" s="285"/>
      <c r="QUM101" s="285"/>
      <c r="QUN101" s="285"/>
      <c r="QUO101" s="285"/>
      <c r="QUP101" s="285"/>
      <c r="QUQ101" s="285"/>
      <c r="QUR101" s="285"/>
      <c r="QUS101" s="285"/>
      <c r="QUT101" s="285"/>
      <c r="QUU101" s="285"/>
      <c r="QUV101" s="285"/>
      <c r="QUW101" s="285"/>
      <c r="QUX101" s="285"/>
      <c r="QUY101" s="285"/>
      <c r="QUZ101" s="285"/>
      <c r="QVA101" s="285"/>
      <c r="QVB101" s="285"/>
      <c r="QVC101" s="285"/>
      <c r="QVD101" s="285"/>
      <c r="QVE101" s="285"/>
      <c r="QVF101" s="285"/>
      <c r="QVG101" s="285"/>
      <c r="QVH101" s="285"/>
      <c r="QVI101" s="285"/>
      <c r="QVJ101" s="285"/>
      <c r="QVK101" s="285"/>
      <c r="QVL101" s="285"/>
      <c r="QVM101" s="285"/>
      <c r="QVN101" s="285"/>
      <c r="QVO101" s="285"/>
      <c r="QVP101" s="285"/>
      <c r="QVQ101" s="285"/>
      <c r="QVR101" s="285"/>
      <c r="QVS101" s="285"/>
      <c r="QVT101" s="285"/>
      <c r="QVU101" s="285"/>
      <c r="QVV101" s="285"/>
      <c r="QVW101" s="285"/>
      <c r="QVX101" s="285"/>
      <c r="QVY101" s="285"/>
      <c r="QVZ101" s="285"/>
      <c r="QWA101" s="285"/>
      <c r="QWB101" s="285"/>
      <c r="QWC101" s="285"/>
      <c r="QWD101" s="285"/>
      <c r="QWE101" s="285"/>
      <c r="QWF101" s="285"/>
      <c r="QWG101" s="285"/>
      <c r="QWH101" s="285"/>
      <c r="QWI101" s="285"/>
      <c r="QWJ101" s="285"/>
      <c r="QWK101" s="285"/>
      <c r="QWL101" s="285"/>
      <c r="QWM101" s="285"/>
      <c r="QWN101" s="285"/>
      <c r="QWO101" s="285"/>
      <c r="QWP101" s="285"/>
      <c r="QWQ101" s="285"/>
      <c r="QWR101" s="285"/>
      <c r="QWS101" s="285"/>
      <c r="QWT101" s="285"/>
      <c r="QWU101" s="285"/>
      <c r="QWV101" s="285"/>
      <c r="QWW101" s="285"/>
      <c r="QWX101" s="285"/>
      <c r="QWY101" s="285"/>
      <c r="QWZ101" s="285"/>
      <c r="QXA101" s="285"/>
      <c r="QXB101" s="285"/>
      <c r="QXC101" s="285"/>
      <c r="QXD101" s="285"/>
      <c r="QXE101" s="285"/>
      <c r="QXF101" s="285"/>
      <c r="QXG101" s="285"/>
      <c r="QXH101" s="285"/>
      <c r="QXI101" s="285"/>
      <c r="QXJ101" s="285"/>
      <c r="QXK101" s="285"/>
      <c r="QXL101" s="285"/>
      <c r="QXM101" s="285"/>
      <c r="QXN101" s="285"/>
      <c r="QXO101" s="285"/>
      <c r="QXP101" s="285"/>
      <c r="QXQ101" s="285"/>
      <c r="QXR101" s="285"/>
      <c r="QXS101" s="285"/>
      <c r="QXT101" s="285"/>
      <c r="QXU101" s="285"/>
      <c r="QXV101" s="285"/>
      <c r="QXW101" s="285"/>
      <c r="QXX101" s="285"/>
      <c r="QXY101" s="285"/>
      <c r="QXZ101" s="285"/>
      <c r="QYA101" s="285"/>
      <c r="QYB101" s="285"/>
      <c r="QYC101" s="285"/>
      <c r="QYD101" s="285"/>
      <c r="QYE101" s="285"/>
      <c r="QYF101" s="285"/>
      <c r="QYG101" s="285"/>
      <c r="QYH101" s="285"/>
      <c r="QYI101" s="285"/>
      <c r="QYJ101" s="285"/>
      <c r="QYK101" s="285"/>
      <c r="QYL101" s="285"/>
      <c r="QYM101" s="285"/>
      <c r="QYN101" s="285"/>
      <c r="QYO101" s="285"/>
      <c r="QYP101" s="285"/>
      <c r="QYQ101" s="285"/>
      <c r="QYR101" s="285"/>
      <c r="QYS101" s="285"/>
      <c r="QYT101" s="285"/>
      <c r="QYU101" s="285"/>
      <c r="QYV101" s="285"/>
      <c r="QYW101" s="285"/>
      <c r="QYX101" s="285"/>
      <c r="QYY101" s="285"/>
      <c r="QYZ101" s="285"/>
      <c r="QZA101" s="285"/>
      <c r="QZB101" s="285"/>
      <c r="QZC101" s="285"/>
      <c r="QZD101" s="285"/>
      <c r="QZE101" s="285"/>
      <c r="QZF101" s="285"/>
      <c r="QZG101" s="285"/>
      <c r="QZH101" s="285"/>
      <c r="QZI101" s="285"/>
      <c r="QZJ101" s="285"/>
      <c r="QZK101" s="285"/>
      <c r="QZL101" s="285"/>
      <c r="QZM101" s="285"/>
      <c r="QZN101" s="285"/>
      <c r="QZO101" s="285"/>
      <c r="QZP101" s="285"/>
      <c r="QZQ101" s="285"/>
      <c r="QZR101" s="285"/>
      <c r="QZS101" s="285"/>
      <c r="QZT101" s="285"/>
      <c r="QZU101" s="285"/>
      <c r="QZV101" s="285"/>
      <c r="QZW101" s="285"/>
      <c r="QZX101" s="285"/>
      <c r="QZY101" s="285"/>
      <c r="QZZ101" s="285"/>
      <c r="RAA101" s="285"/>
      <c r="RAB101" s="285"/>
      <c r="RAC101" s="285"/>
      <c r="RAD101" s="285"/>
      <c r="RAE101" s="285"/>
      <c r="RAF101" s="285"/>
      <c r="RAG101" s="285"/>
      <c r="RAH101" s="285"/>
      <c r="RAI101" s="285"/>
      <c r="RAJ101" s="285"/>
      <c r="RAK101" s="285"/>
      <c r="RAL101" s="285"/>
      <c r="RAM101" s="285"/>
      <c r="RAN101" s="285"/>
      <c r="RAO101" s="285"/>
      <c r="RAP101" s="285"/>
      <c r="RAQ101" s="285"/>
      <c r="RAR101" s="285"/>
      <c r="RAS101" s="285"/>
      <c r="RAT101" s="285"/>
      <c r="RAU101" s="285"/>
      <c r="RAV101" s="285"/>
      <c r="RAW101" s="285"/>
      <c r="RAX101" s="285"/>
      <c r="RAY101" s="285"/>
      <c r="RAZ101" s="285"/>
      <c r="RBA101" s="285"/>
      <c r="RBB101" s="285"/>
      <c r="RBC101" s="285"/>
      <c r="RBD101" s="285"/>
      <c r="RBE101" s="285"/>
      <c r="RBF101" s="285"/>
      <c r="RBG101" s="285"/>
      <c r="RBH101" s="285"/>
      <c r="RBI101" s="285"/>
      <c r="RBJ101" s="285"/>
      <c r="RBK101" s="285"/>
      <c r="RBL101" s="285"/>
      <c r="RBM101" s="285"/>
      <c r="RBN101" s="285"/>
      <c r="RBO101" s="285"/>
      <c r="RBP101" s="285"/>
      <c r="RBQ101" s="285"/>
      <c r="RBR101" s="285"/>
      <c r="RBS101" s="285"/>
      <c r="RBT101" s="285"/>
      <c r="RBU101" s="285"/>
      <c r="RBV101" s="285"/>
      <c r="RBW101" s="285"/>
      <c r="RBX101" s="285"/>
      <c r="RBY101" s="285"/>
      <c r="RBZ101" s="285"/>
      <c r="RCA101" s="285"/>
      <c r="RCB101" s="285"/>
      <c r="RCC101" s="285"/>
      <c r="RCD101" s="285"/>
      <c r="RCE101" s="285"/>
      <c r="RCF101" s="285"/>
      <c r="RCG101" s="285"/>
      <c r="RCH101" s="285"/>
      <c r="RCI101" s="285"/>
      <c r="RCJ101" s="285"/>
      <c r="RCK101" s="285"/>
      <c r="RCL101" s="285"/>
      <c r="RCM101" s="285"/>
      <c r="RCN101" s="285"/>
      <c r="RCO101" s="285"/>
      <c r="RCP101" s="285"/>
      <c r="RCQ101" s="285"/>
      <c r="RCR101" s="285"/>
      <c r="RCS101" s="285"/>
      <c r="RCT101" s="285"/>
      <c r="RCU101" s="285"/>
      <c r="RCV101" s="285"/>
      <c r="RCW101" s="285"/>
      <c r="RCX101" s="285"/>
      <c r="RCY101" s="285"/>
      <c r="RCZ101" s="285"/>
      <c r="RDA101" s="285"/>
      <c r="RDB101" s="285"/>
      <c r="RDC101" s="285"/>
      <c r="RDD101" s="285"/>
      <c r="RDE101" s="285"/>
      <c r="RDF101" s="285"/>
      <c r="RDG101" s="285"/>
      <c r="RDH101" s="285"/>
      <c r="RDI101" s="285"/>
      <c r="RDJ101" s="285"/>
      <c r="RDK101" s="285"/>
      <c r="RDL101" s="285"/>
      <c r="RDM101" s="285"/>
      <c r="RDN101" s="285"/>
      <c r="RDO101" s="285"/>
      <c r="RDP101" s="285"/>
      <c r="RDQ101" s="285"/>
      <c r="RDR101" s="285"/>
      <c r="RDS101" s="285"/>
      <c r="RDT101" s="285"/>
      <c r="RDU101" s="285"/>
      <c r="RDV101" s="285"/>
      <c r="RDW101" s="285"/>
      <c r="RDX101" s="285"/>
      <c r="RDY101" s="285"/>
      <c r="RDZ101" s="285"/>
      <c r="REA101" s="285"/>
      <c r="REB101" s="285"/>
      <c r="REC101" s="285"/>
      <c r="RED101" s="285"/>
      <c r="REE101" s="285"/>
      <c r="REF101" s="285"/>
      <c r="REG101" s="285"/>
      <c r="REH101" s="285"/>
      <c r="REI101" s="285"/>
      <c r="REJ101" s="285"/>
      <c r="REK101" s="285"/>
      <c r="REL101" s="285"/>
      <c r="REM101" s="285"/>
      <c r="REN101" s="285"/>
      <c r="REO101" s="285"/>
      <c r="REP101" s="285"/>
      <c r="REQ101" s="285"/>
      <c r="RER101" s="285"/>
      <c r="RES101" s="285"/>
      <c r="RET101" s="285"/>
      <c r="REU101" s="285"/>
      <c r="REV101" s="285"/>
      <c r="REW101" s="285"/>
      <c r="REX101" s="285"/>
      <c r="REY101" s="285"/>
      <c r="REZ101" s="285"/>
      <c r="RFA101" s="285"/>
      <c r="RFB101" s="285"/>
      <c r="RFC101" s="285"/>
      <c r="RFD101" s="285"/>
      <c r="RFE101" s="285"/>
      <c r="RFF101" s="285"/>
      <c r="RFG101" s="285"/>
      <c r="RFH101" s="285"/>
      <c r="RFI101" s="285"/>
      <c r="RFJ101" s="285"/>
      <c r="RFK101" s="285"/>
      <c r="RFL101" s="285"/>
      <c r="RFM101" s="285"/>
      <c r="RFN101" s="285"/>
      <c r="RFO101" s="285"/>
      <c r="RFP101" s="285"/>
      <c r="RFQ101" s="285"/>
      <c r="RFR101" s="285"/>
      <c r="RFS101" s="285"/>
      <c r="RFT101" s="285"/>
      <c r="RFU101" s="285"/>
      <c r="RFV101" s="285"/>
      <c r="RFW101" s="285"/>
      <c r="RFX101" s="285"/>
      <c r="RFY101" s="285"/>
      <c r="RFZ101" s="285"/>
      <c r="RGA101" s="285"/>
      <c r="RGB101" s="285"/>
      <c r="RGC101" s="285"/>
      <c r="RGD101" s="285"/>
      <c r="RGE101" s="285"/>
      <c r="RGF101" s="285"/>
      <c r="RGG101" s="285"/>
      <c r="RGH101" s="285"/>
      <c r="RGI101" s="285"/>
      <c r="RGJ101" s="285"/>
      <c r="RGK101" s="285"/>
      <c r="RGL101" s="285"/>
      <c r="RGM101" s="285"/>
      <c r="RGN101" s="285"/>
      <c r="RGO101" s="285"/>
      <c r="RGP101" s="285"/>
      <c r="RGQ101" s="285"/>
      <c r="RGR101" s="285"/>
      <c r="RGS101" s="285"/>
      <c r="RGT101" s="285"/>
      <c r="RGU101" s="285"/>
      <c r="RGV101" s="285"/>
      <c r="RGW101" s="285"/>
      <c r="RGX101" s="285"/>
      <c r="RGY101" s="285"/>
      <c r="RGZ101" s="285"/>
      <c r="RHA101" s="285"/>
      <c r="RHB101" s="285"/>
      <c r="RHC101" s="285"/>
      <c r="RHD101" s="285"/>
      <c r="RHE101" s="285"/>
      <c r="RHF101" s="285"/>
      <c r="RHG101" s="285"/>
      <c r="RHH101" s="285"/>
      <c r="RHI101" s="285"/>
      <c r="RHJ101" s="285"/>
      <c r="RHK101" s="285"/>
      <c r="RHL101" s="285"/>
      <c r="RHM101" s="285"/>
      <c r="RHN101" s="285"/>
      <c r="RHO101" s="285"/>
      <c r="RHP101" s="285"/>
      <c r="RHQ101" s="285"/>
      <c r="RHR101" s="285"/>
      <c r="RHS101" s="285"/>
      <c r="RHT101" s="285"/>
      <c r="RHU101" s="285"/>
      <c r="RHV101" s="285"/>
      <c r="RHW101" s="285"/>
      <c r="RHX101" s="285"/>
      <c r="RHY101" s="285"/>
      <c r="RHZ101" s="285"/>
      <c r="RIA101" s="285"/>
      <c r="RIB101" s="285"/>
      <c r="RIC101" s="285"/>
      <c r="RID101" s="285"/>
      <c r="RIE101" s="285"/>
      <c r="RIF101" s="285"/>
      <c r="RIG101" s="285"/>
      <c r="RIH101" s="285"/>
      <c r="RII101" s="285"/>
      <c r="RIJ101" s="285"/>
      <c r="RIK101" s="285"/>
      <c r="RIL101" s="285"/>
      <c r="RIM101" s="285"/>
      <c r="RIN101" s="285"/>
      <c r="RIO101" s="285"/>
      <c r="RIP101" s="285"/>
      <c r="RIQ101" s="285"/>
      <c r="RIR101" s="285"/>
      <c r="RIS101" s="285"/>
      <c r="RIT101" s="285"/>
      <c r="RIU101" s="285"/>
      <c r="RIV101" s="285"/>
      <c r="RIW101" s="285"/>
      <c r="RIX101" s="285"/>
      <c r="RIY101" s="285"/>
      <c r="RIZ101" s="285"/>
      <c r="RJA101" s="285"/>
      <c r="RJB101" s="285"/>
      <c r="RJC101" s="285"/>
      <c r="RJD101" s="285"/>
      <c r="RJE101" s="285"/>
      <c r="RJF101" s="285"/>
      <c r="RJG101" s="285"/>
      <c r="RJH101" s="285"/>
      <c r="RJI101" s="285"/>
      <c r="RJJ101" s="285"/>
      <c r="RJK101" s="285"/>
      <c r="RJL101" s="285"/>
      <c r="RJM101" s="285"/>
      <c r="RJN101" s="285"/>
      <c r="RJO101" s="285"/>
      <c r="RJP101" s="285"/>
      <c r="RJQ101" s="285"/>
      <c r="RJR101" s="285"/>
      <c r="RJS101" s="285"/>
      <c r="RJT101" s="285"/>
      <c r="RJU101" s="285"/>
      <c r="RJV101" s="285"/>
      <c r="RJW101" s="285"/>
      <c r="RJX101" s="285"/>
      <c r="RJY101" s="285"/>
      <c r="RJZ101" s="285"/>
      <c r="RKA101" s="285"/>
      <c r="RKB101" s="285"/>
      <c r="RKC101" s="285"/>
      <c r="RKD101" s="285"/>
      <c r="RKE101" s="285"/>
      <c r="RKF101" s="285"/>
      <c r="RKG101" s="285"/>
      <c r="RKH101" s="285"/>
      <c r="RKI101" s="285"/>
      <c r="RKJ101" s="285"/>
      <c r="RKK101" s="285"/>
      <c r="RKL101" s="285"/>
      <c r="RKM101" s="285"/>
      <c r="RKN101" s="285"/>
      <c r="RKO101" s="285"/>
      <c r="RKP101" s="285"/>
      <c r="RKQ101" s="285"/>
      <c r="RKR101" s="285"/>
      <c r="RKS101" s="285"/>
      <c r="RKT101" s="285"/>
      <c r="RKU101" s="285"/>
      <c r="RKV101" s="285"/>
      <c r="RKW101" s="285"/>
      <c r="RKX101" s="285"/>
      <c r="RKY101" s="285"/>
      <c r="RKZ101" s="285"/>
      <c r="RLA101" s="285"/>
      <c r="RLB101" s="285"/>
      <c r="RLC101" s="285"/>
      <c r="RLD101" s="285"/>
      <c r="RLE101" s="285"/>
      <c r="RLF101" s="285"/>
      <c r="RLG101" s="285"/>
      <c r="RLH101" s="285"/>
      <c r="RLI101" s="285"/>
      <c r="RLJ101" s="285"/>
      <c r="RLK101" s="285"/>
      <c r="RLL101" s="285"/>
      <c r="RLM101" s="285"/>
      <c r="RLN101" s="285"/>
      <c r="RLO101" s="285"/>
      <c r="RLP101" s="285"/>
      <c r="RLQ101" s="285"/>
      <c r="RLR101" s="285"/>
      <c r="RLS101" s="285"/>
      <c r="RLT101" s="285"/>
      <c r="RLU101" s="285"/>
      <c r="RLV101" s="285"/>
      <c r="RLW101" s="285"/>
      <c r="RLX101" s="285"/>
      <c r="RLY101" s="285"/>
      <c r="RLZ101" s="285"/>
      <c r="RMA101" s="285"/>
      <c r="RMB101" s="285"/>
      <c r="RMC101" s="285"/>
      <c r="RMD101" s="285"/>
      <c r="RME101" s="285"/>
      <c r="RMF101" s="285"/>
      <c r="RMG101" s="285"/>
      <c r="RMH101" s="285"/>
      <c r="RMI101" s="285"/>
      <c r="RMJ101" s="285"/>
      <c r="RMK101" s="285"/>
      <c r="RML101" s="285"/>
      <c r="RMM101" s="285"/>
      <c r="RMN101" s="285"/>
      <c r="RMO101" s="285"/>
      <c r="RMP101" s="285"/>
      <c r="RMQ101" s="285"/>
      <c r="RMR101" s="285"/>
      <c r="RMS101" s="285"/>
      <c r="RMT101" s="285"/>
      <c r="RMU101" s="285"/>
      <c r="RMV101" s="285"/>
      <c r="RMW101" s="285"/>
      <c r="RMX101" s="285"/>
      <c r="RMY101" s="285"/>
      <c r="RMZ101" s="285"/>
      <c r="RNA101" s="285"/>
      <c r="RNB101" s="285"/>
      <c r="RNC101" s="285"/>
      <c r="RND101" s="285"/>
      <c r="RNE101" s="285"/>
      <c r="RNF101" s="285"/>
      <c r="RNG101" s="285"/>
      <c r="RNH101" s="285"/>
      <c r="RNI101" s="285"/>
      <c r="RNJ101" s="285"/>
      <c r="RNK101" s="285"/>
      <c r="RNL101" s="285"/>
      <c r="RNM101" s="285"/>
      <c r="RNN101" s="285"/>
      <c r="RNO101" s="285"/>
      <c r="RNP101" s="285"/>
      <c r="RNQ101" s="285"/>
      <c r="RNR101" s="285"/>
      <c r="RNS101" s="285"/>
      <c r="RNT101" s="285"/>
      <c r="RNU101" s="285"/>
      <c r="RNV101" s="285"/>
      <c r="RNW101" s="285"/>
      <c r="RNX101" s="285"/>
      <c r="RNY101" s="285"/>
      <c r="RNZ101" s="285"/>
      <c r="ROA101" s="285"/>
      <c r="ROB101" s="285"/>
      <c r="ROC101" s="285"/>
      <c r="ROD101" s="285"/>
      <c r="ROE101" s="285"/>
      <c r="ROF101" s="285"/>
      <c r="ROG101" s="285"/>
      <c r="ROH101" s="285"/>
      <c r="ROI101" s="285"/>
      <c r="ROJ101" s="285"/>
      <c r="ROK101" s="285"/>
      <c r="ROL101" s="285"/>
      <c r="ROM101" s="285"/>
      <c r="RON101" s="285"/>
      <c r="ROO101" s="285"/>
      <c r="ROP101" s="285"/>
      <c r="ROQ101" s="285"/>
      <c r="ROR101" s="285"/>
      <c r="ROS101" s="285"/>
      <c r="ROT101" s="285"/>
      <c r="ROU101" s="285"/>
      <c r="ROV101" s="285"/>
      <c r="ROW101" s="285"/>
      <c r="ROX101" s="285"/>
      <c r="ROY101" s="285"/>
      <c r="ROZ101" s="285"/>
      <c r="RPA101" s="285"/>
      <c r="RPB101" s="285"/>
      <c r="RPC101" s="285"/>
      <c r="RPD101" s="285"/>
      <c r="RPE101" s="285"/>
      <c r="RPF101" s="285"/>
      <c r="RPG101" s="285"/>
      <c r="RPH101" s="285"/>
      <c r="RPI101" s="285"/>
      <c r="RPJ101" s="285"/>
      <c r="RPK101" s="285"/>
      <c r="RPL101" s="285"/>
      <c r="RPM101" s="285"/>
      <c r="RPN101" s="285"/>
      <c r="RPO101" s="285"/>
      <c r="RPP101" s="285"/>
      <c r="RPQ101" s="285"/>
      <c r="RPR101" s="285"/>
      <c r="RPS101" s="285"/>
      <c r="RPT101" s="285"/>
      <c r="RPU101" s="285"/>
      <c r="RPV101" s="285"/>
      <c r="RPW101" s="285"/>
      <c r="RPX101" s="285"/>
      <c r="RPY101" s="285"/>
      <c r="RPZ101" s="285"/>
      <c r="RQA101" s="285"/>
      <c r="RQB101" s="285"/>
      <c r="RQC101" s="285"/>
      <c r="RQD101" s="285"/>
      <c r="RQE101" s="285"/>
      <c r="RQF101" s="285"/>
      <c r="RQG101" s="285"/>
      <c r="RQH101" s="285"/>
      <c r="RQI101" s="285"/>
      <c r="RQJ101" s="285"/>
      <c r="RQK101" s="285"/>
      <c r="RQL101" s="285"/>
      <c r="RQM101" s="285"/>
      <c r="RQN101" s="285"/>
      <c r="RQO101" s="285"/>
      <c r="RQP101" s="285"/>
      <c r="RQQ101" s="285"/>
      <c r="RQR101" s="285"/>
      <c r="RQS101" s="285"/>
      <c r="RQT101" s="285"/>
      <c r="RQU101" s="285"/>
      <c r="RQV101" s="285"/>
      <c r="RQW101" s="285"/>
      <c r="RQX101" s="285"/>
      <c r="RQY101" s="285"/>
      <c r="RQZ101" s="285"/>
      <c r="RRA101" s="285"/>
      <c r="RRB101" s="285"/>
      <c r="RRC101" s="285"/>
      <c r="RRD101" s="285"/>
      <c r="RRE101" s="285"/>
      <c r="RRF101" s="285"/>
      <c r="RRG101" s="285"/>
      <c r="RRH101" s="285"/>
      <c r="RRI101" s="285"/>
      <c r="RRJ101" s="285"/>
      <c r="RRK101" s="285"/>
      <c r="RRL101" s="285"/>
      <c r="RRM101" s="285"/>
      <c r="RRN101" s="285"/>
      <c r="RRO101" s="285"/>
      <c r="RRP101" s="285"/>
      <c r="RRQ101" s="285"/>
      <c r="RRR101" s="285"/>
      <c r="RRS101" s="285"/>
      <c r="RRT101" s="285"/>
      <c r="RRU101" s="285"/>
      <c r="RRV101" s="285"/>
      <c r="RRW101" s="285"/>
      <c r="RRX101" s="285"/>
      <c r="RRY101" s="285"/>
      <c r="RRZ101" s="285"/>
      <c r="RSA101" s="285"/>
      <c r="RSB101" s="285"/>
      <c r="RSC101" s="285"/>
      <c r="RSD101" s="285"/>
      <c r="RSE101" s="285"/>
      <c r="RSF101" s="285"/>
      <c r="RSG101" s="285"/>
      <c r="RSH101" s="285"/>
      <c r="RSI101" s="285"/>
      <c r="RSJ101" s="285"/>
      <c r="RSK101" s="285"/>
      <c r="RSL101" s="285"/>
      <c r="RSM101" s="285"/>
      <c r="RSN101" s="285"/>
      <c r="RSO101" s="285"/>
      <c r="RSP101" s="285"/>
      <c r="RSQ101" s="285"/>
      <c r="RSR101" s="285"/>
      <c r="RSS101" s="285"/>
      <c r="RST101" s="285"/>
      <c r="RSU101" s="285"/>
      <c r="RSV101" s="285"/>
      <c r="RSW101" s="285"/>
      <c r="RSX101" s="285"/>
      <c r="RSY101" s="285"/>
      <c r="RSZ101" s="285"/>
      <c r="RTA101" s="285"/>
      <c r="RTB101" s="285"/>
      <c r="RTC101" s="285"/>
      <c r="RTD101" s="285"/>
      <c r="RTE101" s="285"/>
      <c r="RTF101" s="285"/>
      <c r="RTG101" s="285"/>
      <c r="RTH101" s="285"/>
      <c r="RTI101" s="285"/>
      <c r="RTJ101" s="285"/>
      <c r="RTK101" s="285"/>
      <c r="RTL101" s="285"/>
      <c r="RTM101" s="285"/>
      <c r="RTN101" s="285"/>
      <c r="RTO101" s="285"/>
      <c r="RTP101" s="285"/>
      <c r="RTQ101" s="285"/>
      <c r="RTR101" s="285"/>
      <c r="RTS101" s="285"/>
      <c r="RTT101" s="285"/>
      <c r="RTU101" s="285"/>
      <c r="RTV101" s="285"/>
      <c r="RTW101" s="285"/>
      <c r="RTX101" s="285"/>
      <c r="RTY101" s="285"/>
      <c r="RTZ101" s="285"/>
      <c r="RUA101" s="285"/>
      <c r="RUB101" s="285"/>
      <c r="RUC101" s="285"/>
      <c r="RUD101" s="285"/>
      <c r="RUE101" s="285"/>
      <c r="RUF101" s="285"/>
      <c r="RUG101" s="285"/>
      <c r="RUH101" s="285"/>
      <c r="RUI101" s="285"/>
      <c r="RUJ101" s="285"/>
      <c r="RUK101" s="285"/>
      <c r="RUL101" s="285"/>
      <c r="RUM101" s="285"/>
      <c r="RUN101" s="285"/>
      <c r="RUO101" s="285"/>
      <c r="RUP101" s="285"/>
      <c r="RUQ101" s="285"/>
      <c r="RUR101" s="285"/>
      <c r="RUS101" s="285"/>
      <c r="RUT101" s="285"/>
      <c r="RUU101" s="285"/>
      <c r="RUV101" s="285"/>
      <c r="RUW101" s="285"/>
      <c r="RUX101" s="285"/>
      <c r="RUY101" s="285"/>
      <c r="RUZ101" s="285"/>
      <c r="RVA101" s="285"/>
      <c r="RVB101" s="285"/>
      <c r="RVC101" s="285"/>
      <c r="RVD101" s="285"/>
      <c r="RVE101" s="285"/>
      <c r="RVF101" s="285"/>
      <c r="RVG101" s="285"/>
      <c r="RVH101" s="285"/>
      <c r="RVI101" s="285"/>
      <c r="RVJ101" s="285"/>
      <c r="RVK101" s="285"/>
      <c r="RVL101" s="285"/>
      <c r="RVM101" s="285"/>
      <c r="RVN101" s="285"/>
      <c r="RVO101" s="285"/>
      <c r="RVP101" s="285"/>
      <c r="RVQ101" s="285"/>
      <c r="RVR101" s="285"/>
      <c r="RVS101" s="285"/>
      <c r="RVT101" s="285"/>
      <c r="RVU101" s="285"/>
      <c r="RVV101" s="285"/>
      <c r="RVW101" s="285"/>
      <c r="RVX101" s="285"/>
      <c r="RVY101" s="285"/>
      <c r="RVZ101" s="285"/>
      <c r="RWA101" s="285"/>
      <c r="RWB101" s="285"/>
      <c r="RWC101" s="285"/>
      <c r="RWD101" s="285"/>
      <c r="RWE101" s="285"/>
      <c r="RWF101" s="285"/>
      <c r="RWG101" s="285"/>
      <c r="RWH101" s="285"/>
      <c r="RWI101" s="285"/>
      <c r="RWJ101" s="285"/>
      <c r="RWK101" s="285"/>
      <c r="RWL101" s="285"/>
      <c r="RWM101" s="285"/>
      <c r="RWN101" s="285"/>
      <c r="RWO101" s="285"/>
      <c r="RWP101" s="285"/>
      <c r="RWQ101" s="285"/>
      <c r="RWR101" s="285"/>
      <c r="RWS101" s="285"/>
      <c r="RWT101" s="285"/>
      <c r="RWU101" s="285"/>
      <c r="RWV101" s="285"/>
      <c r="RWW101" s="285"/>
      <c r="RWX101" s="285"/>
      <c r="RWY101" s="285"/>
      <c r="RWZ101" s="285"/>
      <c r="RXA101" s="285"/>
      <c r="RXB101" s="285"/>
      <c r="RXC101" s="285"/>
      <c r="RXD101" s="285"/>
      <c r="RXE101" s="285"/>
      <c r="RXF101" s="285"/>
      <c r="RXG101" s="285"/>
      <c r="RXH101" s="285"/>
      <c r="RXI101" s="285"/>
      <c r="RXJ101" s="285"/>
      <c r="RXK101" s="285"/>
      <c r="RXL101" s="285"/>
      <c r="RXM101" s="285"/>
      <c r="RXN101" s="285"/>
      <c r="RXO101" s="285"/>
      <c r="RXP101" s="285"/>
      <c r="RXQ101" s="285"/>
      <c r="RXR101" s="285"/>
      <c r="RXS101" s="285"/>
      <c r="RXT101" s="285"/>
      <c r="RXU101" s="285"/>
      <c r="RXV101" s="285"/>
      <c r="RXW101" s="285"/>
      <c r="RXX101" s="285"/>
      <c r="RXY101" s="285"/>
      <c r="RXZ101" s="285"/>
      <c r="RYA101" s="285"/>
      <c r="RYB101" s="285"/>
      <c r="RYC101" s="285"/>
      <c r="RYD101" s="285"/>
      <c r="RYE101" s="285"/>
      <c r="RYF101" s="285"/>
      <c r="RYG101" s="285"/>
      <c r="RYH101" s="285"/>
      <c r="RYI101" s="285"/>
      <c r="RYJ101" s="285"/>
      <c r="RYK101" s="285"/>
      <c r="RYL101" s="285"/>
      <c r="RYM101" s="285"/>
      <c r="RYN101" s="285"/>
      <c r="RYO101" s="285"/>
      <c r="RYP101" s="285"/>
      <c r="RYQ101" s="285"/>
      <c r="RYR101" s="285"/>
      <c r="RYS101" s="285"/>
      <c r="RYT101" s="285"/>
      <c r="RYU101" s="285"/>
      <c r="RYV101" s="285"/>
      <c r="RYW101" s="285"/>
      <c r="RYX101" s="285"/>
      <c r="RYY101" s="285"/>
      <c r="RYZ101" s="285"/>
      <c r="RZA101" s="285"/>
      <c r="RZB101" s="285"/>
      <c r="RZC101" s="285"/>
      <c r="RZD101" s="285"/>
      <c r="RZE101" s="285"/>
      <c r="RZF101" s="285"/>
      <c r="RZG101" s="285"/>
      <c r="RZH101" s="285"/>
      <c r="RZI101" s="285"/>
      <c r="RZJ101" s="285"/>
      <c r="RZK101" s="285"/>
      <c r="RZL101" s="285"/>
      <c r="RZM101" s="285"/>
      <c r="RZN101" s="285"/>
      <c r="RZO101" s="285"/>
      <c r="RZP101" s="285"/>
      <c r="RZQ101" s="285"/>
      <c r="RZR101" s="285"/>
      <c r="RZS101" s="285"/>
      <c r="RZT101" s="285"/>
      <c r="RZU101" s="285"/>
      <c r="RZV101" s="285"/>
      <c r="RZW101" s="285"/>
      <c r="RZX101" s="285"/>
      <c r="RZY101" s="285"/>
      <c r="RZZ101" s="285"/>
      <c r="SAA101" s="285"/>
      <c r="SAB101" s="285"/>
      <c r="SAC101" s="285"/>
      <c r="SAD101" s="285"/>
      <c r="SAE101" s="285"/>
      <c r="SAF101" s="285"/>
      <c r="SAG101" s="285"/>
      <c r="SAH101" s="285"/>
      <c r="SAI101" s="285"/>
      <c r="SAJ101" s="285"/>
      <c r="SAK101" s="285"/>
      <c r="SAL101" s="285"/>
      <c r="SAM101" s="285"/>
      <c r="SAN101" s="285"/>
      <c r="SAO101" s="285"/>
      <c r="SAP101" s="285"/>
      <c r="SAQ101" s="285"/>
      <c r="SAR101" s="285"/>
      <c r="SAS101" s="285"/>
      <c r="SAT101" s="285"/>
      <c r="SAU101" s="285"/>
      <c r="SAV101" s="285"/>
      <c r="SAW101" s="285"/>
      <c r="SAX101" s="285"/>
      <c r="SAY101" s="285"/>
      <c r="SAZ101" s="285"/>
      <c r="SBA101" s="285"/>
      <c r="SBB101" s="285"/>
      <c r="SBC101" s="285"/>
      <c r="SBD101" s="285"/>
      <c r="SBE101" s="285"/>
      <c r="SBF101" s="285"/>
      <c r="SBG101" s="285"/>
      <c r="SBH101" s="285"/>
      <c r="SBI101" s="285"/>
      <c r="SBJ101" s="285"/>
      <c r="SBK101" s="285"/>
      <c r="SBL101" s="285"/>
      <c r="SBM101" s="285"/>
      <c r="SBN101" s="285"/>
      <c r="SBO101" s="285"/>
      <c r="SBP101" s="285"/>
      <c r="SBQ101" s="285"/>
      <c r="SBR101" s="285"/>
      <c r="SBS101" s="285"/>
      <c r="SBT101" s="285"/>
      <c r="SBU101" s="285"/>
      <c r="SBV101" s="285"/>
      <c r="SBW101" s="285"/>
      <c r="SBX101" s="285"/>
      <c r="SBY101" s="285"/>
      <c r="SBZ101" s="285"/>
      <c r="SCA101" s="285"/>
      <c r="SCB101" s="285"/>
      <c r="SCC101" s="285"/>
      <c r="SCD101" s="285"/>
      <c r="SCE101" s="285"/>
      <c r="SCF101" s="285"/>
      <c r="SCG101" s="285"/>
      <c r="SCH101" s="285"/>
      <c r="SCI101" s="285"/>
      <c r="SCJ101" s="285"/>
      <c r="SCK101" s="285"/>
      <c r="SCL101" s="285"/>
      <c r="SCM101" s="285"/>
      <c r="SCN101" s="285"/>
      <c r="SCO101" s="285"/>
      <c r="SCP101" s="285"/>
      <c r="SCQ101" s="285"/>
      <c r="SCR101" s="285"/>
      <c r="SCS101" s="285"/>
      <c r="SCT101" s="285"/>
      <c r="SCU101" s="285"/>
      <c r="SCV101" s="285"/>
      <c r="SCW101" s="285"/>
      <c r="SCX101" s="285"/>
      <c r="SCY101" s="285"/>
      <c r="SCZ101" s="285"/>
      <c r="SDA101" s="285"/>
      <c r="SDB101" s="285"/>
      <c r="SDC101" s="285"/>
      <c r="SDD101" s="285"/>
      <c r="SDE101" s="285"/>
      <c r="SDF101" s="285"/>
      <c r="SDG101" s="285"/>
      <c r="SDH101" s="285"/>
      <c r="SDI101" s="285"/>
      <c r="SDJ101" s="285"/>
      <c r="SDK101" s="285"/>
      <c r="SDL101" s="285"/>
      <c r="SDM101" s="285"/>
      <c r="SDN101" s="285"/>
      <c r="SDO101" s="285"/>
      <c r="SDP101" s="285"/>
      <c r="SDQ101" s="285"/>
      <c r="SDR101" s="285"/>
      <c r="SDS101" s="285"/>
      <c r="SDT101" s="285"/>
      <c r="SDU101" s="285"/>
      <c r="SDV101" s="285"/>
      <c r="SDW101" s="285"/>
      <c r="SDX101" s="285"/>
      <c r="SDY101" s="285"/>
      <c r="SDZ101" s="285"/>
      <c r="SEA101" s="285"/>
      <c r="SEB101" s="285"/>
      <c r="SEC101" s="285"/>
      <c r="SED101" s="285"/>
      <c r="SEE101" s="285"/>
      <c r="SEF101" s="285"/>
      <c r="SEG101" s="285"/>
      <c r="SEH101" s="285"/>
      <c r="SEI101" s="285"/>
      <c r="SEJ101" s="285"/>
      <c r="SEK101" s="285"/>
      <c r="SEL101" s="285"/>
      <c r="SEM101" s="285"/>
      <c r="SEN101" s="285"/>
      <c r="SEO101" s="285"/>
      <c r="SEP101" s="285"/>
      <c r="SEQ101" s="285"/>
      <c r="SER101" s="285"/>
      <c r="SES101" s="285"/>
      <c r="SET101" s="285"/>
      <c r="SEU101" s="285"/>
      <c r="SEV101" s="285"/>
      <c r="SEW101" s="285"/>
      <c r="SEX101" s="285"/>
      <c r="SEY101" s="285"/>
      <c r="SEZ101" s="285"/>
      <c r="SFA101" s="285"/>
      <c r="SFB101" s="285"/>
      <c r="SFC101" s="285"/>
      <c r="SFD101" s="285"/>
      <c r="SFE101" s="285"/>
      <c r="SFF101" s="285"/>
      <c r="SFG101" s="285"/>
      <c r="SFH101" s="285"/>
      <c r="SFI101" s="285"/>
      <c r="SFJ101" s="285"/>
      <c r="SFK101" s="285"/>
      <c r="SFL101" s="285"/>
      <c r="SFM101" s="285"/>
      <c r="SFN101" s="285"/>
      <c r="SFO101" s="285"/>
      <c r="SFP101" s="285"/>
      <c r="SFQ101" s="285"/>
      <c r="SFR101" s="285"/>
      <c r="SFS101" s="285"/>
      <c r="SFT101" s="285"/>
      <c r="SFU101" s="285"/>
      <c r="SFV101" s="285"/>
      <c r="SFW101" s="285"/>
      <c r="SFX101" s="285"/>
      <c r="SFY101" s="285"/>
      <c r="SFZ101" s="285"/>
      <c r="SGA101" s="285"/>
      <c r="SGB101" s="285"/>
      <c r="SGC101" s="285"/>
      <c r="SGD101" s="285"/>
      <c r="SGE101" s="285"/>
      <c r="SGF101" s="285"/>
      <c r="SGG101" s="285"/>
      <c r="SGH101" s="285"/>
      <c r="SGI101" s="285"/>
      <c r="SGJ101" s="285"/>
      <c r="SGK101" s="285"/>
      <c r="SGL101" s="285"/>
      <c r="SGM101" s="285"/>
      <c r="SGN101" s="285"/>
      <c r="SGO101" s="285"/>
      <c r="SGP101" s="285"/>
      <c r="SGQ101" s="285"/>
      <c r="SGR101" s="285"/>
      <c r="SGS101" s="285"/>
      <c r="SGT101" s="285"/>
      <c r="SGU101" s="285"/>
      <c r="SGV101" s="285"/>
      <c r="SGW101" s="285"/>
      <c r="SGX101" s="285"/>
      <c r="SGY101" s="285"/>
      <c r="SGZ101" s="285"/>
      <c r="SHA101" s="285"/>
      <c r="SHB101" s="285"/>
      <c r="SHC101" s="285"/>
      <c r="SHD101" s="285"/>
      <c r="SHE101" s="285"/>
      <c r="SHF101" s="285"/>
      <c r="SHG101" s="285"/>
      <c r="SHH101" s="285"/>
      <c r="SHI101" s="285"/>
      <c r="SHJ101" s="285"/>
      <c r="SHK101" s="285"/>
      <c r="SHL101" s="285"/>
      <c r="SHM101" s="285"/>
      <c r="SHN101" s="285"/>
      <c r="SHO101" s="285"/>
      <c r="SHP101" s="285"/>
      <c r="SHQ101" s="285"/>
      <c r="SHR101" s="285"/>
      <c r="SHS101" s="285"/>
      <c r="SHT101" s="285"/>
      <c r="SHU101" s="285"/>
      <c r="SHV101" s="285"/>
      <c r="SHW101" s="285"/>
      <c r="SHX101" s="285"/>
      <c r="SHY101" s="285"/>
      <c r="SHZ101" s="285"/>
      <c r="SIA101" s="285"/>
      <c r="SIB101" s="285"/>
      <c r="SIC101" s="285"/>
      <c r="SID101" s="285"/>
      <c r="SIE101" s="285"/>
      <c r="SIF101" s="285"/>
      <c r="SIG101" s="285"/>
      <c r="SIH101" s="285"/>
      <c r="SII101" s="285"/>
      <c r="SIJ101" s="285"/>
      <c r="SIK101" s="285"/>
      <c r="SIL101" s="285"/>
      <c r="SIM101" s="285"/>
      <c r="SIN101" s="285"/>
      <c r="SIO101" s="285"/>
      <c r="SIP101" s="285"/>
      <c r="SIQ101" s="285"/>
      <c r="SIR101" s="285"/>
      <c r="SIS101" s="285"/>
      <c r="SIT101" s="285"/>
      <c r="SIU101" s="285"/>
      <c r="SIV101" s="285"/>
      <c r="SIW101" s="285"/>
      <c r="SIX101" s="285"/>
      <c r="SIY101" s="285"/>
      <c r="SIZ101" s="285"/>
      <c r="SJA101" s="285"/>
      <c r="SJB101" s="285"/>
      <c r="SJC101" s="285"/>
      <c r="SJD101" s="285"/>
      <c r="SJE101" s="285"/>
      <c r="SJF101" s="285"/>
      <c r="SJG101" s="285"/>
      <c r="SJH101" s="285"/>
      <c r="SJI101" s="285"/>
      <c r="SJJ101" s="285"/>
      <c r="SJK101" s="285"/>
      <c r="SJL101" s="285"/>
      <c r="SJM101" s="285"/>
      <c r="SJN101" s="285"/>
      <c r="SJO101" s="285"/>
      <c r="SJP101" s="285"/>
      <c r="SJQ101" s="285"/>
      <c r="SJR101" s="285"/>
      <c r="SJS101" s="285"/>
      <c r="SJT101" s="285"/>
      <c r="SJU101" s="285"/>
      <c r="SJV101" s="285"/>
      <c r="SJW101" s="285"/>
      <c r="SJX101" s="285"/>
      <c r="SJY101" s="285"/>
      <c r="SJZ101" s="285"/>
      <c r="SKA101" s="285"/>
      <c r="SKB101" s="285"/>
      <c r="SKC101" s="285"/>
      <c r="SKD101" s="285"/>
      <c r="SKE101" s="285"/>
      <c r="SKF101" s="285"/>
      <c r="SKG101" s="285"/>
      <c r="SKH101" s="285"/>
      <c r="SKI101" s="285"/>
      <c r="SKJ101" s="285"/>
      <c r="SKK101" s="285"/>
      <c r="SKL101" s="285"/>
      <c r="SKM101" s="285"/>
      <c r="SKN101" s="285"/>
      <c r="SKO101" s="285"/>
      <c r="SKP101" s="285"/>
      <c r="SKQ101" s="285"/>
      <c r="SKR101" s="285"/>
      <c r="SKS101" s="285"/>
      <c r="SKT101" s="285"/>
      <c r="SKU101" s="285"/>
      <c r="SKV101" s="285"/>
      <c r="SKW101" s="285"/>
      <c r="SKX101" s="285"/>
      <c r="SKY101" s="285"/>
      <c r="SKZ101" s="285"/>
      <c r="SLA101" s="285"/>
      <c r="SLB101" s="285"/>
      <c r="SLC101" s="285"/>
      <c r="SLD101" s="285"/>
      <c r="SLE101" s="285"/>
      <c r="SLF101" s="285"/>
      <c r="SLG101" s="285"/>
      <c r="SLH101" s="285"/>
      <c r="SLI101" s="285"/>
      <c r="SLJ101" s="285"/>
      <c r="SLK101" s="285"/>
      <c r="SLL101" s="285"/>
      <c r="SLM101" s="285"/>
      <c r="SLN101" s="285"/>
      <c r="SLO101" s="285"/>
      <c r="SLP101" s="285"/>
      <c r="SLQ101" s="285"/>
      <c r="SLR101" s="285"/>
      <c r="SLS101" s="285"/>
      <c r="SLT101" s="285"/>
      <c r="SLU101" s="285"/>
      <c r="SLV101" s="285"/>
      <c r="SLW101" s="285"/>
      <c r="SLX101" s="285"/>
      <c r="SLY101" s="285"/>
      <c r="SLZ101" s="285"/>
      <c r="SMA101" s="285"/>
      <c r="SMB101" s="285"/>
      <c r="SMC101" s="285"/>
      <c r="SMD101" s="285"/>
      <c r="SME101" s="285"/>
      <c r="SMF101" s="285"/>
      <c r="SMG101" s="285"/>
      <c r="SMH101" s="285"/>
      <c r="SMI101" s="285"/>
      <c r="SMJ101" s="285"/>
      <c r="SMK101" s="285"/>
      <c r="SML101" s="285"/>
      <c r="SMM101" s="285"/>
      <c r="SMN101" s="285"/>
      <c r="SMO101" s="285"/>
      <c r="SMP101" s="285"/>
      <c r="SMQ101" s="285"/>
      <c r="SMR101" s="285"/>
      <c r="SMS101" s="285"/>
      <c r="SMT101" s="285"/>
      <c r="SMU101" s="285"/>
      <c r="SMV101" s="285"/>
      <c r="SMW101" s="285"/>
      <c r="SMX101" s="285"/>
      <c r="SMY101" s="285"/>
      <c r="SMZ101" s="285"/>
      <c r="SNA101" s="285"/>
      <c r="SNB101" s="285"/>
      <c r="SNC101" s="285"/>
      <c r="SND101" s="285"/>
      <c r="SNE101" s="285"/>
      <c r="SNF101" s="285"/>
      <c r="SNG101" s="285"/>
      <c r="SNH101" s="285"/>
      <c r="SNI101" s="285"/>
      <c r="SNJ101" s="285"/>
      <c r="SNK101" s="285"/>
      <c r="SNL101" s="285"/>
      <c r="SNM101" s="285"/>
      <c r="SNN101" s="285"/>
      <c r="SNO101" s="285"/>
      <c r="SNP101" s="285"/>
      <c r="SNQ101" s="285"/>
      <c r="SNR101" s="285"/>
      <c r="SNS101" s="285"/>
      <c r="SNT101" s="285"/>
      <c r="SNU101" s="285"/>
      <c r="SNV101" s="285"/>
      <c r="SNW101" s="285"/>
      <c r="SNX101" s="285"/>
      <c r="SNY101" s="285"/>
      <c r="SNZ101" s="285"/>
      <c r="SOA101" s="285"/>
      <c r="SOB101" s="285"/>
      <c r="SOC101" s="285"/>
      <c r="SOD101" s="285"/>
      <c r="SOE101" s="285"/>
      <c r="SOF101" s="285"/>
      <c r="SOG101" s="285"/>
      <c r="SOH101" s="285"/>
      <c r="SOI101" s="285"/>
      <c r="SOJ101" s="285"/>
      <c r="SOK101" s="285"/>
      <c r="SOL101" s="285"/>
      <c r="SOM101" s="285"/>
      <c r="SON101" s="285"/>
      <c r="SOO101" s="285"/>
      <c r="SOP101" s="285"/>
      <c r="SOQ101" s="285"/>
      <c r="SOR101" s="285"/>
      <c r="SOS101" s="285"/>
      <c r="SOT101" s="285"/>
      <c r="SOU101" s="285"/>
      <c r="SOV101" s="285"/>
      <c r="SOW101" s="285"/>
      <c r="SOX101" s="285"/>
      <c r="SOY101" s="285"/>
      <c r="SOZ101" s="285"/>
      <c r="SPA101" s="285"/>
      <c r="SPB101" s="285"/>
      <c r="SPC101" s="285"/>
      <c r="SPD101" s="285"/>
      <c r="SPE101" s="285"/>
      <c r="SPF101" s="285"/>
      <c r="SPG101" s="285"/>
      <c r="SPH101" s="285"/>
      <c r="SPI101" s="285"/>
      <c r="SPJ101" s="285"/>
      <c r="SPK101" s="285"/>
      <c r="SPL101" s="285"/>
      <c r="SPM101" s="285"/>
      <c r="SPN101" s="285"/>
      <c r="SPO101" s="285"/>
      <c r="SPP101" s="285"/>
      <c r="SPQ101" s="285"/>
      <c r="SPR101" s="285"/>
      <c r="SPS101" s="285"/>
      <c r="SPT101" s="285"/>
      <c r="SPU101" s="285"/>
      <c r="SPV101" s="285"/>
      <c r="SPW101" s="285"/>
      <c r="SPX101" s="285"/>
      <c r="SPY101" s="285"/>
      <c r="SPZ101" s="285"/>
      <c r="SQA101" s="285"/>
      <c r="SQB101" s="285"/>
      <c r="SQC101" s="285"/>
      <c r="SQD101" s="285"/>
      <c r="SQE101" s="285"/>
      <c r="SQF101" s="285"/>
      <c r="SQG101" s="285"/>
      <c r="SQH101" s="285"/>
      <c r="SQI101" s="285"/>
      <c r="SQJ101" s="285"/>
      <c r="SQK101" s="285"/>
      <c r="SQL101" s="285"/>
      <c r="SQM101" s="285"/>
      <c r="SQN101" s="285"/>
      <c r="SQO101" s="285"/>
      <c r="SQP101" s="285"/>
      <c r="SQQ101" s="285"/>
      <c r="SQR101" s="285"/>
      <c r="SQS101" s="285"/>
      <c r="SQT101" s="285"/>
      <c r="SQU101" s="285"/>
      <c r="SQV101" s="285"/>
      <c r="SQW101" s="285"/>
      <c r="SQX101" s="285"/>
      <c r="SQY101" s="285"/>
      <c r="SQZ101" s="285"/>
      <c r="SRA101" s="285"/>
      <c r="SRB101" s="285"/>
      <c r="SRC101" s="285"/>
      <c r="SRD101" s="285"/>
      <c r="SRE101" s="285"/>
      <c r="SRF101" s="285"/>
      <c r="SRG101" s="285"/>
      <c r="SRH101" s="285"/>
      <c r="SRI101" s="285"/>
      <c r="SRJ101" s="285"/>
      <c r="SRK101" s="285"/>
      <c r="SRL101" s="285"/>
      <c r="SRM101" s="285"/>
      <c r="SRN101" s="285"/>
      <c r="SRO101" s="285"/>
      <c r="SRP101" s="285"/>
      <c r="SRQ101" s="285"/>
      <c r="SRR101" s="285"/>
      <c r="SRS101" s="285"/>
      <c r="SRT101" s="285"/>
      <c r="SRU101" s="285"/>
      <c r="SRV101" s="285"/>
      <c r="SRW101" s="285"/>
      <c r="SRX101" s="285"/>
      <c r="SRY101" s="285"/>
      <c r="SRZ101" s="285"/>
      <c r="SSA101" s="285"/>
      <c r="SSB101" s="285"/>
      <c r="SSC101" s="285"/>
      <c r="SSD101" s="285"/>
      <c r="SSE101" s="285"/>
      <c r="SSF101" s="285"/>
      <c r="SSG101" s="285"/>
      <c r="SSH101" s="285"/>
      <c r="SSI101" s="285"/>
      <c r="SSJ101" s="285"/>
      <c r="SSK101" s="285"/>
      <c r="SSL101" s="285"/>
      <c r="SSM101" s="285"/>
      <c r="SSN101" s="285"/>
      <c r="SSO101" s="285"/>
      <c r="SSP101" s="285"/>
      <c r="SSQ101" s="285"/>
      <c r="SSR101" s="285"/>
      <c r="SSS101" s="285"/>
      <c r="SST101" s="285"/>
      <c r="SSU101" s="285"/>
      <c r="SSV101" s="285"/>
      <c r="SSW101" s="285"/>
      <c r="SSX101" s="285"/>
      <c r="SSY101" s="285"/>
      <c r="SSZ101" s="285"/>
      <c r="STA101" s="285"/>
      <c r="STB101" s="285"/>
      <c r="STC101" s="285"/>
      <c r="STD101" s="285"/>
      <c r="STE101" s="285"/>
      <c r="STF101" s="285"/>
      <c r="STG101" s="285"/>
      <c r="STH101" s="285"/>
      <c r="STI101" s="285"/>
      <c r="STJ101" s="285"/>
      <c r="STK101" s="285"/>
      <c r="STL101" s="285"/>
      <c r="STM101" s="285"/>
      <c r="STN101" s="285"/>
      <c r="STO101" s="285"/>
      <c r="STP101" s="285"/>
      <c r="STQ101" s="285"/>
      <c r="STR101" s="285"/>
      <c r="STS101" s="285"/>
      <c r="STT101" s="285"/>
      <c r="STU101" s="285"/>
      <c r="STV101" s="285"/>
      <c r="STW101" s="285"/>
      <c r="STX101" s="285"/>
      <c r="STY101" s="285"/>
      <c r="STZ101" s="285"/>
      <c r="SUA101" s="285"/>
      <c r="SUB101" s="285"/>
      <c r="SUC101" s="285"/>
      <c r="SUD101" s="285"/>
      <c r="SUE101" s="285"/>
      <c r="SUF101" s="285"/>
      <c r="SUG101" s="285"/>
      <c r="SUH101" s="285"/>
      <c r="SUI101" s="285"/>
      <c r="SUJ101" s="285"/>
      <c r="SUK101" s="285"/>
      <c r="SUL101" s="285"/>
      <c r="SUM101" s="285"/>
      <c r="SUN101" s="285"/>
      <c r="SUO101" s="285"/>
      <c r="SUP101" s="285"/>
      <c r="SUQ101" s="285"/>
      <c r="SUR101" s="285"/>
      <c r="SUS101" s="285"/>
      <c r="SUT101" s="285"/>
      <c r="SUU101" s="285"/>
      <c r="SUV101" s="285"/>
      <c r="SUW101" s="285"/>
      <c r="SUX101" s="285"/>
      <c r="SUY101" s="285"/>
      <c r="SUZ101" s="285"/>
      <c r="SVA101" s="285"/>
      <c r="SVB101" s="285"/>
      <c r="SVC101" s="285"/>
      <c r="SVD101" s="285"/>
      <c r="SVE101" s="285"/>
      <c r="SVF101" s="285"/>
      <c r="SVG101" s="285"/>
      <c r="SVH101" s="285"/>
      <c r="SVI101" s="285"/>
      <c r="SVJ101" s="285"/>
      <c r="SVK101" s="285"/>
      <c r="SVL101" s="285"/>
      <c r="SVM101" s="285"/>
      <c r="SVN101" s="285"/>
      <c r="SVO101" s="285"/>
      <c r="SVP101" s="285"/>
      <c r="SVQ101" s="285"/>
      <c r="SVR101" s="285"/>
      <c r="SVS101" s="285"/>
      <c r="SVT101" s="285"/>
      <c r="SVU101" s="285"/>
      <c r="SVV101" s="285"/>
      <c r="SVW101" s="285"/>
      <c r="SVX101" s="285"/>
      <c r="SVY101" s="285"/>
      <c r="SVZ101" s="285"/>
      <c r="SWA101" s="285"/>
      <c r="SWB101" s="285"/>
      <c r="SWC101" s="285"/>
      <c r="SWD101" s="285"/>
      <c r="SWE101" s="285"/>
      <c r="SWF101" s="285"/>
      <c r="SWG101" s="285"/>
      <c r="SWH101" s="285"/>
      <c r="SWI101" s="285"/>
      <c r="SWJ101" s="285"/>
      <c r="SWK101" s="285"/>
      <c r="SWL101" s="285"/>
      <c r="SWM101" s="285"/>
      <c r="SWN101" s="285"/>
      <c r="SWO101" s="285"/>
      <c r="SWP101" s="285"/>
      <c r="SWQ101" s="285"/>
      <c r="SWR101" s="285"/>
      <c r="SWS101" s="285"/>
      <c r="SWT101" s="285"/>
      <c r="SWU101" s="285"/>
      <c r="SWV101" s="285"/>
      <c r="SWW101" s="285"/>
      <c r="SWX101" s="285"/>
      <c r="SWY101" s="285"/>
      <c r="SWZ101" s="285"/>
      <c r="SXA101" s="285"/>
      <c r="SXB101" s="285"/>
      <c r="SXC101" s="285"/>
      <c r="SXD101" s="285"/>
      <c r="SXE101" s="285"/>
      <c r="SXF101" s="285"/>
      <c r="SXG101" s="285"/>
      <c r="SXH101" s="285"/>
      <c r="SXI101" s="285"/>
      <c r="SXJ101" s="285"/>
      <c r="SXK101" s="285"/>
      <c r="SXL101" s="285"/>
      <c r="SXM101" s="285"/>
      <c r="SXN101" s="285"/>
      <c r="SXO101" s="285"/>
      <c r="SXP101" s="285"/>
      <c r="SXQ101" s="285"/>
      <c r="SXR101" s="285"/>
      <c r="SXS101" s="285"/>
      <c r="SXT101" s="285"/>
      <c r="SXU101" s="285"/>
      <c r="SXV101" s="285"/>
      <c r="SXW101" s="285"/>
      <c r="SXX101" s="285"/>
      <c r="SXY101" s="285"/>
      <c r="SXZ101" s="285"/>
      <c r="SYA101" s="285"/>
      <c r="SYB101" s="285"/>
      <c r="SYC101" s="285"/>
      <c r="SYD101" s="285"/>
      <c r="SYE101" s="285"/>
      <c r="SYF101" s="285"/>
      <c r="SYG101" s="285"/>
      <c r="SYH101" s="285"/>
      <c r="SYI101" s="285"/>
      <c r="SYJ101" s="285"/>
      <c r="SYK101" s="285"/>
      <c r="SYL101" s="285"/>
      <c r="SYM101" s="285"/>
      <c r="SYN101" s="285"/>
      <c r="SYO101" s="285"/>
      <c r="SYP101" s="285"/>
      <c r="SYQ101" s="285"/>
      <c r="SYR101" s="285"/>
      <c r="SYS101" s="285"/>
      <c r="SYT101" s="285"/>
      <c r="SYU101" s="285"/>
      <c r="SYV101" s="285"/>
      <c r="SYW101" s="285"/>
      <c r="SYX101" s="285"/>
      <c r="SYY101" s="285"/>
      <c r="SYZ101" s="285"/>
      <c r="SZA101" s="285"/>
      <c r="SZB101" s="285"/>
      <c r="SZC101" s="285"/>
      <c r="SZD101" s="285"/>
      <c r="SZE101" s="285"/>
      <c r="SZF101" s="285"/>
      <c r="SZG101" s="285"/>
      <c r="SZH101" s="285"/>
      <c r="SZI101" s="285"/>
      <c r="SZJ101" s="285"/>
      <c r="SZK101" s="285"/>
      <c r="SZL101" s="285"/>
      <c r="SZM101" s="285"/>
      <c r="SZN101" s="285"/>
      <c r="SZO101" s="285"/>
      <c r="SZP101" s="285"/>
      <c r="SZQ101" s="285"/>
      <c r="SZR101" s="285"/>
      <c r="SZS101" s="285"/>
      <c r="SZT101" s="285"/>
      <c r="SZU101" s="285"/>
      <c r="SZV101" s="285"/>
      <c r="SZW101" s="285"/>
      <c r="SZX101" s="285"/>
      <c r="SZY101" s="285"/>
      <c r="SZZ101" s="285"/>
      <c r="TAA101" s="285"/>
      <c r="TAB101" s="285"/>
      <c r="TAC101" s="285"/>
      <c r="TAD101" s="285"/>
      <c r="TAE101" s="285"/>
      <c r="TAF101" s="285"/>
      <c r="TAG101" s="285"/>
      <c r="TAH101" s="285"/>
      <c r="TAI101" s="285"/>
      <c r="TAJ101" s="285"/>
      <c r="TAK101" s="285"/>
      <c r="TAL101" s="285"/>
      <c r="TAM101" s="285"/>
      <c r="TAN101" s="285"/>
      <c r="TAO101" s="285"/>
      <c r="TAP101" s="285"/>
      <c r="TAQ101" s="285"/>
      <c r="TAR101" s="285"/>
      <c r="TAS101" s="285"/>
      <c r="TAT101" s="285"/>
      <c r="TAU101" s="285"/>
      <c r="TAV101" s="285"/>
      <c r="TAW101" s="285"/>
      <c r="TAX101" s="285"/>
      <c r="TAY101" s="285"/>
      <c r="TAZ101" s="285"/>
      <c r="TBA101" s="285"/>
      <c r="TBB101" s="285"/>
      <c r="TBC101" s="285"/>
      <c r="TBD101" s="285"/>
      <c r="TBE101" s="285"/>
      <c r="TBF101" s="285"/>
      <c r="TBG101" s="285"/>
      <c r="TBH101" s="285"/>
      <c r="TBI101" s="285"/>
      <c r="TBJ101" s="285"/>
      <c r="TBK101" s="285"/>
      <c r="TBL101" s="285"/>
      <c r="TBM101" s="285"/>
      <c r="TBN101" s="285"/>
      <c r="TBO101" s="285"/>
      <c r="TBP101" s="285"/>
      <c r="TBQ101" s="285"/>
      <c r="TBR101" s="285"/>
      <c r="TBS101" s="285"/>
      <c r="TBT101" s="285"/>
      <c r="TBU101" s="285"/>
      <c r="TBV101" s="285"/>
      <c r="TBW101" s="285"/>
      <c r="TBX101" s="285"/>
      <c r="TBY101" s="285"/>
      <c r="TBZ101" s="285"/>
      <c r="TCA101" s="285"/>
      <c r="TCB101" s="285"/>
      <c r="TCC101" s="285"/>
      <c r="TCD101" s="285"/>
      <c r="TCE101" s="285"/>
      <c r="TCF101" s="285"/>
      <c r="TCG101" s="285"/>
      <c r="TCH101" s="285"/>
      <c r="TCI101" s="285"/>
      <c r="TCJ101" s="285"/>
      <c r="TCK101" s="285"/>
      <c r="TCL101" s="285"/>
      <c r="TCM101" s="285"/>
      <c r="TCN101" s="285"/>
      <c r="TCO101" s="285"/>
      <c r="TCP101" s="285"/>
      <c r="TCQ101" s="285"/>
      <c r="TCR101" s="285"/>
      <c r="TCS101" s="285"/>
      <c r="TCT101" s="285"/>
      <c r="TCU101" s="285"/>
      <c r="TCV101" s="285"/>
      <c r="TCW101" s="285"/>
      <c r="TCX101" s="285"/>
      <c r="TCY101" s="285"/>
      <c r="TCZ101" s="285"/>
      <c r="TDA101" s="285"/>
      <c r="TDB101" s="285"/>
      <c r="TDC101" s="285"/>
      <c r="TDD101" s="285"/>
      <c r="TDE101" s="285"/>
      <c r="TDF101" s="285"/>
      <c r="TDG101" s="285"/>
      <c r="TDH101" s="285"/>
      <c r="TDI101" s="285"/>
      <c r="TDJ101" s="285"/>
      <c r="TDK101" s="285"/>
      <c r="TDL101" s="285"/>
      <c r="TDM101" s="285"/>
      <c r="TDN101" s="285"/>
      <c r="TDO101" s="285"/>
      <c r="TDP101" s="285"/>
      <c r="TDQ101" s="285"/>
      <c r="TDR101" s="285"/>
      <c r="TDS101" s="285"/>
      <c r="TDT101" s="285"/>
      <c r="TDU101" s="285"/>
      <c r="TDV101" s="285"/>
      <c r="TDW101" s="285"/>
      <c r="TDX101" s="285"/>
      <c r="TDY101" s="285"/>
      <c r="TDZ101" s="285"/>
      <c r="TEA101" s="285"/>
      <c r="TEB101" s="285"/>
      <c r="TEC101" s="285"/>
      <c r="TED101" s="285"/>
      <c r="TEE101" s="285"/>
      <c r="TEF101" s="285"/>
      <c r="TEG101" s="285"/>
      <c r="TEH101" s="285"/>
      <c r="TEI101" s="285"/>
      <c r="TEJ101" s="285"/>
      <c r="TEK101" s="285"/>
      <c r="TEL101" s="285"/>
      <c r="TEM101" s="285"/>
      <c r="TEN101" s="285"/>
      <c r="TEO101" s="285"/>
      <c r="TEP101" s="285"/>
      <c r="TEQ101" s="285"/>
      <c r="TER101" s="285"/>
      <c r="TES101" s="285"/>
      <c r="TET101" s="285"/>
      <c r="TEU101" s="285"/>
      <c r="TEV101" s="285"/>
      <c r="TEW101" s="285"/>
      <c r="TEX101" s="285"/>
      <c r="TEY101" s="285"/>
      <c r="TEZ101" s="285"/>
      <c r="TFA101" s="285"/>
      <c r="TFB101" s="285"/>
      <c r="TFC101" s="285"/>
      <c r="TFD101" s="285"/>
      <c r="TFE101" s="285"/>
      <c r="TFF101" s="285"/>
      <c r="TFG101" s="285"/>
      <c r="TFH101" s="285"/>
      <c r="TFI101" s="285"/>
      <c r="TFJ101" s="285"/>
      <c r="TFK101" s="285"/>
      <c r="TFL101" s="285"/>
      <c r="TFM101" s="285"/>
      <c r="TFN101" s="285"/>
      <c r="TFO101" s="285"/>
      <c r="TFP101" s="285"/>
      <c r="TFQ101" s="285"/>
      <c r="TFR101" s="285"/>
      <c r="TFS101" s="285"/>
      <c r="TFT101" s="285"/>
      <c r="TFU101" s="285"/>
      <c r="TFV101" s="285"/>
      <c r="TFW101" s="285"/>
      <c r="TFX101" s="285"/>
      <c r="TFY101" s="285"/>
      <c r="TFZ101" s="285"/>
      <c r="TGA101" s="285"/>
      <c r="TGB101" s="285"/>
      <c r="TGC101" s="285"/>
      <c r="TGD101" s="285"/>
      <c r="TGE101" s="285"/>
      <c r="TGF101" s="285"/>
      <c r="TGG101" s="285"/>
      <c r="TGH101" s="285"/>
      <c r="TGI101" s="285"/>
      <c r="TGJ101" s="285"/>
      <c r="TGK101" s="285"/>
      <c r="TGL101" s="285"/>
      <c r="TGM101" s="285"/>
      <c r="TGN101" s="285"/>
      <c r="TGO101" s="285"/>
      <c r="TGP101" s="285"/>
      <c r="TGQ101" s="285"/>
      <c r="TGR101" s="285"/>
      <c r="TGS101" s="285"/>
      <c r="TGT101" s="285"/>
      <c r="TGU101" s="285"/>
      <c r="TGV101" s="285"/>
      <c r="TGW101" s="285"/>
      <c r="TGX101" s="285"/>
      <c r="TGY101" s="285"/>
      <c r="TGZ101" s="285"/>
      <c r="THA101" s="285"/>
      <c r="THB101" s="285"/>
      <c r="THC101" s="285"/>
      <c r="THD101" s="285"/>
      <c r="THE101" s="285"/>
      <c r="THF101" s="285"/>
      <c r="THG101" s="285"/>
      <c r="THH101" s="285"/>
      <c r="THI101" s="285"/>
      <c r="THJ101" s="285"/>
      <c r="THK101" s="285"/>
      <c r="THL101" s="285"/>
      <c r="THM101" s="285"/>
      <c r="THN101" s="285"/>
      <c r="THO101" s="285"/>
      <c r="THP101" s="285"/>
      <c r="THQ101" s="285"/>
      <c r="THR101" s="285"/>
      <c r="THS101" s="285"/>
      <c r="THT101" s="285"/>
      <c r="THU101" s="285"/>
      <c r="THV101" s="285"/>
      <c r="THW101" s="285"/>
      <c r="THX101" s="285"/>
      <c r="THY101" s="285"/>
      <c r="THZ101" s="285"/>
      <c r="TIA101" s="285"/>
      <c r="TIB101" s="285"/>
      <c r="TIC101" s="285"/>
      <c r="TID101" s="285"/>
      <c r="TIE101" s="285"/>
      <c r="TIF101" s="285"/>
      <c r="TIG101" s="285"/>
      <c r="TIH101" s="285"/>
      <c r="TII101" s="285"/>
      <c r="TIJ101" s="285"/>
      <c r="TIK101" s="285"/>
      <c r="TIL101" s="285"/>
      <c r="TIM101" s="285"/>
      <c r="TIN101" s="285"/>
      <c r="TIO101" s="285"/>
      <c r="TIP101" s="285"/>
      <c r="TIQ101" s="285"/>
      <c r="TIR101" s="285"/>
      <c r="TIS101" s="285"/>
      <c r="TIT101" s="285"/>
      <c r="TIU101" s="285"/>
      <c r="TIV101" s="285"/>
      <c r="TIW101" s="285"/>
      <c r="TIX101" s="285"/>
      <c r="TIY101" s="285"/>
      <c r="TIZ101" s="285"/>
      <c r="TJA101" s="285"/>
      <c r="TJB101" s="285"/>
      <c r="TJC101" s="285"/>
      <c r="TJD101" s="285"/>
      <c r="TJE101" s="285"/>
      <c r="TJF101" s="285"/>
      <c r="TJG101" s="285"/>
      <c r="TJH101" s="285"/>
      <c r="TJI101" s="285"/>
      <c r="TJJ101" s="285"/>
      <c r="TJK101" s="285"/>
      <c r="TJL101" s="285"/>
      <c r="TJM101" s="285"/>
      <c r="TJN101" s="285"/>
      <c r="TJO101" s="285"/>
      <c r="TJP101" s="285"/>
      <c r="TJQ101" s="285"/>
      <c r="TJR101" s="285"/>
      <c r="TJS101" s="285"/>
      <c r="TJT101" s="285"/>
      <c r="TJU101" s="285"/>
      <c r="TJV101" s="285"/>
      <c r="TJW101" s="285"/>
      <c r="TJX101" s="285"/>
      <c r="TJY101" s="285"/>
      <c r="TJZ101" s="285"/>
      <c r="TKA101" s="285"/>
      <c r="TKB101" s="285"/>
      <c r="TKC101" s="285"/>
      <c r="TKD101" s="285"/>
      <c r="TKE101" s="285"/>
      <c r="TKF101" s="285"/>
      <c r="TKG101" s="285"/>
      <c r="TKH101" s="285"/>
      <c r="TKI101" s="285"/>
      <c r="TKJ101" s="285"/>
      <c r="TKK101" s="285"/>
      <c r="TKL101" s="285"/>
      <c r="TKM101" s="285"/>
      <c r="TKN101" s="285"/>
      <c r="TKO101" s="285"/>
      <c r="TKP101" s="285"/>
      <c r="TKQ101" s="285"/>
      <c r="TKR101" s="285"/>
      <c r="TKS101" s="285"/>
      <c r="TKT101" s="285"/>
      <c r="TKU101" s="285"/>
      <c r="TKV101" s="285"/>
      <c r="TKW101" s="285"/>
      <c r="TKX101" s="285"/>
      <c r="TKY101" s="285"/>
      <c r="TKZ101" s="285"/>
      <c r="TLA101" s="285"/>
      <c r="TLB101" s="285"/>
      <c r="TLC101" s="285"/>
      <c r="TLD101" s="285"/>
      <c r="TLE101" s="285"/>
      <c r="TLF101" s="285"/>
      <c r="TLG101" s="285"/>
      <c r="TLH101" s="285"/>
      <c r="TLI101" s="285"/>
      <c r="TLJ101" s="285"/>
      <c r="TLK101" s="285"/>
      <c r="TLL101" s="285"/>
      <c r="TLM101" s="285"/>
      <c r="TLN101" s="285"/>
      <c r="TLO101" s="285"/>
      <c r="TLP101" s="285"/>
      <c r="TLQ101" s="285"/>
      <c r="TLR101" s="285"/>
      <c r="TLS101" s="285"/>
      <c r="TLT101" s="285"/>
      <c r="TLU101" s="285"/>
      <c r="TLV101" s="285"/>
      <c r="TLW101" s="285"/>
      <c r="TLX101" s="285"/>
      <c r="TLY101" s="285"/>
      <c r="TLZ101" s="285"/>
      <c r="TMA101" s="285"/>
      <c r="TMB101" s="285"/>
      <c r="TMC101" s="285"/>
      <c r="TMD101" s="285"/>
      <c r="TME101" s="285"/>
      <c r="TMF101" s="285"/>
      <c r="TMG101" s="285"/>
      <c r="TMH101" s="285"/>
      <c r="TMI101" s="285"/>
      <c r="TMJ101" s="285"/>
      <c r="TMK101" s="285"/>
      <c r="TML101" s="285"/>
      <c r="TMM101" s="285"/>
      <c r="TMN101" s="285"/>
      <c r="TMO101" s="285"/>
      <c r="TMP101" s="285"/>
      <c r="TMQ101" s="285"/>
      <c r="TMR101" s="285"/>
      <c r="TMS101" s="285"/>
      <c r="TMT101" s="285"/>
      <c r="TMU101" s="285"/>
      <c r="TMV101" s="285"/>
      <c r="TMW101" s="285"/>
      <c r="TMX101" s="285"/>
      <c r="TMY101" s="285"/>
      <c r="TMZ101" s="285"/>
      <c r="TNA101" s="285"/>
      <c r="TNB101" s="285"/>
      <c r="TNC101" s="285"/>
      <c r="TND101" s="285"/>
      <c r="TNE101" s="285"/>
      <c r="TNF101" s="285"/>
      <c r="TNG101" s="285"/>
      <c r="TNH101" s="285"/>
      <c r="TNI101" s="285"/>
      <c r="TNJ101" s="285"/>
      <c r="TNK101" s="285"/>
      <c r="TNL101" s="285"/>
      <c r="TNM101" s="285"/>
      <c r="TNN101" s="285"/>
      <c r="TNO101" s="285"/>
      <c r="TNP101" s="285"/>
      <c r="TNQ101" s="285"/>
      <c r="TNR101" s="285"/>
      <c r="TNS101" s="285"/>
      <c r="TNT101" s="285"/>
      <c r="TNU101" s="285"/>
      <c r="TNV101" s="285"/>
      <c r="TNW101" s="285"/>
      <c r="TNX101" s="285"/>
      <c r="TNY101" s="285"/>
      <c r="TNZ101" s="285"/>
      <c r="TOA101" s="285"/>
      <c r="TOB101" s="285"/>
      <c r="TOC101" s="285"/>
      <c r="TOD101" s="285"/>
      <c r="TOE101" s="285"/>
      <c r="TOF101" s="285"/>
      <c r="TOG101" s="285"/>
      <c r="TOH101" s="285"/>
      <c r="TOI101" s="285"/>
      <c r="TOJ101" s="285"/>
      <c r="TOK101" s="285"/>
      <c r="TOL101" s="285"/>
      <c r="TOM101" s="285"/>
      <c r="TON101" s="285"/>
      <c r="TOO101" s="285"/>
      <c r="TOP101" s="285"/>
      <c r="TOQ101" s="285"/>
      <c r="TOR101" s="285"/>
      <c r="TOS101" s="285"/>
      <c r="TOT101" s="285"/>
      <c r="TOU101" s="285"/>
      <c r="TOV101" s="285"/>
      <c r="TOW101" s="285"/>
      <c r="TOX101" s="285"/>
      <c r="TOY101" s="285"/>
      <c r="TOZ101" s="285"/>
      <c r="TPA101" s="285"/>
      <c r="TPB101" s="285"/>
      <c r="TPC101" s="285"/>
      <c r="TPD101" s="285"/>
      <c r="TPE101" s="285"/>
      <c r="TPF101" s="285"/>
      <c r="TPG101" s="285"/>
      <c r="TPH101" s="285"/>
      <c r="TPI101" s="285"/>
      <c r="TPJ101" s="285"/>
      <c r="TPK101" s="285"/>
      <c r="TPL101" s="285"/>
      <c r="TPM101" s="285"/>
      <c r="TPN101" s="285"/>
      <c r="TPO101" s="285"/>
      <c r="TPP101" s="285"/>
      <c r="TPQ101" s="285"/>
      <c r="TPR101" s="285"/>
      <c r="TPS101" s="285"/>
      <c r="TPT101" s="285"/>
      <c r="TPU101" s="285"/>
      <c r="TPV101" s="285"/>
      <c r="TPW101" s="285"/>
      <c r="TPX101" s="285"/>
      <c r="TPY101" s="285"/>
      <c r="TPZ101" s="285"/>
      <c r="TQA101" s="285"/>
      <c r="TQB101" s="285"/>
      <c r="TQC101" s="285"/>
      <c r="TQD101" s="285"/>
      <c r="TQE101" s="285"/>
      <c r="TQF101" s="285"/>
      <c r="TQG101" s="285"/>
      <c r="TQH101" s="285"/>
      <c r="TQI101" s="285"/>
      <c r="TQJ101" s="285"/>
      <c r="TQK101" s="285"/>
      <c r="TQL101" s="285"/>
      <c r="TQM101" s="285"/>
      <c r="TQN101" s="285"/>
      <c r="TQO101" s="285"/>
      <c r="TQP101" s="285"/>
      <c r="TQQ101" s="285"/>
      <c r="TQR101" s="285"/>
      <c r="TQS101" s="285"/>
      <c r="TQT101" s="285"/>
      <c r="TQU101" s="285"/>
      <c r="TQV101" s="285"/>
      <c r="TQW101" s="285"/>
      <c r="TQX101" s="285"/>
      <c r="TQY101" s="285"/>
      <c r="TQZ101" s="285"/>
      <c r="TRA101" s="285"/>
      <c r="TRB101" s="285"/>
      <c r="TRC101" s="285"/>
      <c r="TRD101" s="285"/>
      <c r="TRE101" s="285"/>
      <c r="TRF101" s="285"/>
      <c r="TRG101" s="285"/>
      <c r="TRH101" s="285"/>
      <c r="TRI101" s="285"/>
      <c r="TRJ101" s="285"/>
      <c r="TRK101" s="285"/>
      <c r="TRL101" s="285"/>
      <c r="TRM101" s="285"/>
      <c r="TRN101" s="285"/>
      <c r="TRO101" s="285"/>
      <c r="TRP101" s="285"/>
      <c r="TRQ101" s="285"/>
      <c r="TRR101" s="285"/>
      <c r="TRS101" s="285"/>
      <c r="TRT101" s="285"/>
      <c r="TRU101" s="285"/>
      <c r="TRV101" s="285"/>
      <c r="TRW101" s="285"/>
      <c r="TRX101" s="285"/>
      <c r="TRY101" s="285"/>
      <c r="TRZ101" s="285"/>
      <c r="TSA101" s="285"/>
      <c r="TSB101" s="285"/>
      <c r="TSC101" s="285"/>
      <c r="TSD101" s="285"/>
      <c r="TSE101" s="285"/>
      <c r="TSF101" s="285"/>
      <c r="TSG101" s="285"/>
      <c r="TSH101" s="285"/>
      <c r="TSI101" s="285"/>
      <c r="TSJ101" s="285"/>
      <c r="TSK101" s="285"/>
      <c r="TSL101" s="285"/>
      <c r="TSM101" s="285"/>
      <c r="TSN101" s="285"/>
      <c r="TSO101" s="285"/>
      <c r="TSP101" s="285"/>
      <c r="TSQ101" s="285"/>
      <c r="TSR101" s="285"/>
      <c r="TSS101" s="285"/>
      <c r="TST101" s="285"/>
      <c r="TSU101" s="285"/>
      <c r="TSV101" s="285"/>
      <c r="TSW101" s="285"/>
      <c r="TSX101" s="285"/>
      <c r="TSY101" s="285"/>
      <c r="TSZ101" s="285"/>
      <c r="TTA101" s="285"/>
      <c r="TTB101" s="285"/>
      <c r="TTC101" s="285"/>
      <c r="TTD101" s="285"/>
      <c r="TTE101" s="285"/>
      <c r="TTF101" s="285"/>
      <c r="TTG101" s="285"/>
      <c r="TTH101" s="285"/>
      <c r="TTI101" s="285"/>
      <c r="TTJ101" s="285"/>
      <c r="TTK101" s="285"/>
      <c r="TTL101" s="285"/>
      <c r="TTM101" s="285"/>
      <c r="TTN101" s="285"/>
      <c r="TTO101" s="285"/>
      <c r="TTP101" s="285"/>
      <c r="TTQ101" s="285"/>
      <c r="TTR101" s="285"/>
      <c r="TTS101" s="285"/>
      <c r="TTT101" s="285"/>
      <c r="TTU101" s="285"/>
      <c r="TTV101" s="285"/>
      <c r="TTW101" s="285"/>
      <c r="TTX101" s="285"/>
      <c r="TTY101" s="285"/>
      <c r="TTZ101" s="285"/>
      <c r="TUA101" s="285"/>
      <c r="TUB101" s="285"/>
      <c r="TUC101" s="285"/>
      <c r="TUD101" s="285"/>
      <c r="TUE101" s="285"/>
      <c r="TUF101" s="285"/>
      <c r="TUG101" s="285"/>
      <c r="TUH101" s="285"/>
      <c r="TUI101" s="285"/>
      <c r="TUJ101" s="285"/>
      <c r="TUK101" s="285"/>
      <c r="TUL101" s="285"/>
      <c r="TUM101" s="285"/>
      <c r="TUN101" s="285"/>
      <c r="TUO101" s="285"/>
      <c r="TUP101" s="285"/>
      <c r="TUQ101" s="285"/>
      <c r="TUR101" s="285"/>
      <c r="TUS101" s="285"/>
      <c r="TUT101" s="285"/>
      <c r="TUU101" s="285"/>
      <c r="TUV101" s="285"/>
      <c r="TUW101" s="285"/>
      <c r="TUX101" s="285"/>
      <c r="TUY101" s="285"/>
      <c r="TUZ101" s="285"/>
      <c r="TVA101" s="285"/>
      <c r="TVB101" s="285"/>
      <c r="TVC101" s="285"/>
      <c r="TVD101" s="285"/>
      <c r="TVE101" s="285"/>
      <c r="TVF101" s="285"/>
      <c r="TVG101" s="285"/>
      <c r="TVH101" s="285"/>
      <c r="TVI101" s="285"/>
      <c r="TVJ101" s="285"/>
      <c r="TVK101" s="285"/>
      <c r="TVL101" s="285"/>
      <c r="TVM101" s="285"/>
      <c r="TVN101" s="285"/>
      <c r="TVO101" s="285"/>
      <c r="TVP101" s="285"/>
      <c r="TVQ101" s="285"/>
      <c r="TVR101" s="285"/>
      <c r="TVS101" s="285"/>
      <c r="TVT101" s="285"/>
      <c r="TVU101" s="285"/>
      <c r="TVV101" s="285"/>
      <c r="TVW101" s="285"/>
      <c r="TVX101" s="285"/>
      <c r="TVY101" s="285"/>
      <c r="TVZ101" s="285"/>
      <c r="TWA101" s="285"/>
      <c r="TWB101" s="285"/>
      <c r="TWC101" s="285"/>
      <c r="TWD101" s="285"/>
      <c r="TWE101" s="285"/>
      <c r="TWF101" s="285"/>
      <c r="TWG101" s="285"/>
      <c r="TWH101" s="285"/>
      <c r="TWI101" s="285"/>
      <c r="TWJ101" s="285"/>
      <c r="TWK101" s="285"/>
      <c r="TWL101" s="285"/>
      <c r="TWM101" s="285"/>
      <c r="TWN101" s="285"/>
      <c r="TWO101" s="285"/>
      <c r="TWP101" s="285"/>
      <c r="TWQ101" s="285"/>
      <c r="TWR101" s="285"/>
      <c r="TWS101" s="285"/>
      <c r="TWT101" s="285"/>
      <c r="TWU101" s="285"/>
      <c r="TWV101" s="285"/>
      <c r="TWW101" s="285"/>
      <c r="TWX101" s="285"/>
      <c r="TWY101" s="285"/>
      <c r="TWZ101" s="285"/>
      <c r="TXA101" s="285"/>
      <c r="TXB101" s="285"/>
      <c r="TXC101" s="285"/>
      <c r="TXD101" s="285"/>
      <c r="TXE101" s="285"/>
      <c r="TXF101" s="285"/>
      <c r="TXG101" s="285"/>
      <c r="TXH101" s="285"/>
      <c r="TXI101" s="285"/>
      <c r="TXJ101" s="285"/>
      <c r="TXK101" s="285"/>
      <c r="TXL101" s="285"/>
      <c r="TXM101" s="285"/>
      <c r="TXN101" s="285"/>
      <c r="TXO101" s="285"/>
      <c r="TXP101" s="285"/>
      <c r="TXQ101" s="285"/>
      <c r="TXR101" s="285"/>
      <c r="TXS101" s="285"/>
      <c r="TXT101" s="285"/>
      <c r="TXU101" s="285"/>
      <c r="TXV101" s="285"/>
      <c r="TXW101" s="285"/>
      <c r="TXX101" s="285"/>
      <c r="TXY101" s="285"/>
      <c r="TXZ101" s="285"/>
      <c r="TYA101" s="285"/>
      <c r="TYB101" s="285"/>
      <c r="TYC101" s="285"/>
      <c r="TYD101" s="285"/>
      <c r="TYE101" s="285"/>
      <c r="TYF101" s="285"/>
      <c r="TYG101" s="285"/>
      <c r="TYH101" s="285"/>
      <c r="TYI101" s="285"/>
      <c r="TYJ101" s="285"/>
      <c r="TYK101" s="285"/>
      <c r="TYL101" s="285"/>
      <c r="TYM101" s="285"/>
      <c r="TYN101" s="285"/>
      <c r="TYO101" s="285"/>
      <c r="TYP101" s="285"/>
      <c r="TYQ101" s="285"/>
      <c r="TYR101" s="285"/>
      <c r="TYS101" s="285"/>
      <c r="TYT101" s="285"/>
      <c r="TYU101" s="285"/>
      <c r="TYV101" s="285"/>
      <c r="TYW101" s="285"/>
      <c r="TYX101" s="285"/>
      <c r="TYY101" s="285"/>
      <c r="TYZ101" s="285"/>
      <c r="TZA101" s="285"/>
      <c r="TZB101" s="285"/>
      <c r="TZC101" s="285"/>
      <c r="TZD101" s="285"/>
      <c r="TZE101" s="285"/>
      <c r="TZF101" s="285"/>
      <c r="TZG101" s="285"/>
      <c r="TZH101" s="285"/>
      <c r="TZI101" s="285"/>
      <c r="TZJ101" s="285"/>
      <c r="TZK101" s="285"/>
      <c r="TZL101" s="285"/>
      <c r="TZM101" s="285"/>
      <c r="TZN101" s="285"/>
      <c r="TZO101" s="285"/>
      <c r="TZP101" s="285"/>
      <c r="TZQ101" s="285"/>
      <c r="TZR101" s="285"/>
      <c r="TZS101" s="285"/>
      <c r="TZT101" s="285"/>
      <c r="TZU101" s="285"/>
      <c r="TZV101" s="285"/>
      <c r="TZW101" s="285"/>
      <c r="TZX101" s="285"/>
      <c r="TZY101" s="285"/>
      <c r="TZZ101" s="285"/>
      <c r="UAA101" s="285"/>
      <c r="UAB101" s="285"/>
      <c r="UAC101" s="285"/>
      <c r="UAD101" s="285"/>
      <c r="UAE101" s="285"/>
      <c r="UAF101" s="285"/>
      <c r="UAG101" s="285"/>
      <c r="UAH101" s="285"/>
      <c r="UAI101" s="285"/>
      <c r="UAJ101" s="285"/>
      <c r="UAK101" s="285"/>
      <c r="UAL101" s="285"/>
      <c r="UAM101" s="285"/>
      <c r="UAN101" s="285"/>
      <c r="UAO101" s="285"/>
      <c r="UAP101" s="285"/>
      <c r="UAQ101" s="285"/>
      <c r="UAR101" s="285"/>
      <c r="UAS101" s="285"/>
      <c r="UAT101" s="285"/>
      <c r="UAU101" s="285"/>
      <c r="UAV101" s="285"/>
      <c r="UAW101" s="285"/>
      <c r="UAX101" s="285"/>
      <c r="UAY101" s="285"/>
      <c r="UAZ101" s="285"/>
      <c r="UBA101" s="285"/>
      <c r="UBB101" s="285"/>
      <c r="UBC101" s="285"/>
      <c r="UBD101" s="285"/>
      <c r="UBE101" s="285"/>
      <c r="UBF101" s="285"/>
      <c r="UBG101" s="285"/>
      <c r="UBH101" s="285"/>
      <c r="UBI101" s="285"/>
      <c r="UBJ101" s="285"/>
      <c r="UBK101" s="285"/>
      <c r="UBL101" s="285"/>
      <c r="UBM101" s="285"/>
      <c r="UBN101" s="285"/>
      <c r="UBO101" s="285"/>
      <c r="UBP101" s="285"/>
      <c r="UBQ101" s="285"/>
      <c r="UBR101" s="285"/>
      <c r="UBS101" s="285"/>
      <c r="UBT101" s="285"/>
      <c r="UBU101" s="285"/>
      <c r="UBV101" s="285"/>
      <c r="UBW101" s="285"/>
      <c r="UBX101" s="285"/>
      <c r="UBY101" s="285"/>
      <c r="UBZ101" s="285"/>
      <c r="UCA101" s="285"/>
      <c r="UCB101" s="285"/>
      <c r="UCC101" s="285"/>
      <c r="UCD101" s="285"/>
      <c r="UCE101" s="285"/>
      <c r="UCF101" s="285"/>
      <c r="UCG101" s="285"/>
      <c r="UCH101" s="285"/>
      <c r="UCI101" s="285"/>
      <c r="UCJ101" s="285"/>
      <c r="UCK101" s="285"/>
      <c r="UCL101" s="285"/>
      <c r="UCM101" s="285"/>
      <c r="UCN101" s="285"/>
      <c r="UCO101" s="285"/>
      <c r="UCP101" s="285"/>
      <c r="UCQ101" s="285"/>
      <c r="UCR101" s="285"/>
      <c r="UCS101" s="285"/>
      <c r="UCT101" s="285"/>
      <c r="UCU101" s="285"/>
      <c r="UCV101" s="285"/>
      <c r="UCW101" s="285"/>
      <c r="UCX101" s="285"/>
      <c r="UCY101" s="285"/>
      <c r="UCZ101" s="285"/>
      <c r="UDA101" s="285"/>
      <c r="UDB101" s="285"/>
      <c r="UDC101" s="285"/>
      <c r="UDD101" s="285"/>
      <c r="UDE101" s="285"/>
      <c r="UDF101" s="285"/>
      <c r="UDG101" s="285"/>
      <c r="UDH101" s="285"/>
      <c r="UDI101" s="285"/>
      <c r="UDJ101" s="285"/>
      <c r="UDK101" s="285"/>
      <c r="UDL101" s="285"/>
      <c r="UDM101" s="285"/>
      <c r="UDN101" s="285"/>
      <c r="UDO101" s="285"/>
      <c r="UDP101" s="285"/>
      <c r="UDQ101" s="285"/>
      <c r="UDR101" s="285"/>
      <c r="UDS101" s="285"/>
      <c r="UDT101" s="285"/>
      <c r="UDU101" s="285"/>
      <c r="UDV101" s="285"/>
      <c r="UDW101" s="285"/>
      <c r="UDX101" s="285"/>
      <c r="UDY101" s="285"/>
      <c r="UDZ101" s="285"/>
      <c r="UEA101" s="285"/>
      <c r="UEB101" s="285"/>
      <c r="UEC101" s="285"/>
      <c r="UED101" s="285"/>
      <c r="UEE101" s="285"/>
      <c r="UEF101" s="285"/>
      <c r="UEG101" s="285"/>
      <c r="UEH101" s="285"/>
      <c r="UEI101" s="285"/>
      <c r="UEJ101" s="285"/>
      <c r="UEK101" s="285"/>
      <c r="UEL101" s="285"/>
      <c r="UEM101" s="285"/>
      <c r="UEN101" s="285"/>
      <c r="UEO101" s="285"/>
      <c r="UEP101" s="285"/>
      <c r="UEQ101" s="285"/>
      <c r="UER101" s="285"/>
      <c r="UES101" s="285"/>
      <c r="UET101" s="285"/>
      <c r="UEU101" s="285"/>
      <c r="UEV101" s="285"/>
      <c r="UEW101" s="285"/>
      <c r="UEX101" s="285"/>
      <c r="UEY101" s="285"/>
      <c r="UEZ101" s="285"/>
      <c r="UFA101" s="285"/>
      <c r="UFB101" s="285"/>
      <c r="UFC101" s="285"/>
      <c r="UFD101" s="285"/>
      <c r="UFE101" s="285"/>
      <c r="UFF101" s="285"/>
      <c r="UFG101" s="285"/>
      <c r="UFH101" s="285"/>
      <c r="UFI101" s="285"/>
      <c r="UFJ101" s="285"/>
      <c r="UFK101" s="285"/>
      <c r="UFL101" s="285"/>
      <c r="UFM101" s="285"/>
      <c r="UFN101" s="285"/>
      <c r="UFO101" s="285"/>
      <c r="UFP101" s="285"/>
      <c r="UFQ101" s="285"/>
      <c r="UFR101" s="285"/>
      <c r="UFS101" s="285"/>
      <c r="UFT101" s="285"/>
      <c r="UFU101" s="285"/>
      <c r="UFV101" s="285"/>
      <c r="UFW101" s="285"/>
      <c r="UFX101" s="285"/>
      <c r="UFY101" s="285"/>
      <c r="UFZ101" s="285"/>
      <c r="UGA101" s="285"/>
      <c r="UGB101" s="285"/>
      <c r="UGC101" s="285"/>
      <c r="UGD101" s="285"/>
      <c r="UGE101" s="285"/>
      <c r="UGF101" s="285"/>
      <c r="UGG101" s="285"/>
      <c r="UGH101" s="285"/>
      <c r="UGI101" s="285"/>
      <c r="UGJ101" s="285"/>
      <c r="UGK101" s="285"/>
      <c r="UGL101" s="285"/>
      <c r="UGM101" s="285"/>
      <c r="UGN101" s="285"/>
      <c r="UGO101" s="285"/>
      <c r="UGP101" s="285"/>
      <c r="UGQ101" s="285"/>
      <c r="UGR101" s="285"/>
      <c r="UGS101" s="285"/>
      <c r="UGT101" s="285"/>
      <c r="UGU101" s="285"/>
      <c r="UGV101" s="285"/>
      <c r="UGW101" s="285"/>
      <c r="UGX101" s="285"/>
      <c r="UGY101" s="285"/>
      <c r="UGZ101" s="285"/>
      <c r="UHA101" s="285"/>
      <c r="UHB101" s="285"/>
      <c r="UHC101" s="285"/>
      <c r="UHD101" s="285"/>
      <c r="UHE101" s="285"/>
      <c r="UHF101" s="285"/>
      <c r="UHG101" s="285"/>
      <c r="UHH101" s="285"/>
      <c r="UHI101" s="285"/>
      <c r="UHJ101" s="285"/>
      <c r="UHK101" s="285"/>
      <c r="UHL101" s="285"/>
      <c r="UHM101" s="285"/>
      <c r="UHN101" s="285"/>
      <c r="UHO101" s="285"/>
      <c r="UHP101" s="285"/>
      <c r="UHQ101" s="285"/>
      <c r="UHR101" s="285"/>
      <c r="UHS101" s="285"/>
      <c r="UHT101" s="285"/>
      <c r="UHU101" s="285"/>
      <c r="UHV101" s="285"/>
      <c r="UHW101" s="285"/>
      <c r="UHX101" s="285"/>
      <c r="UHY101" s="285"/>
      <c r="UHZ101" s="285"/>
      <c r="UIA101" s="285"/>
      <c r="UIB101" s="285"/>
      <c r="UIC101" s="285"/>
      <c r="UID101" s="285"/>
      <c r="UIE101" s="285"/>
      <c r="UIF101" s="285"/>
      <c r="UIG101" s="285"/>
      <c r="UIH101" s="285"/>
      <c r="UII101" s="285"/>
      <c r="UIJ101" s="285"/>
      <c r="UIK101" s="285"/>
      <c r="UIL101" s="285"/>
      <c r="UIM101" s="285"/>
      <c r="UIN101" s="285"/>
      <c r="UIO101" s="285"/>
      <c r="UIP101" s="285"/>
      <c r="UIQ101" s="285"/>
      <c r="UIR101" s="285"/>
      <c r="UIS101" s="285"/>
      <c r="UIT101" s="285"/>
      <c r="UIU101" s="285"/>
      <c r="UIV101" s="285"/>
      <c r="UIW101" s="285"/>
      <c r="UIX101" s="285"/>
      <c r="UIY101" s="285"/>
      <c r="UIZ101" s="285"/>
      <c r="UJA101" s="285"/>
      <c r="UJB101" s="285"/>
      <c r="UJC101" s="285"/>
      <c r="UJD101" s="285"/>
      <c r="UJE101" s="285"/>
      <c r="UJF101" s="285"/>
      <c r="UJG101" s="285"/>
      <c r="UJH101" s="285"/>
      <c r="UJI101" s="285"/>
      <c r="UJJ101" s="285"/>
      <c r="UJK101" s="285"/>
      <c r="UJL101" s="285"/>
      <c r="UJM101" s="285"/>
      <c r="UJN101" s="285"/>
      <c r="UJO101" s="285"/>
      <c r="UJP101" s="285"/>
      <c r="UJQ101" s="285"/>
      <c r="UJR101" s="285"/>
      <c r="UJS101" s="285"/>
      <c r="UJT101" s="285"/>
      <c r="UJU101" s="285"/>
      <c r="UJV101" s="285"/>
      <c r="UJW101" s="285"/>
      <c r="UJX101" s="285"/>
      <c r="UJY101" s="285"/>
      <c r="UJZ101" s="285"/>
      <c r="UKA101" s="285"/>
      <c r="UKB101" s="285"/>
      <c r="UKC101" s="285"/>
      <c r="UKD101" s="285"/>
      <c r="UKE101" s="285"/>
      <c r="UKF101" s="285"/>
      <c r="UKG101" s="285"/>
      <c r="UKH101" s="285"/>
      <c r="UKI101" s="285"/>
      <c r="UKJ101" s="285"/>
      <c r="UKK101" s="285"/>
      <c r="UKL101" s="285"/>
      <c r="UKM101" s="285"/>
      <c r="UKN101" s="285"/>
      <c r="UKO101" s="285"/>
      <c r="UKP101" s="285"/>
      <c r="UKQ101" s="285"/>
      <c r="UKR101" s="285"/>
      <c r="UKS101" s="285"/>
      <c r="UKT101" s="285"/>
      <c r="UKU101" s="285"/>
      <c r="UKV101" s="285"/>
      <c r="UKW101" s="285"/>
      <c r="UKX101" s="285"/>
      <c r="UKY101" s="285"/>
      <c r="UKZ101" s="285"/>
      <c r="ULA101" s="285"/>
      <c r="ULB101" s="285"/>
      <c r="ULC101" s="285"/>
      <c r="ULD101" s="285"/>
      <c r="ULE101" s="285"/>
      <c r="ULF101" s="285"/>
      <c r="ULG101" s="285"/>
      <c r="ULH101" s="285"/>
      <c r="ULI101" s="285"/>
      <c r="ULJ101" s="285"/>
      <c r="ULK101" s="285"/>
      <c r="ULL101" s="285"/>
      <c r="ULM101" s="285"/>
      <c r="ULN101" s="285"/>
      <c r="ULO101" s="285"/>
      <c r="ULP101" s="285"/>
      <c r="ULQ101" s="285"/>
      <c r="ULR101" s="285"/>
      <c r="ULS101" s="285"/>
      <c r="ULT101" s="285"/>
      <c r="ULU101" s="285"/>
      <c r="ULV101" s="285"/>
      <c r="ULW101" s="285"/>
      <c r="ULX101" s="285"/>
      <c r="ULY101" s="285"/>
      <c r="ULZ101" s="285"/>
      <c r="UMA101" s="285"/>
      <c r="UMB101" s="285"/>
      <c r="UMC101" s="285"/>
      <c r="UMD101" s="285"/>
      <c r="UME101" s="285"/>
      <c r="UMF101" s="285"/>
      <c r="UMG101" s="285"/>
      <c r="UMH101" s="285"/>
      <c r="UMI101" s="285"/>
      <c r="UMJ101" s="285"/>
      <c r="UMK101" s="285"/>
      <c r="UML101" s="285"/>
      <c r="UMM101" s="285"/>
      <c r="UMN101" s="285"/>
      <c r="UMO101" s="285"/>
      <c r="UMP101" s="285"/>
      <c r="UMQ101" s="285"/>
      <c r="UMR101" s="285"/>
      <c r="UMS101" s="285"/>
      <c r="UMT101" s="285"/>
      <c r="UMU101" s="285"/>
      <c r="UMV101" s="285"/>
      <c r="UMW101" s="285"/>
      <c r="UMX101" s="285"/>
      <c r="UMY101" s="285"/>
      <c r="UMZ101" s="285"/>
      <c r="UNA101" s="285"/>
      <c r="UNB101" s="285"/>
      <c r="UNC101" s="285"/>
      <c r="UND101" s="285"/>
      <c r="UNE101" s="285"/>
      <c r="UNF101" s="285"/>
      <c r="UNG101" s="285"/>
      <c r="UNH101" s="285"/>
      <c r="UNI101" s="285"/>
      <c r="UNJ101" s="285"/>
      <c r="UNK101" s="285"/>
      <c r="UNL101" s="285"/>
      <c r="UNM101" s="285"/>
      <c r="UNN101" s="285"/>
      <c r="UNO101" s="285"/>
      <c r="UNP101" s="285"/>
      <c r="UNQ101" s="285"/>
      <c r="UNR101" s="285"/>
      <c r="UNS101" s="285"/>
      <c r="UNT101" s="285"/>
      <c r="UNU101" s="285"/>
      <c r="UNV101" s="285"/>
      <c r="UNW101" s="285"/>
      <c r="UNX101" s="285"/>
      <c r="UNY101" s="285"/>
      <c r="UNZ101" s="285"/>
      <c r="UOA101" s="285"/>
      <c r="UOB101" s="285"/>
      <c r="UOC101" s="285"/>
      <c r="UOD101" s="285"/>
      <c r="UOE101" s="285"/>
      <c r="UOF101" s="285"/>
      <c r="UOG101" s="285"/>
      <c r="UOH101" s="285"/>
      <c r="UOI101" s="285"/>
      <c r="UOJ101" s="285"/>
      <c r="UOK101" s="285"/>
      <c r="UOL101" s="285"/>
      <c r="UOM101" s="285"/>
      <c r="UON101" s="285"/>
      <c r="UOO101" s="285"/>
      <c r="UOP101" s="285"/>
      <c r="UOQ101" s="285"/>
      <c r="UOR101" s="285"/>
      <c r="UOS101" s="285"/>
      <c r="UOT101" s="285"/>
      <c r="UOU101" s="285"/>
      <c r="UOV101" s="285"/>
      <c r="UOW101" s="285"/>
      <c r="UOX101" s="285"/>
      <c r="UOY101" s="285"/>
      <c r="UOZ101" s="285"/>
      <c r="UPA101" s="285"/>
      <c r="UPB101" s="285"/>
      <c r="UPC101" s="285"/>
      <c r="UPD101" s="285"/>
      <c r="UPE101" s="285"/>
      <c r="UPF101" s="285"/>
      <c r="UPG101" s="285"/>
      <c r="UPH101" s="285"/>
      <c r="UPI101" s="285"/>
      <c r="UPJ101" s="285"/>
      <c r="UPK101" s="285"/>
      <c r="UPL101" s="285"/>
      <c r="UPM101" s="285"/>
      <c r="UPN101" s="285"/>
      <c r="UPO101" s="285"/>
      <c r="UPP101" s="285"/>
      <c r="UPQ101" s="285"/>
      <c r="UPR101" s="285"/>
      <c r="UPS101" s="285"/>
      <c r="UPT101" s="285"/>
      <c r="UPU101" s="285"/>
      <c r="UPV101" s="285"/>
      <c r="UPW101" s="285"/>
      <c r="UPX101" s="285"/>
      <c r="UPY101" s="285"/>
      <c r="UPZ101" s="285"/>
      <c r="UQA101" s="285"/>
      <c r="UQB101" s="285"/>
      <c r="UQC101" s="285"/>
      <c r="UQD101" s="285"/>
      <c r="UQE101" s="285"/>
      <c r="UQF101" s="285"/>
      <c r="UQG101" s="285"/>
      <c r="UQH101" s="285"/>
      <c r="UQI101" s="285"/>
      <c r="UQJ101" s="285"/>
      <c r="UQK101" s="285"/>
      <c r="UQL101" s="285"/>
      <c r="UQM101" s="285"/>
      <c r="UQN101" s="285"/>
      <c r="UQO101" s="285"/>
      <c r="UQP101" s="285"/>
      <c r="UQQ101" s="285"/>
      <c r="UQR101" s="285"/>
      <c r="UQS101" s="285"/>
      <c r="UQT101" s="285"/>
      <c r="UQU101" s="285"/>
      <c r="UQV101" s="285"/>
      <c r="UQW101" s="285"/>
      <c r="UQX101" s="285"/>
      <c r="UQY101" s="285"/>
      <c r="UQZ101" s="285"/>
      <c r="URA101" s="285"/>
      <c r="URB101" s="285"/>
      <c r="URC101" s="285"/>
      <c r="URD101" s="285"/>
      <c r="URE101" s="285"/>
      <c r="URF101" s="285"/>
      <c r="URG101" s="285"/>
      <c r="URH101" s="285"/>
      <c r="URI101" s="285"/>
      <c r="URJ101" s="285"/>
      <c r="URK101" s="285"/>
      <c r="URL101" s="285"/>
      <c r="URM101" s="285"/>
      <c r="URN101" s="285"/>
      <c r="URO101" s="285"/>
      <c r="URP101" s="285"/>
      <c r="URQ101" s="285"/>
      <c r="URR101" s="285"/>
      <c r="URS101" s="285"/>
      <c r="URT101" s="285"/>
      <c r="URU101" s="285"/>
      <c r="URV101" s="285"/>
      <c r="URW101" s="285"/>
      <c r="URX101" s="285"/>
      <c r="URY101" s="285"/>
      <c r="URZ101" s="285"/>
      <c r="USA101" s="285"/>
      <c r="USB101" s="285"/>
      <c r="USC101" s="285"/>
      <c r="USD101" s="285"/>
      <c r="USE101" s="285"/>
      <c r="USF101" s="285"/>
      <c r="USG101" s="285"/>
      <c r="USH101" s="285"/>
      <c r="USI101" s="285"/>
      <c r="USJ101" s="285"/>
      <c r="USK101" s="285"/>
      <c r="USL101" s="285"/>
      <c r="USM101" s="285"/>
      <c r="USN101" s="285"/>
      <c r="USO101" s="285"/>
      <c r="USP101" s="285"/>
      <c r="USQ101" s="285"/>
      <c r="USR101" s="285"/>
      <c r="USS101" s="285"/>
      <c r="UST101" s="285"/>
      <c r="USU101" s="285"/>
      <c r="USV101" s="285"/>
      <c r="USW101" s="285"/>
      <c r="USX101" s="285"/>
      <c r="USY101" s="285"/>
      <c r="USZ101" s="285"/>
      <c r="UTA101" s="285"/>
      <c r="UTB101" s="285"/>
      <c r="UTC101" s="285"/>
      <c r="UTD101" s="285"/>
      <c r="UTE101" s="285"/>
      <c r="UTF101" s="285"/>
      <c r="UTG101" s="285"/>
      <c r="UTH101" s="285"/>
      <c r="UTI101" s="285"/>
      <c r="UTJ101" s="285"/>
      <c r="UTK101" s="285"/>
      <c r="UTL101" s="285"/>
      <c r="UTM101" s="285"/>
      <c r="UTN101" s="285"/>
      <c r="UTO101" s="285"/>
      <c r="UTP101" s="285"/>
      <c r="UTQ101" s="285"/>
      <c r="UTR101" s="285"/>
      <c r="UTS101" s="285"/>
      <c r="UTT101" s="285"/>
      <c r="UTU101" s="285"/>
      <c r="UTV101" s="285"/>
      <c r="UTW101" s="285"/>
      <c r="UTX101" s="285"/>
      <c r="UTY101" s="285"/>
      <c r="UTZ101" s="285"/>
      <c r="UUA101" s="285"/>
      <c r="UUB101" s="285"/>
      <c r="UUC101" s="285"/>
      <c r="UUD101" s="285"/>
      <c r="UUE101" s="285"/>
      <c r="UUF101" s="285"/>
      <c r="UUG101" s="285"/>
      <c r="UUH101" s="285"/>
      <c r="UUI101" s="285"/>
      <c r="UUJ101" s="285"/>
      <c r="UUK101" s="285"/>
      <c r="UUL101" s="285"/>
      <c r="UUM101" s="285"/>
      <c r="UUN101" s="285"/>
      <c r="UUO101" s="285"/>
      <c r="UUP101" s="285"/>
      <c r="UUQ101" s="285"/>
      <c r="UUR101" s="285"/>
      <c r="UUS101" s="285"/>
      <c r="UUT101" s="285"/>
      <c r="UUU101" s="285"/>
      <c r="UUV101" s="285"/>
      <c r="UUW101" s="285"/>
      <c r="UUX101" s="285"/>
      <c r="UUY101" s="285"/>
      <c r="UUZ101" s="285"/>
      <c r="UVA101" s="285"/>
      <c r="UVB101" s="285"/>
      <c r="UVC101" s="285"/>
      <c r="UVD101" s="285"/>
      <c r="UVE101" s="285"/>
      <c r="UVF101" s="285"/>
      <c r="UVG101" s="285"/>
      <c r="UVH101" s="285"/>
      <c r="UVI101" s="285"/>
      <c r="UVJ101" s="285"/>
      <c r="UVK101" s="285"/>
      <c r="UVL101" s="285"/>
      <c r="UVM101" s="285"/>
      <c r="UVN101" s="285"/>
      <c r="UVO101" s="285"/>
      <c r="UVP101" s="285"/>
      <c r="UVQ101" s="285"/>
      <c r="UVR101" s="285"/>
      <c r="UVS101" s="285"/>
      <c r="UVT101" s="285"/>
      <c r="UVU101" s="285"/>
      <c r="UVV101" s="285"/>
      <c r="UVW101" s="285"/>
      <c r="UVX101" s="285"/>
      <c r="UVY101" s="285"/>
      <c r="UVZ101" s="285"/>
      <c r="UWA101" s="285"/>
      <c r="UWB101" s="285"/>
      <c r="UWC101" s="285"/>
      <c r="UWD101" s="285"/>
      <c r="UWE101" s="285"/>
      <c r="UWF101" s="285"/>
      <c r="UWG101" s="285"/>
      <c r="UWH101" s="285"/>
      <c r="UWI101" s="285"/>
      <c r="UWJ101" s="285"/>
      <c r="UWK101" s="285"/>
      <c r="UWL101" s="285"/>
      <c r="UWM101" s="285"/>
      <c r="UWN101" s="285"/>
      <c r="UWO101" s="285"/>
      <c r="UWP101" s="285"/>
      <c r="UWQ101" s="285"/>
      <c r="UWR101" s="285"/>
      <c r="UWS101" s="285"/>
      <c r="UWT101" s="285"/>
      <c r="UWU101" s="285"/>
      <c r="UWV101" s="285"/>
      <c r="UWW101" s="285"/>
      <c r="UWX101" s="285"/>
      <c r="UWY101" s="285"/>
      <c r="UWZ101" s="285"/>
      <c r="UXA101" s="285"/>
      <c r="UXB101" s="285"/>
      <c r="UXC101" s="285"/>
      <c r="UXD101" s="285"/>
      <c r="UXE101" s="285"/>
      <c r="UXF101" s="285"/>
      <c r="UXG101" s="285"/>
      <c r="UXH101" s="285"/>
      <c r="UXI101" s="285"/>
      <c r="UXJ101" s="285"/>
      <c r="UXK101" s="285"/>
      <c r="UXL101" s="285"/>
      <c r="UXM101" s="285"/>
      <c r="UXN101" s="285"/>
      <c r="UXO101" s="285"/>
      <c r="UXP101" s="285"/>
      <c r="UXQ101" s="285"/>
      <c r="UXR101" s="285"/>
      <c r="UXS101" s="285"/>
      <c r="UXT101" s="285"/>
      <c r="UXU101" s="285"/>
      <c r="UXV101" s="285"/>
      <c r="UXW101" s="285"/>
      <c r="UXX101" s="285"/>
      <c r="UXY101" s="285"/>
      <c r="UXZ101" s="285"/>
      <c r="UYA101" s="285"/>
      <c r="UYB101" s="285"/>
      <c r="UYC101" s="285"/>
      <c r="UYD101" s="285"/>
      <c r="UYE101" s="285"/>
      <c r="UYF101" s="285"/>
      <c r="UYG101" s="285"/>
      <c r="UYH101" s="285"/>
      <c r="UYI101" s="285"/>
      <c r="UYJ101" s="285"/>
      <c r="UYK101" s="285"/>
      <c r="UYL101" s="285"/>
      <c r="UYM101" s="285"/>
      <c r="UYN101" s="285"/>
      <c r="UYO101" s="285"/>
      <c r="UYP101" s="285"/>
      <c r="UYQ101" s="285"/>
      <c r="UYR101" s="285"/>
      <c r="UYS101" s="285"/>
      <c r="UYT101" s="285"/>
      <c r="UYU101" s="285"/>
      <c r="UYV101" s="285"/>
      <c r="UYW101" s="285"/>
      <c r="UYX101" s="285"/>
      <c r="UYY101" s="285"/>
      <c r="UYZ101" s="285"/>
      <c r="UZA101" s="285"/>
      <c r="UZB101" s="285"/>
      <c r="UZC101" s="285"/>
      <c r="UZD101" s="285"/>
      <c r="UZE101" s="285"/>
      <c r="UZF101" s="285"/>
      <c r="UZG101" s="285"/>
      <c r="UZH101" s="285"/>
      <c r="UZI101" s="285"/>
      <c r="UZJ101" s="285"/>
      <c r="UZK101" s="285"/>
      <c r="UZL101" s="285"/>
      <c r="UZM101" s="285"/>
      <c r="UZN101" s="285"/>
      <c r="UZO101" s="285"/>
      <c r="UZP101" s="285"/>
      <c r="UZQ101" s="285"/>
      <c r="UZR101" s="285"/>
      <c r="UZS101" s="285"/>
      <c r="UZT101" s="285"/>
      <c r="UZU101" s="285"/>
      <c r="UZV101" s="285"/>
      <c r="UZW101" s="285"/>
      <c r="UZX101" s="285"/>
      <c r="UZY101" s="285"/>
      <c r="UZZ101" s="285"/>
      <c r="VAA101" s="285"/>
      <c r="VAB101" s="285"/>
      <c r="VAC101" s="285"/>
      <c r="VAD101" s="285"/>
      <c r="VAE101" s="285"/>
      <c r="VAF101" s="285"/>
      <c r="VAG101" s="285"/>
      <c r="VAH101" s="285"/>
      <c r="VAI101" s="285"/>
      <c r="VAJ101" s="285"/>
      <c r="VAK101" s="285"/>
      <c r="VAL101" s="285"/>
      <c r="VAM101" s="285"/>
      <c r="VAN101" s="285"/>
      <c r="VAO101" s="285"/>
      <c r="VAP101" s="285"/>
      <c r="VAQ101" s="285"/>
      <c r="VAR101" s="285"/>
      <c r="VAS101" s="285"/>
      <c r="VAT101" s="285"/>
      <c r="VAU101" s="285"/>
      <c r="VAV101" s="285"/>
      <c r="VAW101" s="285"/>
      <c r="VAX101" s="285"/>
      <c r="VAY101" s="285"/>
      <c r="VAZ101" s="285"/>
      <c r="VBA101" s="285"/>
      <c r="VBB101" s="285"/>
      <c r="VBC101" s="285"/>
      <c r="VBD101" s="285"/>
      <c r="VBE101" s="285"/>
      <c r="VBF101" s="285"/>
      <c r="VBG101" s="285"/>
      <c r="VBH101" s="285"/>
      <c r="VBI101" s="285"/>
      <c r="VBJ101" s="285"/>
      <c r="VBK101" s="285"/>
      <c r="VBL101" s="285"/>
      <c r="VBM101" s="285"/>
      <c r="VBN101" s="285"/>
      <c r="VBO101" s="285"/>
      <c r="VBP101" s="285"/>
      <c r="VBQ101" s="285"/>
      <c r="VBR101" s="285"/>
      <c r="VBS101" s="285"/>
      <c r="VBT101" s="285"/>
      <c r="VBU101" s="285"/>
      <c r="VBV101" s="285"/>
      <c r="VBW101" s="285"/>
      <c r="VBX101" s="285"/>
      <c r="VBY101" s="285"/>
      <c r="VBZ101" s="285"/>
      <c r="VCA101" s="285"/>
      <c r="VCB101" s="285"/>
      <c r="VCC101" s="285"/>
      <c r="VCD101" s="285"/>
      <c r="VCE101" s="285"/>
      <c r="VCF101" s="285"/>
      <c r="VCG101" s="285"/>
      <c r="VCH101" s="285"/>
      <c r="VCI101" s="285"/>
      <c r="VCJ101" s="285"/>
      <c r="VCK101" s="285"/>
      <c r="VCL101" s="285"/>
      <c r="VCM101" s="285"/>
      <c r="VCN101" s="285"/>
      <c r="VCO101" s="285"/>
      <c r="VCP101" s="285"/>
      <c r="VCQ101" s="285"/>
      <c r="VCR101" s="285"/>
      <c r="VCS101" s="285"/>
      <c r="VCT101" s="285"/>
      <c r="VCU101" s="285"/>
      <c r="VCV101" s="285"/>
      <c r="VCW101" s="285"/>
      <c r="VCX101" s="285"/>
      <c r="VCY101" s="285"/>
      <c r="VCZ101" s="285"/>
      <c r="VDA101" s="285"/>
      <c r="VDB101" s="285"/>
      <c r="VDC101" s="285"/>
      <c r="VDD101" s="285"/>
      <c r="VDE101" s="285"/>
      <c r="VDF101" s="285"/>
      <c r="VDG101" s="285"/>
      <c r="VDH101" s="285"/>
      <c r="VDI101" s="285"/>
      <c r="VDJ101" s="285"/>
      <c r="VDK101" s="285"/>
      <c r="VDL101" s="285"/>
      <c r="VDM101" s="285"/>
      <c r="VDN101" s="285"/>
      <c r="VDO101" s="285"/>
      <c r="VDP101" s="285"/>
      <c r="VDQ101" s="285"/>
      <c r="VDR101" s="285"/>
      <c r="VDS101" s="285"/>
      <c r="VDT101" s="285"/>
      <c r="VDU101" s="285"/>
      <c r="VDV101" s="285"/>
      <c r="VDW101" s="285"/>
      <c r="VDX101" s="285"/>
      <c r="VDY101" s="285"/>
      <c r="VDZ101" s="285"/>
      <c r="VEA101" s="285"/>
      <c r="VEB101" s="285"/>
      <c r="VEC101" s="285"/>
      <c r="VED101" s="285"/>
      <c r="VEE101" s="285"/>
      <c r="VEF101" s="285"/>
      <c r="VEG101" s="285"/>
      <c r="VEH101" s="285"/>
      <c r="VEI101" s="285"/>
      <c r="VEJ101" s="285"/>
      <c r="VEK101" s="285"/>
      <c r="VEL101" s="285"/>
      <c r="VEM101" s="285"/>
      <c r="VEN101" s="285"/>
      <c r="VEO101" s="285"/>
      <c r="VEP101" s="285"/>
      <c r="VEQ101" s="285"/>
      <c r="VER101" s="285"/>
      <c r="VES101" s="285"/>
      <c r="VET101" s="285"/>
      <c r="VEU101" s="285"/>
      <c r="VEV101" s="285"/>
      <c r="VEW101" s="285"/>
      <c r="VEX101" s="285"/>
      <c r="VEY101" s="285"/>
      <c r="VEZ101" s="285"/>
      <c r="VFA101" s="285"/>
      <c r="VFB101" s="285"/>
      <c r="VFC101" s="285"/>
      <c r="VFD101" s="285"/>
      <c r="VFE101" s="285"/>
      <c r="VFF101" s="285"/>
      <c r="VFG101" s="285"/>
      <c r="VFH101" s="285"/>
      <c r="VFI101" s="285"/>
      <c r="VFJ101" s="285"/>
      <c r="VFK101" s="285"/>
      <c r="VFL101" s="285"/>
      <c r="VFM101" s="285"/>
      <c r="VFN101" s="285"/>
      <c r="VFO101" s="285"/>
      <c r="VFP101" s="285"/>
      <c r="VFQ101" s="285"/>
      <c r="VFR101" s="285"/>
      <c r="VFS101" s="285"/>
      <c r="VFT101" s="285"/>
      <c r="VFU101" s="285"/>
      <c r="VFV101" s="285"/>
      <c r="VFW101" s="285"/>
      <c r="VFX101" s="285"/>
      <c r="VFY101" s="285"/>
      <c r="VFZ101" s="285"/>
      <c r="VGA101" s="285"/>
      <c r="VGB101" s="285"/>
      <c r="VGC101" s="285"/>
      <c r="VGD101" s="285"/>
      <c r="VGE101" s="285"/>
      <c r="VGF101" s="285"/>
      <c r="VGG101" s="285"/>
      <c r="VGH101" s="285"/>
      <c r="VGI101" s="285"/>
      <c r="VGJ101" s="285"/>
      <c r="VGK101" s="285"/>
      <c r="VGL101" s="285"/>
      <c r="VGM101" s="285"/>
      <c r="VGN101" s="285"/>
      <c r="VGO101" s="285"/>
      <c r="VGP101" s="285"/>
      <c r="VGQ101" s="285"/>
      <c r="VGR101" s="285"/>
      <c r="VGS101" s="285"/>
      <c r="VGT101" s="285"/>
      <c r="VGU101" s="285"/>
      <c r="VGV101" s="285"/>
      <c r="VGW101" s="285"/>
      <c r="VGX101" s="285"/>
      <c r="VGY101" s="285"/>
      <c r="VGZ101" s="285"/>
      <c r="VHA101" s="285"/>
      <c r="VHB101" s="285"/>
      <c r="VHC101" s="285"/>
      <c r="VHD101" s="285"/>
      <c r="VHE101" s="285"/>
      <c r="VHF101" s="285"/>
      <c r="VHG101" s="285"/>
      <c r="VHH101" s="285"/>
      <c r="VHI101" s="285"/>
      <c r="VHJ101" s="285"/>
      <c r="VHK101" s="285"/>
      <c r="VHL101" s="285"/>
      <c r="VHM101" s="285"/>
      <c r="VHN101" s="285"/>
      <c r="VHO101" s="285"/>
      <c r="VHP101" s="285"/>
      <c r="VHQ101" s="285"/>
      <c r="VHR101" s="285"/>
      <c r="VHS101" s="285"/>
      <c r="VHT101" s="285"/>
      <c r="VHU101" s="285"/>
      <c r="VHV101" s="285"/>
      <c r="VHW101" s="285"/>
      <c r="VHX101" s="285"/>
      <c r="VHY101" s="285"/>
      <c r="VHZ101" s="285"/>
      <c r="VIA101" s="285"/>
      <c r="VIB101" s="285"/>
      <c r="VIC101" s="285"/>
      <c r="VID101" s="285"/>
      <c r="VIE101" s="285"/>
      <c r="VIF101" s="285"/>
      <c r="VIG101" s="285"/>
      <c r="VIH101" s="285"/>
      <c r="VII101" s="285"/>
      <c r="VIJ101" s="285"/>
      <c r="VIK101" s="285"/>
      <c r="VIL101" s="285"/>
      <c r="VIM101" s="285"/>
      <c r="VIN101" s="285"/>
      <c r="VIO101" s="285"/>
      <c r="VIP101" s="285"/>
      <c r="VIQ101" s="285"/>
      <c r="VIR101" s="285"/>
      <c r="VIS101" s="285"/>
      <c r="VIT101" s="285"/>
      <c r="VIU101" s="285"/>
      <c r="VIV101" s="285"/>
      <c r="VIW101" s="285"/>
      <c r="VIX101" s="285"/>
      <c r="VIY101" s="285"/>
      <c r="VIZ101" s="285"/>
      <c r="VJA101" s="285"/>
      <c r="VJB101" s="285"/>
      <c r="VJC101" s="285"/>
      <c r="VJD101" s="285"/>
      <c r="VJE101" s="285"/>
      <c r="VJF101" s="285"/>
      <c r="VJG101" s="285"/>
      <c r="VJH101" s="285"/>
      <c r="VJI101" s="285"/>
      <c r="VJJ101" s="285"/>
      <c r="VJK101" s="285"/>
      <c r="VJL101" s="285"/>
      <c r="VJM101" s="285"/>
      <c r="VJN101" s="285"/>
      <c r="VJO101" s="285"/>
      <c r="VJP101" s="285"/>
      <c r="VJQ101" s="285"/>
      <c r="VJR101" s="285"/>
      <c r="VJS101" s="285"/>
      <c r="VJT101" s="285"/>
      <c r="VJU101" s="285"/>
      <c r="VJV101" s="285"/>
      <c r="VJW101" s="285"/>
      <c r="VJX101" s="285"/>
      <c r="VJY101" s="285"/>
      <c r="VJZ101" s="285"/>
      <c r="VKA101" s="285"/>
      <c r="VKB101" s="285"/>
      <c r="VKC101" s="285"/>
      <c r="VKD101" s="285"/>
      <c r="VKE101" s="285"/>
      <c r="VKF101" s="285"/>
      <c r="VKG101" s="285"/>
      <c r="VKH101" s="285"/>
      <c r="VKI101" s="285"/>
      <c r="VKJ101" s="285"/>
      <c r="VKK101" s="285"/>
      <c r="VKL101" s="285"/>
      <c r="VKM101" s="285"/>
      <c r="VKN101" s="285"/>
      <c r="VKO101" s="285"/>
      <c r="VKP101" s="285"/>
      <c r="VKQ101" s="285"/>
      <c r="VKR101" s="285"/>
      <c r="VKS101" s="285"/>
      <c r="VKT101" s="285"/>
      <c r="VKU101" s="285"/>
      <c r="VKV101" s="285"/>
      <c r="VKW101" s="285"/>
      <c r="VKX101" s="285"/>
      <c r="VKY101" s="285"/>
      <c r="VKZ101" s="285"/>
      <c r="VLA101" s="285"/>
      <c r="VLB101" s="285"/>
      <c r="VLC101" s="285"/>
      <c r="VLD101" s="285"/>
      <c r="VLE101" s="285"/>
      <c r="VLF101" s="285"/>
      <c r="VLG101" s="285"/>
      <c r="VLH101" s="285"/>
      <c r="VLI101" s="285"/>
      <c r="VLJ101" s="285"/>
      <c r="VLK101" s="285"/>
      <c r="VLL101" s="285"/>
      <c r="VLM101" s="285"/>
      <c r="VLN101" s="285"/>
      <c r="VLO101" s="285"/>
      <c r="VLP101" s="285"/>
      <c r="VLQ101" s="285"/>
      <c r="VLR101" s="285"/>
      <c r="VLS101" s="285"/>
      <c r="VLT101" s="285"/>
      <c r="VLU101" s="285"/>
      <c r="VLV101" s="285"/>
      <c r="VLW101" s="285"/>
      <c r="VLX101" s="285"/>
      <c r="VLY101" s="285"/>
      <c r="VLZ101" s="285"/>
      <c r="VMA101" s="285"/>
      <c r="VMB101" s="285"/>
      <c r="VMC101" s="285"/>
      <c r="VMD101" s="285"/>
      <c r="VME101" s="285"/>
      <c r="VMF101" s="285"/>
      <c r="VMG101" s="285"/>
      <c r="VMH101" s="285"/>
      <c r="VMI101" s="285"/>
      <c r="VMJ101" s="285"/>
      <c r="VMK101" s="285"/>
      <c r="VML101" s="285"/>
      <c r="VMM101" s="285"/>
      <c r="VMN101" s="285"/>
      <c r="VMO101" s="285"/>
      <c r="VMP101" s="285"/>
      <c r="VMQ101" s="285"/>
      <c r="VMR101" s="285"/>
      <c r="VMS101" s="285"/>
      <c r="VMT101" s="285"/>
      <c r="VMU101" s="285"/>
      <c r="VMV101" s="285"/>
      <c r="VMW101" s="285"/>
      <c r="VMX101" s="285"/>
      <c r="VMY101" s="285"/>
      <c r="VMZ101" s="285"/>
      <c r="VNA101" s="285"/>
      <c r="VNB101" s="285"/>
      <c r="VNC101" s="285"/>
      <c r="VND101" s="285"/>
      <c r="VNE101" s="285"/>
      <c r="VNF101" s="285"/>
      <c r="VNG101" s="285"/>
      <c r="VNH101" s="285"/>
      <c r="VNI101" s="285"/>
      <c r="VNJ101" s="285"/>
      <c r="VNK101" s="285"/>
      <c r="VNL101" s="285"/>
      <c r="VNM101" s="285"/>
      <c r="VNN101" s="285"/>
      <c r="VNO101" s="285"/>
      <c r="VNP101" s="285"/>
      <c r="VNQ101" s="285"/>
      <c r="VNR101" s="285"/>
      <c r="VNS101" s="285"/>
      <c r="VNT101" s="285"/>
      <c r="VNU101" s="285"/>
      <c r="VNV101" s="285"/>
      <c r="VNW101" s="285"/>
      <c r="VNX101" s="285"/>
      <c r="VNY101" s="285"/>
      <c r="VNZ101" s="285"/>
      <c r="VOA101" s="285"/>
      <c r="VOB101" s="285"/>
      <c r="VOC101" s="285"/>
      <c r="VOD101" s="285"/>
      <c r="VOE101" s="285"/>
      <c r="VOF101" s="285"/>
      <c r="VOG101" s="285"/>
      <c r="VOH101" s="285"/>
      <c r="VOI101" s="285"/>
      <c r="VOJ101" s="285"/>
      <c r="VOK101" s="285"/>
      <c r="VOL101" s="285"/>
      <c r="VOM101" s="285"/>
      <c r="VON101" s="285"/>
      <c r="VOO101" s="285"/>
      <c r="VOP101" s="285"/>
      <c r="VOQ101" s="285"/>
      <c r="VOR101" s="285"/>
      <c r="VOS101" s="285"/>
      <c r="VOT101" s="285"/>
      <c r="VOU101" s="285"/>
      <c r="VOV101" s="285"/>
      <c r="VOW101" s="285"/>
      <c r="VOX101" s="285"/>
      <c r="VOY101" s="285"/>
      <c r="VOZ101" s="285"/>
      <c r="VPA101" s="285"/>
      <c r="VPB101" s="285"/>
      <c r="VPC101" s="285"/>
      <c r="VPD101" s="285"/>
      <c r="VPE101" s="285"/>
      <c r="VPF101" s="285"/>
      <c r="VPG101" s="285"/>
      <c r="VPH101" s="285"/>
      <c r="VPI101" s="285"/>
      <c r="VPJ101" s="285"/>
      <c r="VPK101" s="285"/>
      <c r="VPL101" s="285"/>
      <c r="VPM101" s="285"/>
      <c r="VPN101" s="285"/>
      <c r="VPO101" s="285"/>
      <c r="VPP101" s="285"/>
      <c r="VPQ101" s="285"/>
      <c r="VPR101" s="285"/>
      <c r="VPS101" s="285"/>
      <c r="VPT101" s="285"/>
      <c r="VPU101" s="285"/>
      <c r="VPV101" s="285"/>
      <c r="VPW101" s="285"/>
      <c r="VPX101" s="285"/>
      <c r="VPY101" s="285"/>
      <c r="VPZ101" s="285"/>
      <c r="VQA101" s="285"/>
      <c r="VQB101" s="285"/>
      <c r="VQC101" s="285"/>
      <c r="VQD101" s="285"/>
      <c r="VQE101" s="285"/>
      <c r="VQF101" s="285"/>
      <c r="VQG101" s="285"/>
      <c r="VQH101" s="285"/>
      <c r="VQI101" s="285"/>
      <c r="VQJ101" s="285"/>
      <c r="VQK101" s="285"/>
      <c r="VQL101" s="285"/>
      <c r="VQM101" s="285"/>
      <c r="VQN101" s="285"/>
      <c r="VQO101" s="285"/>
      <c r="VQP101" s="285"/>
      <c r="VQQ101" s="285"/>
      <c r="VQR101" s="285"/>
      <c r="VQS101" s="285"/>
      <c r="VQT101" s="285"/>
      <c r="VQU101" s="285"/>
      <c r="VQV101" s="285"/>
      <c r="VQW101" s="285"/>
      <c r="VQX101" s="285"/>
      <c r="VQY101" s="285"/>
      <c r="VQZ101" s="285"/>
      <c r="VRA101" s="285"/>
      <c r="VRB101" s="285"/>
      <c r="VRC101" s="285"/>
      <c r="VRD101" s="285"/>
      <c r="VRE101" s="285"/>
      <c r="VRF101" s="285"/>
      <c r="VRG101" s="285"/>
      <c r="VRH101" s="285"/>
      <c r="VRI101" s="285"/>
      <c r="VRJ101" s="285"/>
      <c r="VRK101" s="285"/>
      <c r="VRL101" s="285"/>
      <c r="VRM101" s="285"/>
      <c r="VRN101" s="285"/>
      <c r="VRO101" s="285"/>
      <c r="VRP101" s="285"/>
      <c r="VRQ101" s="285"/>
      <c r="VRR101" s="285"/>
      <c r="VRS101" s="285"/>
      <c r="VRT101" s="285"/>
      <c r="VRU101" s="285"/>
      <c r="VRV101" s="285"/>
      <c r="VRW101" s="285"/>
      <c r="VRX101" s="285"/>
      <c r="VRY101" s="285"/>
      <c r="VRZ101" s="285"/>
      <c r="VSA101" s="285"/>
      <c r="VSB101" s="285"/>
      <c r="VSC101" s="285"/>
      <c r="VSD101" s="285"/>
      <c r="VSE101" s="285"/>
      <c r="VSF101" s="285"/>
      <c r="VSG101" s="285"/>
      <c r="VSH101" s="285"/>
      <c r="VSI101" s="285"/>
      <c r="VSJ101" s="285"/>
      <c r="VSK101" s="285"/>
      <c r="VSL101" s="285"/>
      <c r="VSM101" s="285"/>
      <c r="VSN101" s="285"/>
      <c r="VSO101" s="285"/>
      <c r="VSP101" s="285"/>
      <c r="VSQ101" s="285"/>
      <c r="VSR101" s="285"/>
      <c r="VSS101" s="285"/>
      <c r="VST101" s="285"/>
      <c r="VSU101" s="285"/>
      <c r="VSV101" s="285"/>
      <c r="VSW101" s="285"/>
      <c r="VSX101" s="285"/>
      <c r="VSY101" s="285"/>
      <c r="VSZ101" s="285"/>
      <c r="VTA101" s="285"/>
      <c r="VTB101" s="285"/>
      <c r="VTC101" s="285"/>
      <c r="VTD101" s="285"/>
      <c r="VTE101" s="285"/>
      <c r="VTF101" s="285"/>
      <c r="VTG101" s="285"/>
      <c r="VTH101" s="285"/>
      <c r="VTI101" s="285"/>
      <c r="VTJ101" s="285"/>
      <c r="VTK101" s="285"/>
      <c r="VTL101" s="285"/>
      <c r="VTM101" s="285"/>
      <c r="VTN101" s="285"/>
      <c r="VTO101" s="285"/>
      <c r="VTP101" s="285"/>
      <c r="VTQ101" s="285"/>
      <c r="VTR101" s="285"/>
      <c r="VTS101" s="285"/>
      <c r="VTT101" s="285"/>
      <c r="VTU101" s="285"/>
      <c r="VTV101" s="285"/>
      <c r="VTW101" s="285"/>
      <c r="VTX101" s="285"/>
      <c r="VTY101" s="285"/>
      <c r="VTZ101" s="285"/>
      <c r="VUA101" s="285"/>
      <c r="VUB101" s="285"/>
      <c r="VUC101" s="285"/>
      <c r="VUD101" s="285"/>
      <c r="VUE101" s="285"/>
      <c r="VUF101" s="285"/>
      <c r="VUG101" s="285"/>
      <c r="VUH101" s="285"/>
      <c r="VUI101" s="285"/>
      <c r="VUJ101" s="285"/>
      <c r="VUK101" s="285"/>
      <c r="VUL101" s="285"/>
      <c r="VUM101" s="285"/>
      <c r="VUN101" s="285"/>
      <c r="VUO101" s="285"/>
      <c r="VUP101" s="285"/>
      <c r="VUQ101" s="285"/>
      <c r="VUR101" s="285"/>
      <c r="VUS101" s="285"/>
      <c r="VUT101" s="285"/>
      <c r="VUU101" s="285"/>
      <c r="VUV101" s="285"/>
      <c r="VUW101" s="285"/>
      <c r="VUX101" s="285"/>
      <c r="VUY101" s="285"/>
      <c r="VUZ101" s="285"/>
      <c r="VVA101" s="285"/>
      <c r="VVB101" s="285"/>
      <c r="VVC101" s="285"/>
      <c r="VVD101" s="285"/>
      <c r="VVE101" s="285"/>
      <c r="VVF101" s="285"/>
      <c r="VVG101" s="285"/>
      <c r="VVH101" s="285"/>
      <c r="VVI101" s="285"/>
      <c r="VVJ101" s="285"/>
      <c r="VVK101" s="285"/>
      <c r="VVL101" s="285"/>
      <c r="VVM101" s="285"/>
      <c r="VVN101" s="285"/>
      <c r="VVO101" s="285"/>
      <c r="VVP101" s="285"/>
      <c r="VVQ101" s="285"/>
      <c r="VVR101" s="285"/>
      <c r="VVS101" s="285"/>
      <c r="VVT101" s="285"/>
      <c r="VVU101" s="285"/>
      <c r="VVV101" s="285"/>
      <c r="VVW101" s="285"/>
      <c r="VVX101" s="285"/>
      <c r="VVY101" s="285"/>
      <c r="VVZ101" s="285"/>
      <c r="VWA101" s="285"/>
      <c r="VWB101" s="285"/>
      <c r="VWC101" s="285"/>
      <c r="VWD101" s="285"/>
      <c r="VWE101" s="285"/>
      <c r="VWF101" s="285"/>
      <c r="VWG101" s="285"/>
      <c r="VWH101" s="285"/>
      <c r="VWI101" s="285"/>
      <c r="VWJ101" s="285"/>
      <c r="VWK101" s="285"/>
      <c r="VWL101" s="285"/>
      <c r="VWM101" s="285"/>
      <c r="VWN101" s="285"/>
      <c r="VWO101" s="285"/>
      <c r="VWP101" s="285"/>
      <c r="VWQ101" s="285"/>
      <c r="VWR101" s="285"/>
      <c r="VWS101" s="285"/>
      <c r="VWT101" s="285"/>
      <c r="VWU101" s="285"/>
      <c r="VWV101" s="285"/>
      <c r="VWW101" s="285"/>
      <c r="VWX101" s="285"/>
      <c r="VWY101" s="285"/>
      <c r="VWZ101" s="285"/>
      <c r="VXA101" s="285"/>
      <c r="VXB101" s="285"/>
      <c r="VXC101" s="285"/>
      <c r="VXD101" s="285"/>
      <c r="VXE101" s="285"/>
      <c r="VXF101" s="285"/>
      <c r="VXG101" s="285"/>
      <c r="VXH101" s="285"/>
      <c r="VXI101" s="285"/>
      <c r="VXJ101" s="285"/>
      <c r="VXK101" s="285"/>
      <c r="VXL101" s="285"/>
      <c r="VXM101" s="285"/>
      <c r="VXN101" s="285"/>
      <c r="VXO101" s="285"/>
      <c r="VXP101" s="285"/>
      <c r="VXQ101" s="285"/>
      <c r="VXR101" s="285"/>
      <c r="VXS101" s="285"/>
      <c r="VXT101" s="285"/>
      <c r="VXU101" s="285"/>
      <c r="VXV101" s="285"/>
      <c r="VXW101" s="285"/>
      <c r="VXX101" s="285"/>
      <c r="VXY101" s="285"/>
      <c r="VXZ101" s="285"/>
      <c r="VYA101" s="285"/>
      <c r="VYB101" s="285"/>
      <c r="VYC101" s="285"/>
      <c r="VYD101" s="285"/>
      <c r="VYE101" s="285"/>
      <c r="VYF101" s="285"/>
      <c r="VYG101" s="285"/>
      <c r="VYH101" s="285"/>
      <c r="VYI101" s="285"/>
      <c r="VYJ101" s="285"/>
      <c r="VYK101" s="285"/>
      <c r="VYL101" s="285"/>
      <c r="VYM101" s="285"/>
      <c r="VYN101" s="285"/>
      <c r="VYO101" s="285"/>
      <c r="VYP101" s="285"/>
      <c r="VYQ101" s="285"/>
      <c r="VYR101" s="285"/>
      <c r="VYS101" s="285"/>
      <c r="VYT101" s="285"/>
      <c r="VYU101" s="285"/>
      <c r="VYV101" s="285"/>
      <c r="VYW101" s="285"/>
      <c r="VYX101" s="285"/>
      <c r="VYY101" s="285"/>
      <c r="VYZ101" s="285"/>
      <c r="VZA101" s="285"/>
      <c r="VZB101" s="285"/>
      <c r="VZC101" s="285"/>
      <c r="VZD101" s="285"/>
      <c r="VZE101" s="285"/>
      <c r="VZF101" s="285"/>
      <c r="VZG101" s="285"/>
      <c r="VZH101" s="285"/>
      <c r="VZI101" s="285"/>
      <c r="VZJ101" s="285"/>
      <c r="VZK101" s="285"/>
      <c r="VZL101" s="285"/>
      <c r="VZM101" s="285"/>
      <c r="VZN101" s="285"/>
      <c r="VZO101" s="285"/>
      <c r="VZP101" s="285"/>
      <c r="VZQ101" s="285"/>
      <c r="VZR101" s="285"/>
      <c r="VZS101" s="285"/>
      <c r="VZT101" s="285"/>
      <c r="VZU101" s="285"/>
      <c r="VZV101" s="285"/>
      <c r="VZW101" s="285"/>
      <c r="VZX101" s="285"/>
      <c r="VZY101" s="285"/>
      <c r="VZZ101" s="285"/>
      <c r="WAA101" s="285"/>
      <c r="WAB101" s="285"/>
      <c r="WAC101" s="285"/>
      <c r="WAD101" s="285"/>
      <c r="WAE101" s="285"/>
      <c r="WAF101" s="285"/>
      <c r="WAG101" s="285"/>
      <c r="WAH101" s="285"/>
      <c r="WAI101" s="285"/>
      <c r="WAJ101" s="285"/>
      <c r="WAK101" s="285"/>
      <c r="WAL101" s="285"/>
      <c r="WAM101" s="285"/>
      <c r="WAN101" s="285"/>
      <c r="WAO101" s="285"/>
      <c r="WAP101" s="285"/>
      <c r="WAQ101" s="285"/>
      <c r="WAR101" s="285"/>
      <c r="WAS101" s="285"/>
      <c r="WAT101" s="285"/>
      <c r="WAU101" s="285"/>
      <c r="WAV101" s="285"/>
      <c r="WAW101" s="285"/>
      <c r="WAX101" s="285"/>
      <c r="WAY101" s="285"/>
      <c r="WAZ101" s="285"/>
      <c r="WBA101" s="285"/>
      <c r="WBB101" s="285"/>
      <c r="WBC101" s="285"/>
      <c r="WBD101" s="285"/>
      <c r="WBE101" s="285"/>
      <c r="WBF101" s="285"/>
      <c r="WBG101" s="285"/>
      <c r="WBH101" s="285"/>
      <c r="WBI101" s="285"/>
      <c r="WBJ101" s="285"/>
      <c r="WBK101" s="285"/>
      <c r="WBL101" s="285"/>
      <c r="WBM101" s="285"/>
      <c r="WBN101" s="285"/>
      <c r="WBO101" s="285"/>
      <c r="WBP101" s="285"/>
      <c r="WBQ101" s="285"/>
      <c r="WBR101" s="285"/>
      <c r="WBS101" s="285"/>
      <c r="WBT101" s="285"/>
      <c r="WBU101" s="285"/>
      <c r="WBV101" s="285"/>
      <c r="WBW101" s="285"/>
      <c r="WBX101" s="285"/>
      <c r="WBY101" s="285"/>
      <c r="WBZ101" s="285"/>
      <c r="WCA101" s="285"/>
      <c r="WCB101" s="285"/>
      <c r="WCC101" s="285"/>
      <c r="WCD101" s="285"/>
      <c r="WCE101" s="285"/>
      <c r="WCF101" s="285"/>
      <c r="WCG101" s="285"/>
      <c r="WCH101" s="285"/>
      <c r="WCI101" s="285"/>
      <c r="WCJ101" s="285"/>
      <c r="WCK101" s="285"/>
      <c r="WCL101" s="285"/>
      <c r="WCM101" s="285"/>
      <c r="WCN101" s="285"/>
      <c r="WCO101" s="285"/>
      <c r="WCP101" s="285"/>
      <c r="WCQ101" s="285"/>
      <c r="WCR101" s="285"/>
      <c r="WCS101" s="285"/>
      <c r="WCT101" s="285"/>
      <c r="WCU101" s="285"/>
      <c r="WCV101" s="285"/>
      <c r="WCW101" s="285"/>
      <c r="WCX101" s="285"/>
      <c r="WCY101" s="285"/>
      <c r="WCZ101" s="285"/>
      <c r="WDA101" s="285"/>
      <c r="WDB101" s="285"/>
      <c r="WDC101" s="285"/>
      <c r="WDD101" s="285"/>
      <c r="WDE101" s="285"/>
      <c r="WDF101" s="285"/>
      <c r="WDG101" s="285"/>
      <c r="WDH101" s="285"/>
      <c r="WDI101" s="285"/>
      <c r="WDJ101" s="285"/>
      <c r="WDK101" s="285"/>
      <c r="WDL101" s="285"/>
      <c r="WDM101" s="285"/>
      <c r="WDN101" s="285"/>
      <c r="WDO101" s="285"/>
      <c r="WDP101" s="285"/>
      <c r="WDQ101" s="285"/>
      <c r="WDR101" s="285"/>
      <c r="WDS101" s="285"/>
      <c r="WDT101" s="285"/>
      <c r="WDU101" s="285"/>
      <c r="WDV101" s="285"/>
      <c r="WDW101" s="285"/>
      <c r="WDX101" s="285"/>
      <c r="WDY101" s="285"/>
      <c r="WDZ101" s="285"/>
      <c r="WEA101" s="285"/>
      <c r="WEB101" s="285"/>
      <c r="WEC101" s="285"/>
      <c r="WED101" s="285"/>
      <c r="WEE101" s="285"/>
      <c r="WEF101" s="285"/>
      <c r="WEG101" s="285"/>
      <c r="WEH101" s="285"/>
      <c r="WEI101" s="285"/>
      <c r="WEJ101" s="285"/>
      <c r="WEK101" s="285"/>
      <c r="WEL101" s="285"/>
      <c r="WEM101" s="285"/>
      <c r="WEN101" s="285"/>
      <c r="WEO101" s="285"/>
      <c r="WEP101" s="285"/>
      <c r="WEQ101" s="285"/>
      <c r="WER101" s="285"/>
      <c r="WES101" s="285"/>
      <c r="WET101" s="285"/>
      <c r="WEU101" s="285"/>
      <c r="WEV101" s="285"/>
      <c r="WEW101" s="285"/>
      <c r="WEX101" s="285"/>
      <c r="WEY101" s="285"/>
      <c r="WEZ101" s="285"/>
      <c r="WFA101" s="285"/>
      <c r="WFB101" s="285"/>
      <c r="WFC101" s="285"/>
      <c r="WFD101" s="285"/>
      <c r="WFE101" s="285"/>
      <c r="WFF101" s="285"/>
      <c r="WFG101" s="285"/>
      <c r="WFH101" s="285"/>
      <c r="WFI101" s="285"/>
      <c r="WFJ101" s="285"/>
      <c r="WFK101" s="285"/>
      <c r="WFL101" s="285"/>
      <c r="WFM101" s="285"/>
      <c r="WFN101" s="285"/>
      <c r="WFO101" s="285"/>
      <c r="WFP101" s="285"/>
      <c r="WFQ101" s="285"/>
      <c r="WFR101" s="285"/>
      <c r="WFS101" s="285"/>
      <c r="WFT101" s="285"/>
      <c r="WFU101" s="285"/>
      <c r="WFV101" s="285"/>
      <c r="WFW101" s="285"/>
      <c r="WFX101" s="285"/>
      <c r="WFY101" s="285"/>
      <c r="WFZ101" s="285"/>
      <c r="WGA101" s="285"/>
      <c r="WGB101" s="285"/>
      <c r="WGC101" s="285"/>
      <c r="WGD101" s="285"/>
      <c r="WGE101" s="285"/>
      <c r="WGF101" s="285"/>
      <c r="WGG101" s="285"/>
      <c r="WGH101" s="285"/>
      <c r="WGI101" s="285"/>
      <c r="WGJ101" s="285"/>
      <c r="WGK101" s="285"/>
      <c r="WGL101" s="285"/>
      <c r="WGM101" s="285"/>
      <c r="WGN101" s="285"/>
      <c r="WGO101" s="285"/>
      <c r="WGP101" s="285"/>
      <c r="WGQ101" s="285"/>
      <c r="WGR101" s="285"/>
      <c r="WGS101" s="285"/>
      <c r="WGT101" s="285"/>
      <c r="WGU101" s="285"/>
      <c r="WGV101" s="285"/>
      <c r="WGW101" s="285"/>
      <c r="WGX101" s="285"/>
      <c r="WGY101" s="285"/>
      <c r="WGZ101" s="285"/>
      <c r="WHA101" s="285"/>
      <c r="WHB101" s="285"/>
      <c r="WHC101" s="285"/>
      <c r="WHD101" s="285"/>
      <c r="WHE101" s="285"/>
      <c r="WHF101" s="285"/>
      <c r="WHG101" s="285"/>
      <c r="WHH101" s="285"/>
      <c r="WHI101" s="285"/>
      <c r="WHJ101" s="285"/>
      <c r="WHK101" s="285"/>
      <c r="WHL101" s="285"/>
      <c r="WHM101" s="285"/>
      <c r="WHN101" s="285"/>
      <c r="WHO101" s="285"/>
      <c r="WHP101" s="285"/>
      <c r="WHQ101" s="285"/>
      <c r="WHR101" s="285"/>
      <c r="WHS101" s="285"/>
      <c r="WHT101" s="285"/>
      <c r="WHU101" s="285"/>
      <c r="WHV101" s="285"/>
      <c r="WHW101" s="285"/>
      <c r="WHX101" s="285"/>
      <c r="WHY101" s="285"/>
      <c r="WHZ101" s="285"/>
      <c r="WIA101" s="285"/>
      <c r="WIB101" s="285"/>
      <c r="WIC101" s="285"/>
      <c r="WID101" s="285"/>
      <c r="WIE101" s="285"/>
      <c r="WIF101" s="285"/>
      <c r="WIG101" s="285"/>
      <c r="WIH101" s="285"/>
      <c r="WII101" s="285"/>
      <c r="WIJ101" s="285"/>
      <c r="WIK101" s="285"/>
      <c r="WIL101" s="285"/>
      <c r="WIM101" s="285"/>
      <c r="WIN101" s="285"/>
      <c r="WIO101" s="285"/>
      <c r="WIP101" s="285"/>
      <c r="WIQ101" s="285"/>
      <c r="WIR101" s="285"/>
      <c r="WIS101" s="285"/>
      <c r="WIT101" s="285"/>
      <c r="WIU101" s="285"/>
      <c r="WIV101" s="285"/>
      <c r="WIW101" s="285"/>
      <c r="WIX101" s="285"/>
      <c r="WIY101" s="285"/>
      <c r="WIZ101" s="285"/>
      <c r="WJA101" s="285"/>
      <c r="WJB101" s="285"/>
      <c r="WJC101" s="285"/>
      <c r="WJD101" s="285"/>
      <c r="WJE101" s="285"/>
      <c r="WJF101" s="285"/>
      <c r="WJG101" s="285"/>
      <c r="WJH101" s="285"/>
      <c r="WJI101" s="285"/>
      <c r="WJJ101" s="285"/>
      <c r="WJK101" s="285"/>
      <c r="WJL101" s="285"/>
      <c r="WJM101" s="285"/>
      <c r="WJN101" s="285"/>
      <c r="WJO101" s="285"/>
      <c r="WJP101" s="285"/>
      <c r="WJQ101" s="285"/>
      <c r="WJR101" s="285"/>
      <c r="WJS101" s="285"/>
      <c r="WJT101" s="285"/>
      <c r="WJU101" s="285"/>
      <c r="WJV101" s="285"/>
      <c r="WJW101" s="285"/>
      <c r="WJX101" s="285"/>
      <c r="WJY101" s="285"/>
      <c r="WJZ101" s="285"/>
      <c r="WKA101" s="285"/>
      <c r="WKB101" s="285"/>
      <c r="WKC101" s="285"/>
      <c r="WKD101" s="285"/>
      <c r="WKE101" s="285"/>
      <c r="WKF101" s="285"/>
      <c r="WKG101" s="285"/>
      <c r="WKH101" s="285"/>
      <c r="WKI101" s="285"/>
      <c r="WKJ101" s="285"/>
      <c r="WKK101" s="285"/>
      <c r="WKL101" s="285"/>
      <c r="WKM101" s="285"/>
      <c r="WKN101" s="285"/>
      <c r="WKO101" s="285"/>
      <c r="WKP101" s="285"/>
      <c r="WKQ101" s="285"/>
      <c r="WKR101" s="285"/>
      <c r="WKS101" s="285"/>
      <c r="WKT101" s="285"/>
      <c r="WKU101" s="285"/>
      <c r="WKV101" s="285"/>
      <c r="WKW101" s="285"/>
      <c r="WKX101" s="285"/>
      <c r="WKY101" s="285"/>
      <c r="WKZ101" s="285"/>
      <c r="WLA101" s="285"/>
      <c r="WLB101" s="285"/>
      <c r="WLC101" s="285"/>
      <c r="WLD101" s="285"/>
      <c r="WLE101" s="285"/>
      <c r="WLF101" s="285"/>
      <c r="WLG101" s="285"/>
      <c r="WLH101" s="285"/>
      <c r="WLI101" s="285"/>
      <c r="WLJ101" s="285"/>
      <c r="WLK101" s="285"/>
      <c r="WLL101" s="285"/>
      <c r="WLM101" s="285"/>
      <c r="WLN101" s="285"/>
      <c r="WLO101" s="285"/>
      <c r="WLP101" s="285"/>
      <c r="WLQ101" s="285"/>
      <c r="WLR101" s="285"/>
      <c r="WLS101" s="285"/>
      <c r="WLT101" s="285"/>
      <c r="WLU101" s="285"/>
      <c r="WLV101" s="285"/>
      <c r="WLW101" s="285"/>
      <c r="WLX101" s="285"/>
      <c r="WLY101" s="285"/>
      <c r="WLZ101" s="285"/>
      <c r="WMA101" s="285"/>
      <c r="WMB101" s="285"/>
      <c r="WMC101" s="285"/>
      <c r="WMD101" s="285"/>
      <c r="WME101" s="285"/>
      <c r="WMF101" s="285"/>
      <c r="WMG101" s="285"/>
      <c r="WMH101" s="285"/>
      <c r="WMI101" s="285"/>
      <c r="WMJ101" s="285"/>
      <c r="WMK101" s="285"/>
      <c r="WML101" s="285"/>
      <c r="WMM101" s="285"/>
      <c r="WMN101" s="285"/>
      <c r="WMO101" s="285"/>
      <c r="WMP101" s="285"/>
      <c r="WMQ101" s="285"/>
      <c r="WMR101" s="285"/>
      <c r="WMS101" s="285"/>
      <c r="WMT101" s="285"/>
      <c r="WMU101" s="285"/>
      <c r="WMV101" s="285"/>
      <c r="WMW101" s="285"/>
      <c r="WMX101" s="285"/>
      <c r="WMY101" s="285"/>
      <c r="WMZ101" s="285"/>
      <c r="WNA101" s="285"/>
      <c r="WNB101" s="285"/>
      <c r="WNC101" s="285"/>
      <c r="WND101" s="285"/>
      <c r="WNE101" s="285"/>
      <c r="WNF101" s="285"/>
      <c r="WNG101" s="285"/>
      <c r="WNH101" s="285"/>
      <c r="WNI101" s="285"/>
      <c r="WNJ101" s="285"/>
      <c r="WNK101" s="285"/>
      <c r="WNL101" s="285"/>
      <c r="WNM101" s="285"/>
      <c r="WNN101" s="285"/>
      <c r="WNO101" s="285"/>
      <c r="WNP101" s="285"/>
      <c r="WNQ101" s="285"/>
      <c r="WNR101" s="285"/>
      <c r="WNS101" s="285"/>
      <c r="WNT101" s="285"/>
      <c r="WNU101" s="285"/>
      <c r="WNV101" s="285"/>
      <c r="WNW101" s="285"/>
      <c r="WNX101" s="285"/>
      <c r="WNY101" s="285"/>
      <c r="WNZ101" s="285"/>
      <c r="WOA101" s="285"/>
      <c r="WOB101" s="285"/>
      <c r="WOC101" s="285"/>
      <c r="WOD101" s="285"/>
      <c r="WOE101" s="285"/>
      <c r="WOF101" s="285"/>
      <c r="WOG101" s="285"/>
      <c r="WOH101" s="285"/>
      <c r="WOI101" s="285"/>
      <c r="WOJ101" s="285"/>
      <c r="WOK101" s="285"/>
      <c r="WOL101" s="285"/>
      <c r="WOM101" s="285"/>
      <c r="WON101" s="285"/>
      <c r="WOO101" s="285"/>
      <c r="WOP101" s="285"/>
      <c r="WOQ101" s="285"/>
      <c r="WOR101" s="285"/>
      <c r="WOS101" s="285"/>
      <c r="WOT101" s="285"/>
      <c r="WOU101" s="285"/>
      <c r="WOV101" s="285"/>
      <c r="WOW101" s="285"/>
      <c r="WOX101" s="285"/>
      <c r="WOY101" s="285"/>
      <c r="WOZ101" s="285"/>
      <c r="WPA101" s="285"/>
      <c r="WPB101" s="285"/>
      <c r="WPC101" s="285"/>
      <c r="WPD101" s="285"/>
      <c r="WPE101" s="285"/>
      <c r="WPF101" s="285"/>
      <c r="WPG101" s="285"/>
      <c r="WPH101" s="285"/>
      <c r="WPI101" s="285"/>
      <c r="WPJ101" s="285"/>
      <c r="WPK101" s="285"/>
      <c r="WPL101" s="285"/>
      <c r="WPM101" s="285"/>
      <c r="WPN101" s="285"/>
      <c r="WPO101" s="285"/>
      <c r="WPP101" s="285"/>
      <c r="WPQ101" s="285"/>
      <c r="WPR101" s="285"/>
      <c r="WPS101" s="285"/>
      <c r="WPT101" s="285"/>
      <c r="WPU101" s="285"/>
      <c r="WPV101" s="285"/>
      <c r="WPW101" s="285"/>
      <c r="WPX101" s="285"/>
      <c r="WPY101" s="285"/>
      <c r="WPZ101" s="285"/>
      <c r="WQA101" s="285"/>
      <c r="WQB101" s="285"/>
      <c r="WQC101" s="285"/>
      <c r="WQD101" s="285"/>
      <c r="WQE101" s="285"/>
      <c r="WQF101" s="285"/>
      <c r="WQG101" s="285"/>
      <c r="WQH101" s="285"/>
      <c r="WQI101" s="285"/>
      <c r="WQJ101" s="285"/>
      <c r="WQK101" s="285"/>
      <c r="WQL101" s="285"/>
      <c r="WQM101" s="285"/>
      <c r="WQN101" s="285"/>
      <c r="WQO101" s="285"/>
      <c r="WQP101" s="285"/>
      <c r="WQQ101" s="285"/>
      <c r="WQR101" s="285"/>
      <c r="WQS101" s="285"/>
      <c r="WQT101" s="285"/>
      <c r="WQU101" s="285"/>
      <c r="WQV101" s="285"/>
      <c r="WQW101" s="285"/>
      <c r="WQX101" s="285"/>
      <c r="WQY101" s="285"/>
      <c r="WQZ101" s="285"/>
      <c r="WRA101" s="285"/>
      <c r="WRB101" s="285"/>
      <c r="WRC101" s="285"/>
      <c r="WRD101" s="285"/>
      <c r="WRE101" s="285"/>
      <c r="WRF101" s="285"/>
      <c r="WRG101" s="285"/>
      <c r="WRH101" s="285"/>
      <c r="WRI101" s="285"/>
      <c r="WRJ101" s="285"/>
      <c r="WRK101" s="285"/>
      <c r="WRL101" s="285"/>
      <c r="WRM101" s="285"/>
      <c r="WRN101" s="285"/>
      <c r="WRO101" s="285"/>
      <c r="WRP101" s="285"/>
      <c r="WRQ101" s="285"/>
      <c r="WRR101" s="285"/>
      <c r="WRS101" s="285"/>
      <c r="WRT101" s="285"/>
      <c r="WRU101" s="285"/>
      <c r="WRV101" s="285"/>
      <c r="WRW101" s="285"/>
      <c r="WRX101" s="285"/>
      <c r="WRY101" s="285"/>
      <c r="WRZ101" s="285"/>
      <c r="WSA101" s="285"/>
      <c r="WSB101" s="285"/>
      <c r="WSC101" s="285"/>
      <c r="WSD101" s="285"/>
      <c r="WSE101" s="285"/>
      <c r="WSF101" s="285"/>
      <c r="WSG101" s="285"/>
      <c r="WSH101" s="285"/>
      <c r="WSI101" s="285"/>
      <c r="WSJ101" s="285"/>
      <c r="WSK101" s="285"/>
      <c r="WSL101" s="285"/>
      <c r="WSM101" s="285"/>
      <c r="WSN101" s="285"/>
      <c r="WSO101" s="285"/>
      <c r="WSP101" s="285"/>
      <c r="WSQ101" s="285"/>
      <c r="WSR101" s="285"/>
      <c r="WSS101" s="285"/>
      <c r="WST101" s="285"/>
      <c r="WSU101" s="285"/>
      <c r="WSV101" s="285"/>
      <c r="WSW101" s="285"/>
      <c r="WSX101" s="285"/>
      <c r="WSY101" s="285"/>
      <c r="WSZ101" s="285"/>
      <c r="WTA101" s="285"/>
      <c r="WTB101" s="285"/>
      <c r="WTC101" s="285"/>
      <c r="WTD101" s="285"/>
      <c r="WTE101" s="285"/>
      <c r="WTF101" s="285"/>
      <c r="WTG101" s="285"/>
      <c r="WTH101" s="285"/>
      <c r="WTI101" s="285"/>
      <c r="WTJ101" s="285"/>
      <c r="WTK101" s="285"/>
      <c r="WTL101" s="285"/>
      <c r="WTM101" s="285"/>
      <c r="WTN101" s="285"/>
      <c r="WTO101" s="285"/>
      <c r="WTP101" s="285"/>
      <c r="WTQ101" s="285"/>
      <c r="WTR101" s="285"/>
      <c r="WTS101" s="285"/>
      <c r="WTT101" s="285"/>
      <c r="WTU101" s="285"/>
      <c r="WTV101" s="285"/>
      <c r="WTW101" s="285"/>
      <c r="WTX101" s="285"/>
      <c r="WTY101" s="285"/>
      <c r="WTZ101" s="285"/>
      <c r="WUA101" s="285"/>
      <c r="WUB101" s="285"/>
      <c r="WUC101" s="285"/>
      <c r="WUD101" s="285"/>
      <c r="WUE101" s="285"/>
      <c r="WUF101" s="285"/>
      <c r="WUG101" s="285"/>
      <c r="WUH101" s="285"/>
      <c r="WUI101" s="285"/>
      <c r="WUJ101" s="285"/>
      <c r="WUK101" s="285"/>
      <c r="WUL101" s="285"/>
      <c r="WUM101" s="285"/>
      <c r="WUN101" s="285"/>
      <c r="WUO101" s="285"/>
      <c r="WUP101" s="285"/>
      <c r="WUQ101" s="285"/>
      <c r="WUR101" s="285"/>
      <c r="WUS101" s="285"/>
      <c r="WUT101" s="285"/>
      <c r="WUU101" s="285"/>
      <c r="WUV101" s="285"/>
      <c r="WUW101" s="285"/>
      <c r="WUX101" s="285"/>
      <c r="WUY101" s="285"/>
      <c r="WUZ101" s="285"/>
      <c r="WVA101" s="285"/>
      <c r="WVB101" s="285"/>
      <c r="WVC101" s="285"/>
      <c r="WVD101" s="285"/>
      <c r="WVE101" s="285"/>
      <c r="WVF101" s="285"/>
      <c r="WVG101" s="285"/>
      <c r="WVH101" s="285"/>
      <c r="WVI101" s="285"/>
      <c r="WVJ101" s="285"/>
      <c r="WVK101" s="285"/>
      <c r="WVL101" s="285"/>
      <c r="WVM101" s="285"/>
      <c r="WVN101" s="285"/>
      <c r="WVO101" s="285"/>
      <c r="WVP101" s="285"/>
      <c r="WVQ101" s="285"/>
      <c r="WVR101" s="285"/>
      <c r="WVS101" s="285"/>
      <c r="WVT101" s="285"/>
      <c r="WVU101" s="285"/>
      <c r="WVV101" s="285"/>
      <c r="WVW101" s="285"/>
      <c r="WVX101" s="285"/>
      <c r="WVY101" s="285"/>
      <c r="WVZ101" s="285"/>
      <c r="WWA101" s="285"/>
      <c r="WWB101" s="285"/>
      <c r="WWC101" s="285"/>
      <c r="WWD101" s="285"/>
      <c r="WWE101" s="285"/>
      <c r="WWF101" s="285"/>
      <c r="WWG101" s="285"/>
      <c r="WWH101" s="285"/>
      <c r="WWI101" s="285"/>
      <c r="WWJ101" s="285"/>
      <c r="WWK101" s="285"/>
      <c r="WWL101" s="285"/>
      <c r="WWM101" s="285"/>
      <c r="WWN101" s="285"/>
      <c r="WWO101" s="285"/>
      <c r="WWP101" s="285"/>
      <c r="WWQ101" s="285"/>
      <c r="WWR101" s="285"/>
      <c r="WWS101" s="285"/>
      <c r="WWT101" s="285"/>
      <c r="WWU101" s="285"/>
      <c r="WWV101" s="285"/>
      <c r="WWW101" s="285"/>
      <c r="WWX101" s="285"/>
      <c r="WWY101" s="285"/>
      <c r="WWZ101" s="285"/>
      <c r="WXA101" s="285"/>
      <c r="WXB101" s="285"/>
      <c r="WXC101" s="285"/>
      <c r="WXD101" s="285"/>
      <c r="WXE101" s="285"/>
      <c r="WXF101" s="285"/>
      <c r="WXG101" s="285"/>
      <c r="WXH101" s="285"/>
      <c r="WXI101" s="285"/>
      <c r="WXJ101" s="285"/>
      <c r="WXK101" s="285"/>
      <c r="WXL101" s="285"/>
      <c r="WXM101" s="285"/>
      <c r="WXN101" s="285"/>
      <c r="WXO101" s="285"/>
      <c r="WXP101" s="285"/>
      <c r="WXQ101" s="285"/>
      <c r="WXR101" s="285"/>
      <c r="WXS101" s="285"/>
      <c r="WXT101" s="285"/>
      <c r="WXU101" s="285"/>
      <c r="WXV101" s="285"/>
      <c r="WXW101" s="285"/>
      <c r="WXX101" s="285"/>
      <c r="WXY101" s="285"/>
      <c r="WXZ101" s="285"/>
      <c r="WYA101" s="285"/>
      <c r="WYB101" s="285"/>
      <c r="WYC101" s="285"/>
      <c r="WYD101" s="285"/>
      <c r="WYE101" s="285"/>
      <c r="WYF101" s="285"/>
      <c r="WYG101" s="285"/>
      <c r="WYH101" s="285"/>
      <c r="WYI101" s="285"/>
      <c r="WYJ101" s="285"/>
      <c r="WYK101" s="285"/>
      <c r="WYL101" s="285"/>
      <c r="WYM101" s="285"/>
      <c r="WYN101" s="285"/>
      <c r="WYO101" s="285"/>
      <c r="WYP101" s="285"/>
      <c r="WYQ101" s="285"/>
      <c r="WYR101" s="285"/>
      <c r="WYS101" s="285"/>
      <c r="WYT101" s="285"/>
      <c r="WYU101" s="285"/>
      <c r="WYV101" s="285"/>
      <c r="WYW101" s="285"/>
      <c r="WYX101" s="285"/>
      <c r="WYY101" s="285"/>
      <c r="WYZ101" s="285"/>
      <c r="WZA101" s="285"/>
      <c r="WZB101" s="285"/>
      <c r="WZC101" s="285"/>
      <c r="WZD101" s="285"/>
      <c r="WZE101" s="285"/>
      <c r="WZF101" s="285"/>
      <c r="WZG101" s="285"/>
      <c r="WZH101" s="285"/>
      <c r="WZI101" s="285"/>
      <c r="WZJ101" s="285"/>
      <c r="WZK101" s="285"/>
      <c r="WZL101" s="285"/>
      <c r="WZM101" s="285"/>
      <c r="WZN101" s="285"/>
      <c r="WZO101" s="285"/>
      <c r="WZP101" s="285"/>
      <c r="WZQ101" s="285"/>
      <c r="WZR101" s="285"/>
      <c r="WZS101" s="285"/>
      <c r="WZT101" s="285"/>
      <c r="WZU101" s="285"/>
      <c r="WZV101" s="285"/>
      <c r="WZW101" s="285"/>
      <c r="WZX101" s="285"/>
      <c r="WZY101" s="285"/>
      <c r="WZZ101" s="285"/>
      <c r="XAA101" s="285"/>
      <c r="XAB101" s="285"/>
      <c r="XAC101" s="285"/>
      <c r="XAD101" s="285"/>
      <c r="XAE101" s="285"/>
      <c r="XAF101" s="285"/>
      <c r="XAG101" s="285"/>
      <c r="XAH101" s="285"/>
      <c r="XAI101" s="285"/>
      <c r="XAJ101" s="285"/>
      <c r="XAK101" s="285"/>
      <c r="XAL101" s="285"/>
      <c r="XAM101" s="285"/>
      <c r="XAN101" s="285"/>
      <c r="XAO101" s="285"/>
      <c r="XAP101" s="285"/>
      <c r="XAQ101" s="285"/>
      <c r="XAR101" s="285"/>
      <c r="XAS101" s="285"/>
      <c r="XAT101" s="285"/>
      <c r="XAU101" s="285"/>
      <c r="XAV101" s="285"/>
      <c r="XAW101" s="285"/>
      <c r="XAX101" s="285"/>
      <c r="XAY101" s="285"/>
      <c r="XAZ101" s="285"/>
      <c r="XBA101" s="285"/>
      <c r="XBB101" s="285"/>
      <c r="XBC101" s="285"/>
      <c r="XBD101" s="285"/>
      <c r="XBE101" s="285"/>
      <c r="XBF101" s="285"/>
      <c r="XBG101" s="285"/>
      <c r="XBH101" s="285"/>
      <c r="XBI101" s="285"/>
      <c r="XBJ101" s="285"/>
      <c r="XBK101" s="285"/>
      <c r="XBL101" s="285"/>
      <c r="XBM101" s="285"/>
      <c r="XBN101" s="285"/>
      <c r="XBO101" s="285"/>
      <c r="XBP101" s="285"/>
      <c r="XBQ101" s="285"/>
      <c r="XBR101" s="285"/>
      <c r="XBS101" s="285"/>
      <c r="XBT101" s="285"/>
      <c r="XBU101" s="285"/>
      <c r="XBV101" s="285"/>
      <c r="XBW101" s="285"/>
      <c r="XBX101" s="285"/>
      <c r="XBY101" s="285"/>
      <c r="XBZ101" s="285"/>
      <c r="XCA101" s="285"/>
      <c r="XCB101" s="285"/>
      <c r="XCC101" s="285"/>
      <c r="XCD101" s="285"/>
      <c r="XCE101" s="285"/>
      <c r="XCF101" s="285"/>
      <c r="XCG101" s="285"/>
      <c r="XCH101" s="285"/>
      <c r="XCI101" s="285"/>
      <c r="XCJ101" s="285"/>
      <c r="XCK101" s="285"/>
      <c r="XCL101" s="285"/>
      <c r="XCM101" s="285"/>
      <c r="XCN101" s="285"/>
      <c r="XCO101" s="285"/>
      <c r="XCP101" s="285"/>
      <c r="XCQ101" s="285"/>
      <c r="XCR101" s="285"/>
      <c r="XCS101" s="285"/>
      <c r="XCT101" s="285"/>
      <c r="XCU101" s="285"/>
      <c r="XCV101" s="285"/>
      <c r="XCW101" s="285"/>
      <c r="XCX101" s="285"/>
      <c r="XCY101" s="285"/>
      <c r="XCZ101" s="285"/>
      <c r="XDA101" s="285"/>
      <c r="XDB101" s="285"/>
      <c r="XDC101" s="285"/>
      <c r="XDD101" s="285"/>
      <c r="XDE101" s="285"/>
      <c r="XDF101" s="285"/>
      <c r="XDG101" s="285"/>
      <c r="XDH101" s="285"/>
      <c r="XDI101" s="285"/>
      <c r="XDJ101" s="285"/>
      <c r="XDK101" s="285"/>
      <c r="XDL101" s="285"/>
      <c r="XDM101" s="285"/>
      <c r="XDN101" s="285"/>
      <c r="XDO101" s="285"/>
      <c r="XDP101" s="285"/>
      <c r="XDQ101" s="285"/>
      <c r="XDR101" s="285"/>
      <c r="XDS101" s="285"/>
      <c r="XDT101" s="285"/>
      <c r="XDU101" s="285"/>
      <c r="XDV101" s="285"/>
      <c r="XDW101" s="285"/>
      <c r="XDX101" s="285"/>
      <c r="XDY101" s="285"/>
      <c r="XDZ101" s="285"/>
      <c r="XEA101" s="285"/>
      <c r="XEB101" s="285"/>
      <c r="XEC101" s="285"/>
      <c r="XED101" s="285"/>
      <c r="XEE101" s="285"/>
      <c r="XEF101" s="285"/>
      <c r="XEG101" s="285"/>
      <c r="XEH101" s="285"/>
      <c r="XEI101" s="285"/>
      <c r="XEJ101" s="285"/>
      <c r="XEK101" s="285"/>
      <c r="XEL101" s="285"/>
      <c r="XEM101" s="285"/>
      <c r="XEN101" s="285"/>
      <c r="XEO101" s="285"/>
      <c r="XEP101" s="285"/>
      <c r="XEQ101" s="285"/>
      <c r="XER101" s="285"/>
      <c r="XES101" s="285"/>
      <c r="XET101" s="285"/>
      <c r="XEU101" s="285"/>
      <c r="XEV101" s="285"/>
      <c r="XEW101" s="285"/>
      <c r="XEX101" s="285"/>
      <c r="XEY101" s="285"/>
      <c r="XEZ101" s="285"/>
    </row>
    <row r="156" spans="3:12" x14ac:dyDescent="0.25">
      <c r="L156" s="338">
        <f>I156*J156*K156</f>
        <v>0</v>
      </c>
    </row>
    <row r="157" spans="3:12" ht="15.6" x14ac:dyDescent="0.3">
      <c r="C157" s="339"/>
      <c r="L157" s="338">
        <f t="shared" ref="L157:L162" si="3">I157*J157*K157</f>
        <v>0</v>
      </c>
    </row>
    <row r="158" spans="3:12" ht="15.6" x14ac:dyDescent="0.3">
      <c r="C158" s="339"/>
      <c r="L158" s="338">
        <f t="shared" si="3"/>
        <v>0</v>
      </c>
    </row>
    <row r="159" spans="3:12" ht="15.6" x14ac:dyDescent="0.3">
      <c r="C159" s="339"/>
      <c r="L159" s="338">
        <f t="shared" si="3"/>
        <v>0</v>
      </c>
    </row>
    <row r="160" spans="3:12" ht="15.6" x14ac:dyDescent="0.3">
      <c r="C160" s="339"/>
      <c r="L160" s="338">
        <f t="shared" si="3"/>
        <v>0</v>
      </c>
    </row>
    <row r="161" spans="3:12" ht="15.6" x14ac:dyDescent="0.3">
      <c r="C161" s="339"/>
      <c r="G161" s="340"/>
      <c r="L161" s="338">
        <f t="shared" si="3"/>
        <v>0</v>
      </c>
    </row>
    <row r="162" spans="3:12" ht="15.6" x14ac:dyDescent="0.3">
      <c r="C162" s="339"/>
      <c r="I162" s="335">
        <v>11.9</v>
      </c>
      <c r="L162" s="338">
        <f t="shared" si="3"/>
        <v>0</v>
      </c>
    </row>
    <row r="163" spans="3:12" ht="21" customHeight="1" x14ac:dyDescent="0.25"/>
    <row r="164" spans="3:12" x14ac:dyDescent="0.25">
      <c r="C164" s="341"/>
    </row>
    <row r="167" spans="3:12" x14ac:dyDescent="0.25">
      <c r="C167" s="342"/>
      <c r="J167" s="336">
        <v>218.3</v>
      </c>
    </row>
    <row r="168" spans="3:12" x14ac:dyDescent="0.25">
      <c r="C168" s="342"/>
      <c r="J168" s="336">
        <v>218.3</v>
      </c>
      <c r="L168" s="338">
        <f>I168*J168*K168</f>
        <v>0</v>
      </c>
    </row>
    <row r="171" spans="3:12" ht="15.6" x14ac:dyDescent="0.3">
      <c r="C171" s="339"/>
      <c r="J171" s="336">
        <v>215.3</v>
      </c>
    </row>
    <row r="172" spans="3:12" ht="15.6" x14ac:dyDescent="0.3">
      <c r="C172" s="339"/>
      <c r="J172" s="336">
        <v>215.3</v>
      </c>
    </row>
  </sheetData>
  <autoFilter ref="B5:K95" xr:uid="{00000000-0009-0000-0000-000023000000}"/>
  <mergeCells count="14">
    <mergeCell ref="B92:E92"/>
    <mergeCell ref="B95:E95"/>
    <mergeCell ref="B97:J97"/>
    <mergeCell ref="B1:K4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</mergeCells>
  <phoneticPr fontId="37" type="noConversion"/>
  <printOptions horizontalCentered="1"/>
  <pageMargins left="0.19685039370078741" right="0.19685039370078741" top="0.19685039370078741" bottom="0.98425196850393704" header="0.31496062992125984" footer="0.11811023622047245"/>
  <pageSetup paperSize="9" scale="63" fitToHeight="0" orientation="landscape" r:id="rId1"/>
  <headerFooter>
    <oddFooter>&amp;C&amp;G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936D6-0514-4745-BDC0-2DEE04591F58}">
  <sheetPr>
    <tabColor theme="9" tint="0.59999389629810485"/>
    <pageSetUpPr fitToPage="1"/>
  </sheetPr>
  <dimension ref="A1:Q67"/>
  <sheetViews>
    <sheetView showGridLines="0" tabSelected="1" view="pageBreakPreview" topLeftCell="A20" zoomScale="55" zoomScaleNormal="85" zoomScaleSheetLayoutView="55" workbookViewId="0">
      <selection activeCell="I30" sqref="I30"/>
    </sheetView>
  </sheetViews>
  <sheetFormatPr defaultRowHeight="14.4" x14ac:dyDescent="0.3"/>
  <cols>
    <col min="2" max="2" width="22.6640625" customWidth="1"/>
    <col min="3" max="3" width="17.33203125" customWidth="1"/>
    <col min="4" max="4" width="20.77734375" bestFit="1" customWidth="1"/>
    <col min="5" max="5" width="14.88671875" customWidth="1"/>
    <col min="6" max="6" width="18.21875" customWidth="1"/>
    <col min="7" max="8" width="19.109375" customWidth="1"/>
    <col min="9" max="9" width="16.33203125" customWidth="1"/>
    <col min="10" max="10" width="27" customWidth="1"/>
    <col min="11" max="11" width="34.88671875" bestFit="1" customWidth="1"/>
    <col min="13" max="13" width="24.21875" customWidth="1"/>
    <col min="14" max="14" width="18" customWidth="1"/>
    <col min="15" max="15" width="23.6640625" customWidth="1"/>
    <col min="16" max="16" width="33.109375" customWidth="1"/>
  </cols>
  <sheetData>
    <row r="1" spans="1:17" ht="15.6" x14ac:dyDescent="0.3">
      <c r="A1" s="343"/>
      <c r="B1" s="807" t="s">
        <v>172</v>
      </c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344"/>
    </row>
    <row r="2" spans="1:17" ht="15.6" x14ac:dyDescent="0.3">
      <c r="A2" s="345"/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346"/>
    </row>
    <row r="3" spans="1:17" ht="15.6" x14ac:dyDescent="0.3">
      <c r="A3" s="345"/>
      <c r="B3" s="808"/>
      <c r="C3" s="808"/>
      <c r="D3" s="808"/>
      <c r="E3" s="808"/>
      <c r="F3" s="808"/>
      <c r="G3" s="808"/>
      <c r="H3" s="808"/>
      <c r="I3" s="808"/>
      <c r="J3" s="808"/>
      <c r="K3" s="808"/>
      <c r="L3" s="808"/>
      <c r="M3" s="808"/>
      <c r="N3" s="808"/>
      <c r="O3" s="808"/>
      <c r="P3" s="808"/>
      <c r="Q3" s="346"/>
    </row>
    <row r="4" spans="1:17" ht="27" customHeight="1" thickBot="1" x14ac:dyDescent="0.35">
      <c r="A4" s="345"/>
      <c r="B4" s="809"/>
      <c r="C4" s="809"/>
      <c r="D4" s="809"/>
      <c r="E4" s="809"/>
      <c r="F4" s="809"/>
      <c r="G4" s="809"/>
      <c r="H4" s="809"/>
      <c r="I4" s="809"/>
      <c r="J4" s="809"/>
      <c r="K4" s="809"/>
      <c r="L4" s="809"/>
      <c r="M4" s="809"/>
      <c r="N4" s="809"/>
      <c r="O4" s="809"/>
      <c r="P4" s="809"/>
      <c r="Q4" s="346"/>
    </row>
    <row r="5" spans="1:17" ht="30.6" customHeight="1" x14ac:dyDescent="0.3">
      <c r="A5" s="347"/>
      <c r="B5" s="348" t="s">
        <v>173</v>
      </c>
      <c r="C5" s="349" t="s">
        <v>62</v>
      </c>
      <c r="D5" s="350" t="s">
        <v>174</v>
      </c>
      <c r="E5" s="351" t="s">
        <v>175</v>
      </c>
      <c r="F5" s="351" t="s">
        <v>176</v>
      </c>
      <c r="G5" s="352" t="s">
        <v>177</v>
      </c>
      <c r="H5" s="353" t="s">
        <v>178</v>
      </c>
      <c r="I5" s="351" t="s">
        <v>65</v>
      </c>
      <c r="J5" s="353" t="s">
        <v>66</v>
      </c>
      <c r="K5" s="353" t="s">
        <v>179</v>
      </c>
      <c r="L5" s="353" t="s">
        <v>67</v>
      </c>
      <c r="M5" s="354" t="s">
        <v>68</v>
      </c>
      <c r="N5" s="355" t="s">
        <v>180</v>
      </c>
      <c r="O5" s="356" t="s">
        <v>181</v>
      </c>
      <c r="P5" s="357" t="s">
        <v>39</v>
      </c>
      <c r="Q5" s="358"/>
    </row>
    <row r="6" spans="1:17" ht="16.2" thickBot="1" x14ac:dyDescent="0.35">
      <c r="A6" s="347"/>
      <c r="B6" s="810"/>
      <c r="C6" s="811"/>
      <c r="D6" s="811"/>
      <c r="E6" s="811"/>
      <c r="F6" s="811"/>
      <c r="G6" s="811"/>
      <c r="H6" s="811"/>
      <c r="I6" s="811"/>
      <c r="J6" s="811"/>
      <c r="K6" s="811"/>
      <c r="L6" s="811"/>
      <c r="M6" s="811"/>
      <c r="N6" s="811"/>
      <c r="O6" s="811"/>
      <c r="P6" s="812"/>
      <c r="Q6" s="358"/>
    </row>
    <row r="7" spans="1:17" ht="21.6" thickBot="1" x14ac:dyDescent="0.45">
      <c r="A7" s="359"/>
      <c r="B7" s="813" t="s">
        <v>182</v>
      </c>
      <c r="C7" s="814"/>
      <c r="D7" s="814"/>
      <c r="E7" s="814"/>
      <c r="F7" s="814"/>
      <c r="G7" s="814"/>
      <c r="H7" s="814"/>
      <c r="I7" s="814"/>
      <c r="J7" s="814"/>
      <c r="K7" s="814"/>
      <c r="L7" s="814"/>
      <c r="M7" s="814"/>
      <c r="N7" s="814"/>
      <c r="O7" s="814"/>
      <c r="P7" s="815"/>
      <c r="Q7" s="360"/>
    </row>
    <row r="8" spans="1:17" ht="18.600000000000001" customHeight="1" x14ac:dyDescent="0.4">
      <c r="A8" s="359"/>
      <c r="B8" s="838"/>
      <c r="C8" s="839"/>
      <c r="D8" s="839"/>
      <c r="E8" s="839"/>
      <c r="F8" s="839"/>
      <c r="G8" s="839"/>
      <c r="H8" s="839"/>
      <c r="I8" s="839"/>
      <c r="J8" s="839"/>
      <c r="K8" s="839"/>
      <c r="L8" s="839"/>
      <c r="M8" s="839"/>
      <c r="N8" s="839"/>
      <c r="O8" s="839"/>
      <c r="P8" s="840"/>
      <c r="Q8" s="360"/>
    </row>
    <row r="9" spans="1:17" ht="15.6" x14ac:dyDescent="0.3">
      <c r="A9" s="347"/>
      <c r="B9" s="361" t="s">
        <v>163</v>
      </c>
      <c r="C9" s="529">
        <v>46084</v>
      </c>
      <c r="D9" s="530">
        <v>523098</v>
      </c>
      <c r="E9" s="531">
        <v>3067</v>
      </c>
      <c r="F9" s="532" t="s">
        <v>382</v>
      </c>
      <c r="G9" s="533">
        <v>46099</v>
      </c>
      <c r="H9" s="530">
        <v>28738</v>
      </c>
      <c r="I9" s="531" t="s">
        <v>383</v>
      </c>
      <c r="J9" s="531" t="s">
        <v>184</v>
      </c>
      <c r="K9" s="531" t="s">
        <v>185</v>
      </c>
      <c r="L9" s="367" t="s">
        <v>186</v>
      </c>
      <c r="M9" s="534">
        <v>210.00200000000001</v>
      </c>
      <c r="N9" s="535">
        <v>5.69</v>
      </c>
      <c r="O9" s="535">
        <v>1194.91138</v>
      </c>
      <c r="P9" s="370">
        <f>M9*N9</f>
        <v>1194.9113800000002</v>
      </c>
      <c r="Q9" s="358"/>
    </row>
    <row r="10" spans="1:17" ht="15.6" x14ac:dyDescent="0.3">
      <c r="A10" s="347"/>
      <c r="B10" s="361" t="s">
        <v>163</v>
      </c>
      <c r="C10" s="529">
        <v>46084</v>
      </c>
      <c r="D10" s="530">
        <v>523207</v>
      </c>
      <c r="E10" s="531">
        <v>3069</v>
      </c>
      <c r="F10" s="532" t="s">
        <v>382</v>
      </c>
      <c r="G10" s="533">
        <v>46099</v>
      </c>
      <c r="H10" s="530">
        <v>28738</v>
      </c>
      <c r="I10" s="531" t="s">
        <v>193</v>
      </c>
      <c r="J10" s="531" t="s">
        <v>184</v>
      </c>
      <c r="K10" s="531" t="s">
        <v>188</v>
      </c>
      <c r="L10" s="367" t="s">
        <v>186</v>
      </c>
      <c r="M10" s="534">
        <v>545.00199999999995</v>
      </c>
      <c r="N10" s="535">
        <v>5.59</v>
      </c>
      <c r="O10" s="535">
        <v>3046.5611799999997</v>
      </c>
      <c r="P10" s="370">
        <f t="shared" ref="P10:P57" si="0">M10*N10</f>
        <v>3046.5611799999997</v>
      </c>
      <c r="Q10" s="358"/>
    </row>
    <row r="11" spans="1:17" ht="15.6" x14ac:dyDescent="0.3">
      <c r="A11" s="347"/>
      <c r="B11" s="361" t="s">
        <v>163</v>
      </c>
      <c r="C11" s="529">
        <v>46084</v>
      </c>
      <c r="D11" s="530">
        <v>523236</v>
      </c>
      <c r="E11" s="531">
        <v>3070</v>
      </c>
      <c r="F11" s="532" t="s">
        <v>382</v>
      </c>
      <c r="G11" s="533">
        <v>46099</v>
      </c>
      <c r="H11" s="530">
        <v>28738</v>
      </c>
      <c r="I11" s="531" t="s">
        <v>384</v>
      </c>
      <c r="J11" s="531" t="s">
        <v>184</v>
      </c>
      <c r="K11" s="531" t="s">
        <v>188</v>
      </c>
      <c r="L11" s="367" t="s">
        <v>186</v>
      </c>
      <c r="M11" s="534">
        <v>149.696</v>
      </c>
      <c r="N11" s="535">
        <v>5.59</v>
      </c>
      <c r="O11" s="535">
        <v>836.80063999999993</v>
      </c>
      <c r="P11" s="370">
        <f t="shared" si="0"/>
        <v>836.80063999999993</v>
      </c>
      <c r="Q11" s="358"/>
    </row>
    <row r="12" spans="1:17" ht="15.6" x14ac:dyDescent="0.3">
      <c r="A12" s="347"/>
      <c r="B12" s="361" t="s">
        <v>163</v>
      </c>
      <c r="C12" s="529">
        <v>46084</v>
      </c>
      <c r="D12" s="530">
        <v>523602</v>
      </c>
      <c r="E12" s="531">
        <v>3074</v>
      </c>
      <c r="F12" s="532" t="s">
        <v>382</v>
      </c>
      <c r="G12" s="533">
        <v>46099</v>
      </c>
      <c r="H12" s="530">
        <v>28738</v>
      </c>
      <c r="I12" s="531" t="s">
        <v>385</v>
      </c>
      <c r="J12" s="531" t="s">
        <v>184</v>
      </c>
      <c r="K12" s="531" t="s">
        <v>185</v>
      </c>
      <c r="L12" s="367" t="s">
        <v>186</v>
      </c>
      <c r="M12" s="534">
        <v>189.05699999999999</v>
      </c>
      <c r="N12" s="535">
        <v>5.69</v>
      </c>
      <c r="O12" s="535">
        <v>1075.73433</v>
      </c>
      <c r="P12" s="370">
        <f t="shared" si="0"/>
        <v>1075.73433</v>
      </c>
      <c r="Q12" s="358"/>
    </row>
    <row r="13" spans="1:17" ht="15.6" x14ac:dyDescent="0.3">
      <c r="A13" s="347"/>
      <c r="B13" s="361" t="s">
        <v>163</v>
      </c>
      <c r="C13" s="529">
        <v>46084</v>
      </c>
      <c r="D13" s="530">
        <v>523606</v>
      </c>
      <c r="E13" s="531">
        <v>3075</v>
      </c>
      <c r="F13" s="532" t="s">
        <v>382</v>
      </c>
      <c r="G13" s="533">
        <v>46099</v>
      </c>
      <c r="H13" s="530">
        <v>28738</v>
      </c>
      <c r="I13" s="531" t="s">
        <v>194</v>
      </c>
      <c r="J13" s="531" t="s">
        <v>184</v>
      </c>
      <c r="K13" s="531" t="s">
        <v>185</v>
      </c>
      <c r="L13" s="367" t="s">
        <v>186</v>
      </c>
      <c r="M13" s="534">
        <v>204.00700000000001</v>
      </c>
      <c r="N13" s="535">
        <v>5.69</v>
      </c>
      <c r="O13" s="535">
        <v>1160.7998300000002</v>
      </c>
      <c r="P13" s="370">
        <f t="shared" si="0"/>
        <v>1160.7998300000002</v>
      </c>
      <c r="Q13" s="358"/>
    </row>
    <row r="14" spans="1:17" ht="15.6" x14ac:dyDescent="0.3">
      <c r="A14" s="347"/>
      <c r="B14" s="361" t="s">
        <v>163</v>
      </c>
      <c r="C14" s="529">
        <v>46084</v>
      </c>
      <c r="D14" s="530">
        <v>523612</v>
      </c>
      <c r="E14" s="531">
        <v>3076</v>
      </c>
      <c r="F14" s="532" t="s">
        <v>382</v>
      </c>
      <c r="G14" s="533">
        <v>46099</v>
      </c>
      <c r="H14" s="530">
        <v>28738</v>
      </c>
      <c r="I14" s="531" t="s">
        <v>386</v>
      </c>
      <c r="J14" s="531" t="s">
        <v>184</v>
      </c>
      <c r="K14" s="531" t="s">
        <v>185</v>
      </c>
      <c r="L14" s="367" t="s">
        <v>186</v>
      </c>
      <c r="M14" s="534">
        <v>187.67500000000001</v>
      </c>
      <c r="N14" s="535">
        <v>5.69</v>
      </c>
      <c r="O14" s="535">
        <v>1067.87075</v>
      </c>
      <c r="P14" s="370">
        <f t="shared" si="0"/>
        <v>1067.87075</v>
      </c>
      <c r="Q14" s="358"/>
    </row>
    <row r="15" spans="1:17" ht="15.6" x14ac:dyDescent="0.3">
      <c r="A15" s="347"/>
      <c r="B15" s="361" t="s">
        <v>163</v>
      </c>
      <c r="C15" s="529">
        <v>46084</v>
      </c>
      <c r="D15" s="530">
        <v>523612</v>
      </c>
      <c r="E15" s="531">
        <v>3077</v>
      </c>
      <c r="F15" s="532" t="s">
        <v>382</v>
      </c>
      <c r="G15" s="533">
        <v>46099</v>
      </c>
      <c r="H15" s="530">
        <v>28738</v>
      </c>
      <c r="I15" s="531" t="s">
        <v>386</v>
      </c>
      <c r="J15" s="531" t="s">
        <v>184</v>
      </c>
      <c r="K15" s="531" t="s">
        <v>201</v>
      </c>
      <c r="L15" s="367" t="s">
        <v>186</v>
      </c>
      <c r="M15" s="534">
        <v>14.6</v>
      </c>
      <c r="N15" s="535">
        <v>3.09</v>
      </c>
      <c r="O15" s="535">
        <v>45.113999999999997</v>
      </c>
      <c r="P15" s="370">
        <f t="shared" si="0"/>
        <v>45.113999999999997</v>
      </c>
      <c r="Q15" s="358"/>
    </row>
    <row r="16" spans="1:17" ht="15.6" x14ac:dyDescent="0.3">
      <c r="A16" s="347"/>
      <c r="B16" s="361" t="s">
        <v>163</v>
      </c>
      <c r="C16" s="529">
        <v>46084</v>
      </c>
      <c r="D16" s="530">
        <v>523663</v>
      </c>
      <c r="E16" s="531">
        <v>3078</v>
      </c>
      <c r="F16" s="532" t="s">
        <v>382</v>
      </c>
      <c r="G16" s="533">
        <v>46099</v>
      </c>
      <c r="H16" s="530">
        <v>28738</v>
      </c>
      <c r="I16" s="531" t="s">
        <v>208</v>
      </c>
      <c r="J16" s="531" t="s">
        <v>184</v>
      </c>
      <c r="K16" s="531" t="s">
        <v>185</v>
      </c>
      <c r="L16" s="367" t="s">
        <v>186</v>
      </c>
      <c r="M16" s="534">
        <v>185.01599999999999</v>
      </c>
      <c r="N16" s="535">
        <v>5.69</v>
      </c>
      <c r="O16" s="535">
        <v>1052.7410400000001</v>
      </c>
      <c r="P16" s="370">
        <f t="shared" si="0"/>
        <v>1052.7410400000001</v>
      </c>
      <c r="Q16" s="358"/>
    </row>
    <row r="17" spans="1:17" ht="15.6" x14ac:dyDescent="0.3">
      <c r="A17" s="347"/>
      <c r="B17" s="361" t="s">
        <v>163</v>
      </c>
      <c r="C17" s="529">
        <v>46084</v>
      </c>
      <c r="D17" s="530">
        <v>524295</v>
      </c>
      <c r="E17" s="531">
        <v>3086</v>
      </c>
      <c r="F17" s="532" t="s">
        <v>382</v>
      </c>
      <c r="G17" s="533">
        <v>46099</v>
      </c>
      <c r="H17" s="530">
        <v>28738</v>
      </c>
      <c r="I17" s="531" t="s">
        <v>387</v>
      </c>
      <c r="J17" s="531" t="s">
        <v>184</v>
      </c>
      <c r="K17" s="531" t="s">
        <v>188</v>
      </c>
      <c r="L17" s="367" t="s">
        <v>186</v>
      </c>
      <c r="M17" s="534">
        <v>211.32400000000001</v>
      </c>
      <c r="N17" s="535">
        <v>5.69</v>
      </c>
      <c r="O17" s="535">
        <v>1202.4335600000002</v>
      </c>
      <c r="P17" s="370">
        <f t="shared" si="0"/>
        <v>1202.4335600000002</v>
      </c>
      <c r="Q17" s="358"/>
    </row>
    <row r="18" spans="1:17" ht="15.6" x14ac:dyDescent="0.3">
      <c r="A18" s="347"/>
      <c r="B18" s="361" t="s">
        <v>163</v>
      </c>
      <c r="C18" s="529">
        <v>46084</v>
      </c>
      <c r="D18" s="530">
        <v>524295</v>
      </c>
      <c r="E18" s="531">
        <v>3087</v>
      </c>
      <c r="F18" s="532" t="s">
        <v>382</v>
      </c>
      <c r="G18" s="533">
        <v>46099</v>
      </c>
      <c r="H18" s="530">
        <v>28738</v>
      </c>
      <c r="I18" s="531" t="s">
        <v>387</v>
      </c>
      <c r="J18" s="531" t="s">
        <v>184</v>
      </c>
      <c r="K18" s="531" t="s">
        <v>188</v>
      </c>
      <c r="L18" s="367" t="s">
        <v>186</v>
      </c>
      <c r="M18" s="534">
        <v>2.742</v>
      </c>
      <c r="N18" s="535">
        <v>5.69</v>
      </c>
      <c r="O18" s="535">
        <v>15.611980000000001</v>
      </c>
      <c r="P18" s="370">
        <f t="shared" si="0"/>
        <v>15.601980000000001</v>
      </c>
      <c r="Q18" s="358"/>
    </row>
    <row r="19" spans="1:17" ht="15.6" x14ac:dyDescent="0.3">
      <c r="A19" s="347"/>
      <c r="B19" s="361" t="s">
        <v>163</v>
      </c>
      <c r="C19" s="529">
        <v>46084</v>
      </c>
      <c r="D19" s="530">
        <v>524481</v>
      </c>
      <c r="E19" s="531">
        <v>3088</v>
      </c>
      <c r="F19" s="532" t="s">
        <v>382</v>
      </c>
      <c r="G19" s="533">
        <v>46099</v>
      </c>
      <c r="H19" s="530">
        <v>28738</v>
      </c>
      <c r="I19" s="531" t="s">
        <v>208</v>
      </c>
      <c r="J19" s="531" t="s">
        <v>184</v>
      </c>
      <c r="K19" s="531" t="s">
        <v>185</v>
      </c>
      <c r="L19" s="367" t="s">
        <v>186</v>
      </c>
      <c r="M19" s="534">
        <v>116.877</v>
      </c>
      <c r="N19" s="535">
        <v>5.79</v>
      </c>
      <c r="O19" s="535">
        <v>676.71782999999994</v>
      </c>
      <c r="P19" s="370">
        <f t="shared" si="0"/>
        <v>676.71782999999994</v>
      </c>
      <c r="Q19" s="358"/>
    </row>
    <row r="20" spans="1:17" ht="15.6" x14ac:dyDescent="0.3">
      <c r="A20" s="347"/>
      <c r="B20" s="361" t="s">
        <v>163</v>
      </c>
      <c r="C20" s="529">
        <v>46084</v>
      </c>
      <c r="D20" s="530">
        <v>524562</v>
      </c>
      <c r="E20" s="531">
        <v>3089</v>
      </c>
      <c r="F20" s="532" t="s">
        <v>382</v>
      </c>
      <c r="G20" s="533">
        <v>46099</v>
      </c>
      <c r="H20" s="530">
        <v>28738</v>
      </c>
      <c r="I20" s="531" t="s">
        <v>386</v>
      </c>
      <c r="J20" s="531" t="s">
        <v>184</v>
      </c>
      <c r="K20" s="531" t="s">
        <v>185</v>
      </c>
      <c r="L20" s="367" t="s">
        <v>186</v>
      </c>
      <c r="M20" s="534">
        <v>201.00399999999999</v>
      </c>
      <c r="N20" s="535">
        <v>5.79</v>
      </c>
      <c r="O20" s="535">
        <v>1163.8131599999999</v>
      </c>
      <c r="P20" s="370">
        <f t="shared" si="0"/>
        <v>1163.8131599999999</v>
      </c>
      <c r="Q20" s="358"/>
    </row>
    <row r="21" spans="1:17" ht="15.6" x14ac:dyDescent="0.3">
      <c r="A21" s="347"/>
      <c r="B21" s="361" t="s">
        <v>163</v>
      </c>
      <c r="C21" s="529">
        <v>46084</v>
      </c>
      <c r="D21" s="530">
        <v>524571</v>
      </c>
      <c r="E21" s="531">
        <v>3091</v>
      </c>
      <c r="F21" s="532" t="s">
        <v>382</v>
      </c>
      <c r="G21" s="533">
        <v>46099</v>
      </c>
      <c r="H21" s="530">
        <v>28738</v>
      </c>
      <c r="I21" s="531" t="s">
        <v>388</v>
      </c>
      <c r="J21" s="531" t="s">
        <v>184</v>
      </c>
      <c r="K21" s="531" t="s">
        <v>185</v>
      </c>
      <c r="L21" s="367" t="s">
        <v>186</v>
      </c>
      <c r="M21" s="534">
        <v>158.90700000000001</v>
      </c>
      <c r="N21" s="535">
        <v>5.79</v>
      </c>
      <c r="O21" s="535">
        <v>920.07153000000005</v>
      </c>
      <c r="P21" s="370">
        <f t="shared" si="0"/>
        <v>920.07153000000005</v>
      </c>
      <c r="Q21" s="358"/>
    </row>
    <row r="22" spans="1:17" ht="15.6" x14ac:dyDescent="0.3">
      <c r="A22" s="347"/>
      <c r="B22" s="361" t="s">
        <v>163</v>
      </c>
      <c r="C22" s="529">
        <v>46084</v>
      </c>
      <c r="D22" s="530">
        <v>524589</v>
      </c>
      <c r="E22" s="531">
        <v>3092</v>
      </c>
      <c r="F22" s="532" t="s">
        <v>382</v>
      </c>
      <c r="G22" s="533">
        <v>46099</v>
      </c>
      <c r="H22" s="530">
        <v>28738</v>
      </c>
      <c r="I22" s="531" t="s">
        <v>194</v>
      </c>
      <c r="J22" s="531" t="s">
        <v>184</v>
      </c>
      <c r="K22" s="531" t="s">
        <v>185</v>
      </c>
      <c r="L22" s="367" t="s">
        <v>186</v>
      </c>
      <c r="M22" s="534">
        <v>183.01</v>
      </c>
      <c r="N22" s="535">
        <v>5.79</v>
      </c>
      <c r="O22" s="535">
        <v>1059.6279</v>
      </c>
      <c r="P22" s="370">
        <f t="shared" si="0"/>
        <v>1059.6279</v>
      </c>
      <c r="Q22" s="358"/>
    </row>
    <row r="23" spans="1:17" ht="15.6" x14ac:dyDescent="0.3">
      <c r="A23" s="347"/>
      <c r="B23" s="361" t="s">
        <v>163</v>
      </c>
      <c r="C23" s="529">
        <v>46086</v>
      </c>
      <c r="D23" s="530">
        <v>524719</v>
      </c>
      <c r="E23" s="531">
        <v>3093</v>
      </c>
      <c r="F23" s="532" t="s">
        <v>382</v>
      </c>
      <c r="G23" s="533">
        <v>46099</v>
      </c>
      <c r="H23" s="530">
        <v>28738</v>
      </c>
      <c r="I23" s="531" t="s">
        <v>195</v>
      </c>
      <c r="J23" s="531" t="s">
        <v>184</v>
      </c>
      <c r="K23" s="531" t="s">
        <v>185</v>
      </c>
      <c r="L23" s="367" t="s">
        <v>186</v>
      </c>
      <c r="M23" s="534">
        <v>153.01900000000001</v>
      </c>
      <c r="N23" s="535">
        <v>6.24</v>
      </c>
      <c r="O23" s="535">
        <v>954.83856000000003</v>
      </c>
      <c r="P23" s="370">
        <f t="shared" si="0"/>
        <v>954.83856000000003</v>
      </c>
      <c r="Q23" s="358"/>
    </row>
    <row r="24" spans="1:17" ht="15.6" x14ac:dyDescent="0.3">
      <c r="A24" s="347"/>
      <c r="B24" s="361" t="s">
        <v>163</v>
      </c>
      <c r="C24" s="529">
        <v>46086</v>
      </c>
      <c r="D24" s="530">
        <v>524719</v>
      </c>
      <c r="E24" s="531">
        <v>3094</v>
      </c>
      <c r="F24" s="532" t="s">
        <v>382</v>
      </c>
      <c r="G24" s="533">
        <v>46099</v>
      </c>
      <c r="H24" s="530">
        <v>28738</v>
      </c>
      <c r="I24" s="531" t="s">
        <v>195</v>
      </c>
      <c r="J24" s="531" t="s">
        <v>184</v>
      </c>
      <c r="K24" s="531" t="s">
        <v>185</v>
      </c>
      <c r="L24" s="367" t="s">
        <v>186</v>
      </c>
      <c r="M24" s="534">
        <v>85.024000000000001</v>
      </c>
      <c r="N24" s="535">
        <v>6.24</v>
      </c>
      <c r="O24" s="535">
        <v>530.54975999999999</v>
      </c>
      <c r="P24" s="370">
        <f t="shared" si="0"/>
        <v>530.54975999999999</v>
      </c>
      <c r="Q24" s="358"/>
    </row>
    <row r="25" spans="1:17" ht="15.6" x14ac:dyDescent="0.3">
      <c r="A25" s="347"/>
      <c r="B25" s="361" t="s">
        <v>163</v>
      </c>
      <c r="C25" s="529">
        <v>46087</v>
      </c>
      <c r="D25" s="530">
        <v>525008</v>
      </c>
      <c r="E25" s="531">
        <v>3095</v>
      </c>
      <c r="F25" s="532" t="s">
        <v>382</v>
      </c>
      <c r="G25" s="533">
        <v>46099</v>
      </c>
      <c r="H25" s="530">
        <v>28738</v>
      </c>
      <c r="I25" s="531" t="s">
        <v>383</v>
      </c>
      <c r="J25" s="531" t="s">
        <v>184</v>
      </c>
      <c r="K25" s="531" t="s">
        <v>185</v>
      </c>
      <c r="L25" s="367" t="s">
        <v>186</v>
      </c>
      <c r="M25" s="534">
        <v>240.00399999999999</v>
      </c>
      <c r="N25" s="535">
        <v>6.24</v>
      </c>
      <c r="O25" s="535">
        <v>1497.6249600000001</v>
      </c>
      <c r="P25" s="370">
        <f t="shared" si="0"/>
        <v>1497.6249600000001</v>
      </c>
      <c r="Q25" s="358"/>
    </row>
    <row r="26" spans="1:17" ht="15.6" x14ac:dyDescent="0.3">
      <c r="A26" s="347"/>
      <c r="B26" s="361" t="s">
        <v>163</v>
      </c>
      <c r="C26" s="529">
        <v>46087</v>
      </c>
      <c r="D26" s="530">
        <v>525039</v>
      </c>
      <c r="E26" s="531">
        <v>3096</v>
      </c>
      <c r="F26" s="532" t="s">
        <v>382</v>
      </c>
      <c r="G26" s="533">
        <v>46099</v>
      </c>
      <c r="H26" s="530">
        <v>28738</v>
      </c>
      <c r="I26" s="531" t="s">
        <v>389</v>
      </c>
      <c r="J26" s="531" t="s">
        <v>184</v>
      </c>
      <c r="K26" s="531" t="s">
        <v>185</v>
      </c>
      <c r="L26" s="367" t="s">
        <v>186</v>
      </c>
      <c r="M26" s="534">
        <v>165.018</v>
      </c>
      <c r="N26" s="535">
        <v>6.24</v>
      </c>
      <c r="O26" s="535">
        <v>1029.7123200000001</v>
      </c>
      <c r="P26" s="370">
        <f t="shared" si="0"/>
        <v>1029.7123200000001</v>
      </c>
      <c r="Q26" s="358"/>
    </row>
    <row r="27" spans="1:17" ht="15.6" x14ac:dyDescent="0.3">
      <c r="A27" s="347"/>
      <c r="B27" s="361" t="s">
        <v>163</v>
      </c>
      <c r="C27" s="529">
        <v>46087</v>
      </c>
      <c r="D27" s="530">
        <v>525076</v>
      </c>
      <c r="E27" s="531">
        <v>3097</v>
      </c>
      <c r="F27" s="532" t="s">
        <v>382</v>
      </c>
      <c r="G27" s="533">
        <v>46099</v>
      </c>
      <c r="H27" s="530">
        <v>28738</v>
      </c>
      <c r="I27" s="531" t="s">
        <v>387</v>
      </c>
      <c r="J27" s="531" t="s">
        <v>184</v>
      </c>
      <c r="K27" s="531" t="s">
        <v>185</v>
      </c>
      <c r="L27" s="367" t="s">
        <v>186</v>
      </c>
      <c r="M27" s="534">
        <v>27.268000000000001</v>
      </c>
      <c r="N27" s="535">
        <v>6.24</v>
      </c>
      <c r="O27" s="535">
        <v>170.15232</v>
      </c>
      <c r="P27" s="370">
        <f t="shared" si="0"/>
        <v>170.15232</v>
      </c>
      <c r="Q27" s="358"/>
    </row>
    <row r="28" spans="1:17" ht="15.6" x14ac:dyDescent="0.3">
      <c r="A28" s="347"/>
      <c r="B28" s="361" t="s">
        <v>163</v>
      </c>
      <c r="C28" s="529">
        <v>46087</v>
      </c>
      <c r="D28" s="530">
        <v>525076</v>
      </c>
      <c r="E28" s="531">
        <v>3098</v>
      </c>
      <c r="F28" s="532" t="s">
        <v>382</v>
      </c>
      <c r="G28" s="533">
        <v>46099</v>
      </c>
      <c r="H28" s="530">
        <v>28738</v>
      </c>
      <c r="I28" s="531" t="s">
        <v>387</v>
      </c>
      <c r="J28" s="531" t="s">
        <v>184</v>
      </c>
      <c r="K28" s="531" t="s">
        <v>188</v>
      </c>
      <c r="L28" s="367" t="s">
        <v>186</v>
      </c>
      <c r="M28" s="534">
        <v>105.09099999999999</v>
      </c>
      <c r="N28" s="535">
        <v>6.04</v>
      </c>
      <c r="O28" s="535">
        <v>634.74964</v>
      </c>
      <c r="P28" s="370">
        <f t="shared" si="0"/>
        <v>634.74964</v>
      </c>
      <c r="Q28" s="358"/>
    </row>
    <row r="29" spans="1:17" ht="15.6" x14ac:dyDescent="0.3">
      <c r="A29" s="347"/>
      <c r="B29" s="361" t="s">
        <v>163</v>
      </c>
      <c r="C29" s="529">
        <v>46087</v>
      </c>
      <c r="D29" s="530">
        <v>525247</v>
      </c>
      <c r="E29" s="531">
        <v>3099</v>
      </c>
      <c r="F29" s="532" t="s">
        <v>382</v>
      </c>
      <c r="G29" s="533">
        <v>46099</v>
      </c>
      <c r="H29" s="530">
        <v>28738</v>
      </c>
      <c r="I29" s="531" t="s">
        <v>388</v>
      </c>
      <c r="J29" s="531" t="s">
        <v>184</v>
      </c>
      <c r="K29" s="531" t="s">
        <v>185</v>
      </c>
      <c r="L29" s="367" t="s">
        <v>186</v>
      </c>
      <c r="M29" s="534">
        <v>98.072000000000003</v>
      </c>
      <c r="N29" s="535">
        <v>6.24</v>
      </c>
      <c r="O29" s="535">
        <v>611.96928000000003</v>
      </c>
      <c r="P29" s="370">
        <f t="shared" si="0"/>
        <v>611.96928000000003</v>
      </c>
      <c r="Q29" s="358"/>
    </row>
    <row r="30" spans="1:17" ht="15.6" x14ac:dyDescent="0.3">
      <c r="A30" s="347"/>
      <c r="B30" s="361" t="s">
        <v>163</v>
      </c>
      <c r="C30" s="529">
        <v>46087</v>
      </c>
      <c r="D30" s="530">
        <v>525387</v>
      </c>
      <c r="E30" s="531">
        <v>3100</v>
      </c>
      <c r="F30" s="532" t="s">
        <v>382</v>
      </c>
      <c r="G30" s="533">
        <v>46099</v>
      </c>
      <c r="H30" s="530">
        <v>28738</v>
      </c>
      <c r="I30" s="531" t="s">
        <v>194</v>
      </c>
      <c r="J30" s="531" t="s">
        <v>184</v>
      </c>
      <c r="K30" s="531" t="s">
        <v>185</v>
      </c>
      <c r="L30" s="367" t="s">
        <v>186</v>
      </c>
      <c r="M30" s="534">
        <v>181.898</v>
      </c>
      <c r="N30" s="535">
        <v>6.54</v>
      </c>
      <c r="O30" s="535">
        <v>1189.61292</v>
      </c>
      <c r="P30" s="370">
        <f t="shared" si="0"/>
        <v>1189.61292</v>
      </c>
      <c r="Q30" s="358"/>
    </row>
    <row r="31" spans="1:17" ht="15.6" x14ac:dyDescent="0.3">
      <c r="A31" s="347"/>
      <c r="B31" s="361" t="s">
        <v>163</v>
      </c>
      <c r="C31" s="529">
        <v>46090</v>
      </c>
      <c r="D31" s="530">
        <v>526743</v>
      </c>
      <c r="E31" s="531">
        <v>3110</v>
      </c>
      <c r="F31" s="532" t="s">
        <v>382</v>
      </c>
      <c r="G31" s="533">
        <v>46099</v>
      </c>
      <c r="H31" s="530">
        <v>28738</v>
      </c>
      <c r="I31" s="531" t="s">
        <v>195</v>
      </c>
      <c r="J31" s="531" t="s">
        <v>184</v>
      </c>
      <c r="K31" s="531" t="s">
        <v>185</v>
      </c>
      <c r="L31" s="367" t="s">
        <v>186</v>
      </c>
      <c r="M31" s="534">
        <v>84.013999999999996</v>
      </c>
      <c r="N31" s="535">
        <v>6.69</v>
      </c>
      <c r="O31" s="535">
        <v>562.05366000000004</v>
      </c>
      <c r="P31" s="370">
        <f t="shared" si="0"/>
        <v>562.05366000000004</v>
      </c>
      <c r="Q31" s="358"/>
    </row>
    <row r="32" spans="1:17" ht="15.6" x14ac:dyDescent="0.3">
      <c r="A32" s="347"/>
      <c r="B32" s="361" t="s">
        <v>163</v>
      </c>
      <c r="C32" s="529">
        <v>46094</v>
      </c>
      <c r="D32" s="530">
        <v>528368</v>
      </c>
      <c r="E32" s="531">
        <v>3116</v>
      </c>
      <c r="F32" s="532" t="s">
        <v>382</v>
      </c>
      <c r="G32" s="533">
        <v>46099</v>
      </c>
      <c r="H32" s="530">
        <v>28738</v>
      </c>
      <c r="I32" s="531" t="s">
        <v>131</v>
      </c>
      <c r="J32" s="531" t="s">
        <v>184</v>
      </c>
      <c r="K32" s="531" t="s">
        <v>185</v>
      </c>
      <c r="L32" s="367" t="s">
        <v>186</v>
      </c>
      <c r="M32" s="534">
        <v>185.99600000000001</v>
      </c>
      <c r="N32" s="535">
        <v>6.94</v>
      </c>
      <c r="O32" s="535">
        <v>1290.8122400000002</v>
      </c>
      <c r="P32" s="370">
        <f t="shared" si="0"/>
        <v>1290.8122400000002</v>
      </c>
      <c r="Q32" s="358"/>
    </row>
    <row r="33" spans="1:17" ht="15.6" x14ac:dyDescent="0.3">
      <c r="A33" s="347"/>
      <c r="B33" s="361" t="s">
        <v>163</v>
      </c>
      <c r="C33" s="529">
        <v>46100</v>
      </c>
      <c r="D33" s="530">
        <v>917309</v>
      </c>
      <c r="E33" s="531">
        <v>3121</v>
      </c>
      <c r="F33" s="532" t="s">
        <v>382</v>
      </c>
      <c r="G33" s="533">
        <v>46104</v>
      </c>
      <c r="H33" s="530">
        <v>8475</v>
      </c>
      <c r="I33" s="531" t="s">
        <v>390</v>
      </c>
      <c r="J33" s="531" t="s">
        <v>184</v>
      </c>
      <c r="K33" s="531" t="s">
        <v>185</v>
      </c>
      <c r="L33" s="367" t="s">
        <v>186</v>
      </c>
      <c r="M33" s="534">
        <v>200</v>
      </c>
      <c r="N33" s="535">
        <v>7.99</v>
      </c>
      <c r="O33" s="535">
        <v>1598</v>
      </c>
      <c r="P33" s="370">
        <f t="shared" si="0"/>
        <v>1598</v>
      </c>
      <c r="Q33" s="358"/>
    </row>
    <row r="34" spans="1:17" ht="15.6" x14ac:dyDescent="0.3">
      <c r="A34" s="347"/>
      <c r="B34" s="361" t="s">
        <v>163</v>
      </c>
      <c r="C34" s="529">
        <v>46104</v>
      </c>
      <c r="D34" s="530">
        <v>472766</v>
      </c>
      <c r="E34" s="531">
        <v>3128</v>
      </c>
      <c r="F34" s="532" t="s">
        <v>382</v>
      </c>
      <c r="G34" s="533">
        <v>46111</v>
      </c>
      <c r="H34" s="530">
        <v>13651</v>
      </c>
      <c r="I34" s="531" t="s">
        <v>391</v>
      </c>
      <c r="J34" s="531" t="s">
        <v>184</v>
      </c>
      <c r="K34" s="531" t="s">
        <v>188</v>
      </c>
      <c r="L34" s="367" t="s">
        <v>186</v>
      </c>
      <c r="M34" s="534">
        <v>180</v>
      </c>
      <c r="N34" s="535">
        <v>7.49</v>
      </c>
      <c r="O34" s="535">
        <v>1348.2</v>
      </c>
      <c r="P34" s="370">
        <f t="shared" si="0"/>
        <v>1348.2</v>
      </c>
      <c r="Q34" s="358"/>
    </row>
    <row r="35" spans="1:17" ht="15.6" x14ac:dyDescent="0.3">
      <c r="A35" s="347"/>
      <c r="B35" s="361" t="s">
        <v>163</v>
      </c>
      <c r="C35" s="529">
        <v>46106</v>
      </c>
      <c r="D35" s="530">
        <v>473782</v>
      </c>
      <c r="E35" s="531">
        <v>3134</v>
      </c>
      <c r="F35" s="532" t="s">
        <v>382</v>
      </c>
      <c r="G35" s="533">
        <v>46111</v>
      </c>
      <c r="H35" s="530">
        <v>13651</v>
      </c>
      <c r="I35" s="531" t="s">
        <v>392</v>
      </c>
      <c r="J35" s="531" t="s">
        <v>184</v>
      </c>
      <c r="K35" s="531" t="s">
        <v>188</v>
      </c>
      <c r="L35" s="367" t="s">
        <v>186</v>
      </c>
      <c r="M35" s="534">
        <v>140.006</v>
      </c>
      <c r="N35" s="535">
        <v>7.49</v>
      </c>
      <c r="O35" s="535">
        <v>1048.6400000000001</v>
      </c>
      <c r="P35" s="370">
        <f t="shared" si="0"/>
        <v>1048.6449400000001</v>
      </c>
      <c r="Q35" s="358"/>
    </row>
    <row r="36" spans="1:17" ht="15.6" x14ac:dyDescent="0.3">
      <c r="A36" s="347"/>
      <c r="B36" s="361" t="s">
        <v>163</v>
      </c>
      <c r="C36" s="371">
        <v>46108</v>
      </c>
      <c r="D36" s="372">
        <v>474761</v>
      </c>
      <c r="E36" s="373">
        <v>3171</v>
      </c>
      <c r="F36" s="532" t="s">
        <v>382</v>
      </c>
      <c r="G36" s="371">
        <v>46111</v>
      </c>
      <c r="H36" s="373">
        <v>13651</v>
      </c>
      <c r="I36" s="371" t="s">
        <v>392</v>
      </c>
      <c r="J36" s="371" t="s">
        <v>184</v>
      </c>
      <c r="K36" s="371" t="s">
        <v>188</v>
      </c>
      <c r="L36" s="367" t="s">
        <v>186</v>
      </c>
      <c r="M36" s="374">
        <v>150.00899999999999</v>
      </c>
      <c r="N36" s="375">
        <v>7.49</v>
      </c>
      <c r="O36" s="375">
        <v>1123.56</v>
      </c>
      <c r="P36" s="370">
        <f t="shared" si="0"/>
        <v>1123.5674099999999</v>
      </c>
      <c r="Q36" s="358"/>
    </row>
    <row r="37" spans="1:17" ht="15.6" x14ac:dyDescent="0.3">
      <c r="A37" s="347"/>
      <c r="B37" s="361" t="s">
        <v>163</v>
      </c>
      <c r="C37" s="371">
        <v>46097</v>
      </c>
      <c r="D37" s="372">
        <v>529570</v>
      </c>
      <c r="E37" s="373">
        <v>3205</v>
      </c>
      <c r="F37" s="532" t="s">
        <v>382</v>
      </c>
      <c r="G37" s="371">
        <v>46114</v>
      </c>
      <c r="H37" s="373">
        <v>29462</v>
      </c>
      <c r="I37" s="371" t="s">
        <v>127</v>
      </c>
      <c r="J37" s="371" t="s">
        <v>184</v>
      </c>
      <c r="K37" s="371" t="s">
        <v>188</v>
      </c>
      <c r="L37" s="367" t="s">
        <v>186</v>
      </c>
      <c r="M37" s="374">
        <v>200.00700000000001</v>
      </c>
      <c r="N37" s="375">
        <v>7.14</v>
      </c>
      <c r="O37" s="375">
        <v>1428.04998</v>
      </c>
      <c r="P37" s="370">
        <f t="shared" si="0"/>
        <v>1428.04998</v>
      </c>
      <c r="Q37" s="358"/>
    </row>
    <row r="38" spans="1:17" ht="15.6" x14ac:dyDescent="0.3">
      <c r="A38" s="347"/>
      <c r="B38" s="361" t="s">
        <v>163</v>
      </c>
      <c r="C38" s="533">
        <v>46097</v>
      </c>
      <c r="D38" s="530">
        <v>529596</v>
      </c>
      <c r="E38" s="531">
        <v>3206</v>
      </c>
      <c r="F38" s="532" t="s">
        <v>382</v>
      </c>
      <c r="G38" s="533">
        <v>46114</v>
      </c>
      <c r="H38" s="530">
        <v>29462</v>
      </c>
      <c r="I38" s="531" t="s">
        <v>99</v>
      </c>
      <c r="J38" s="371" t="s">
        <v>184</v>
      </c>
      <c r="K38" s="531" t="s">
        <v>185</v>
      </c>
      <c r="L38" s="367" t="s">
        <v>186</v>
      </c>
      <c r="M38" s="536">
        <v>130.25800000000001</v>
      </c>
      <c r="N38" s="535">
        <v>7.24</v>
      </c>
      <c r="O38" s="535">
        <v>943.06792000000007</v>
      </c>
      <c r="P38" s="370">
        <f t="shared" si="0"/>
        <v>943.06792000000007</v>
      </c>
      <c r="Q38" s="358"/>
    </row>
    <row r="39" spans="1:17" ht="15.6" x14ac:dyDescent="0.3">
      <c r="A39" s="347"/>
      <c r="B39" s="361" t="s">
        <v>163</v>
      </c>
      <c r="C39" s="533">
        <v>46097</v>
      </c>
      <c r="D39" s="530">
        <v>529631</v>
      </c>
      <c r="E39" s="531">
        <v>3207</v>
      </c>
      <c r="F39" s="532" t="s">
        <v>382</v>
      </c>
      <c r="G39" s="533">
        <v>46114</v>
      </c>
      <c r="H39" s="530">
        <v>29462</v>
      </c>
      <c r="I39" s="531" t="s">
        <v>393</v>
      </c>
      <c r="J39" s="371" t="s">
        <v>184</v>
      </c>
      <c r="K39" s="531" t="s">
        <v>188</v>
      </c>
      <c r="L39" s="367" t="s">
        <v>186</v>
      </c>
      <c r="M39" s="536">
        <v>150</v>
      </c>
      <c r="N39" s="535">
        <v>7.14</v>
      </c>
      <c r="O39" s="535">
        <v>1071</v>
      </c>
      <c r="P39" s="370">
        <f t="shared" si="0"/>
        <v>1071</v>
      </c>
      <c r="Q39" s="358"/>
    </row>
    <row r="40" spans="1:17" ht="15.6" x14ac:dyDescent="0.3">
      <c r="A40" s="347"/>
      <c r="B40" s="361" t="s">
        <v>163</v>
      </c>
      <c r="C40" s="533">
        <v>46097</v>
      </c>
      <c r="D40" s="530">
        <v>529654</v>
      </c>
      <c r="E40" s="531">
        <v>3208</v>
      </c>
      <c r="F40" s="532" t="s">
        <v>382</v>
      </c>
      <c r="G40" s="533">
        <v>46114</v>
      </c>
      <c r="H40" s="530">
        <v>29462</v>
      </c>
      <c r="I40" s="531" t="s">
        <v>393</v>
      </c>
      <c r="J40" s="371" t="s">
        <v>184</v>
      </c>
      <c r="K40" s="531" t="s">
        <v>188</v>
      </c>
      <c r="L40" s="367" t="s">
        <v>186</v>
      </c>
      <c r="M40" s="536">
        <v>166.899</v>
      </c>
      <c r="N40" s="535">
        <v>7.14</v>
      </c>
      <c r="O40" s="535">
        <v>1191.65886</v>
      </c>
      <c r="P40" s="370">
        <f t="shared" si="0"/>
        <v>1191.65886</v>
      </c>
      <c r="Q40" s="358"/>
    </row>
    <row r="41" spans="1:17" ht="15.6" x14ac:dyDescent="0.3">
      <c r="A41" s="347"/>
      <c r="B41" s="361" t="s">
        <v>163</v>
      </c>
      <c r="C41" s="533">
        <v>46097</v>
      </c>
      <c r="D41" s="530">
        <v>529752</v>
      </c>
      <c r="E41" s="531">
        <v>3209</v>
      </c>
      <c r="F41" s="532" t="s">
        <v>382</v>
      </c>
      <c r="G41" s="533">
        <v>46114</v>
      </c>
      <c r="H41" s="530">
        <v>29462</v>
      </c>
      <c r="I41" s="531" t="s">
        <v>394</v>
      </c>
      <c r="J41" s="371" t="s">
        <v>184</v>
      </c>
      <c r="K41" s="531" t="s">
        <v>185</v>
      </c>
      <c r="L41" s="367" t="s">
        <v>186</v>
      </c>
      <c r="M41" s="536">
        <v>146.05099999999999</v>
      </c>
      <c r="N41" s="535">
        <v>7.24</v>
      </c>
      <c r="O41" s="535">
        <v>1057.40924</v>
      </c>
      <c r="P41" s="370">
        <f t="shared" si="0"/>
        <v>1057.40924</v>
      </c>
      <c r="Q41" s="358"/>
    </row>
    <row r="42" spans="1:17" ht="15.6" x14ac:dyDescent="0.3">
      <c r="A42" s="347"/>
      <c r="B42" s="361" t="s">
        <v>163</v>
      </c>
      <c r="C42" s="533">
        <v>46097</v>
      </c>
      <c r="D42" s="530">
        <v>529767</v>
      </c>
      <c r="E42" s="531">
        <v>3210</v>
      </c>
      <c r="F42" s="532" t="s">
        <v>382</v>
      </c>
      <c r="G42" s="533">
        <v>46114</v>
      </c>
      <c r="H42" s="530">
        <v>29462</v>
      </c>
      <c r="I42" s="531" t="s">
        <v>77</v>
      </c>
      <c r="J42" s="371" t="s">
        <v>184</v>
      </c>
      <c r="K42" s="531" t="s">
        <v>188</v>
      </c>
      <c r="L42" s="367" t="s">
        <v>186</v>
      </c>
      <c r="M42" s="536">
        <v>125</v>
      </c>
      <c r="N42" s="535">
        <v>7.14</v>
      </c>
      <c r="O42" s="535">
        <v>892.5</v>
      </c>
      <c r="P42" s="370">
        <f t="shared" si="0"/>
        <v>892.5</v>
      </c>
      <c r="Q42" s="358"/>
    </row>
    <row r="43" spans="1:17" ht="15.6" x14ac:dyDescent="0.3">
      <c r="A43" s="347"/>
      <c r="B43" s="361" t="s">
        <v>163</v>
      </c>
      <c r="C43" s="533">
        <v>46098</v>
      </c>
      <c r="D43" s="530">
        <v>530106</v>
      </c>
      <c r="E43" s="531">
        <v>3211</v>
      </c>
      <c r="F43" s="532" t="s">
        <v>382</v>
      </c>
      <c r="G43" s="533">
        <v>46114</v>
      </c>
      <c r="H43" s="530">
        <v>29462</v>
      </c>
      <c r="I43" s="531" t="s">
        <v>127</v>
      </c>
      <c r="J43" s="371" t="s">
        <v>184</v>
      </c>
      <c r="K43" s="531" t="s">
        <v>188</v>
      </c>
      <c r="L43" s="367" t="s">
        <v>186</v>
      </c>
      <c r="M43" s="536">
        <v>203.01900000000001</v>
      </c>
      <c r="N43" s="535">
        <v>7.44</v>
      </c>
      <c r="O43" s="535">
        <v>1510.46136</v>
      </c>
      <c r="P43" s="370">
        <f t="shared" si="0"/>
        <v>1510.46136</v>
      </c>
      <c r="Q43" s="358"/>
    </row>
    <row r="44" spans="1:17" ht="15.6" x14ac:dyDescent="0.3">
      <c r="A44" s="347"/>
      <c r="B44" s="361" t="s">
        <v>163</v>
      </c>
      <c r="C44" s="533">
        <v>46100</v>
      </c>
      <c r="D44" s="530">
        <v>530794</v>
      </c>
      <c r="E44" s="531">
        <v>3214</v>
      </c>
      <c r="F44" s="532" t="s">
        <v>382</v>
      </c>
      <c r="G44" s="533">
        <v>46114</v>
      </c>
      <c r="H44" s="530">
        <v>29462</v>
      </c>
      <c r="I44" s="531" t="s">
        <v>131</v>
      </c>
      <c r="J44" s="371" t="s">
        <v>184</v>
      </c>
      <c r="K44" s="531" t="s">
        <v>185</v>
      </c>
      <c r="L44" s="367" t="s">
        <v>186</v>
      </c>
      <c r="M44" s="536">
        <v>119.768</v>
      </c>
      <c r="N44" s="535">
        <v>7.44</v>
      </c>
      <c r="O44" s="535">
        <v>891.07392000000004</v>
      </c>
      <c r="P44" s="370">
        <f t="shared" si="0"/>
        <v>891.07392000000004</v>
      </c>
      <c r="Q44" s="358"/>
    </row>
    <row r="45" spans="1:17" ht="15.6" x14ac:dyDescent="0.3">
      <c r="A45" s="347"/>
      <c r="B45" s="361" t="s">
        <v>163</v>
      </c>
      <c r="C45" s="533">
        <v>46101</v>
      </c>
      <c r="D45" s="530">
        <v>531458</v>
      </c>
      <c r="E45" s="531">
        <v>3218</v>
      </c>
      <c r="F45" s="532" t="s">
        <v>382</v>
      </c>
      <c r="G45" s="533">
        <v>46114</v>
      </c>
      <c r="H45" s="530">
        <v>29462</v>
      </c>
      <c r="I45" s="531" t="s">
        <v>101</v>
      </c>
      <c r="J45" s="371" t="s">
        <v>184</v>
      </c>
      <c r="K45" s="531" t="s">
        <v>185</v>
      </c>
      <c r="L45" s="367" t="s">
        <v>186</v>
      </c>
      <c r="M45" s="536">
        <v>160.00800000000001</v>
      </c>
      <c r="N45" s="535">
        <v>7.44</v>
      </c>
      <c r="O45" s="535">
        <v>1190.4595200000001</v>
      </c>
      <c r="P45" s="370">
        <f t="shared" si="0"/>
        <v>1190.4595200000001</v>
      </c>
      <c r="Q45" s="358"/>
    </row>
    <row r="46" spans="1:17" ht="15.6" x14ac:dyDescent="0.3">
      <c r="A46" s="347"/>
      <c r="B46" s="361" t="s">
        <v>163</v>
      </c>
      <c r="C46" s="533">
        <v>46102</v>
      </c>
      <c r="D46" s="530">
        <v>531740</v>
      </c>
      <c r="E46" s="531">
        <v>3220</v>
      </c>
      <c r="F46" s="532" t="s">
        <v>382</v>
      </c>
      <c r="G46" s="533">
        <v>46114</v>
      </c>
      <c r="H46" s="530">
        <v>29462</v>
      </c>
      <c r="I46" s="531" t="s">
        <v>127</v>
      </c>
      <c r="J46" s="371" t="s">
        <v>184</v>
      </c>
      <c r="K46" s="531" t="s">
        <v>188</v>
      </c>
      <c r="L46" s="367" t="s">
        <v>186</v>
      </c>
      <c r="M46" s="536">
        <v>111.515</v>
      </c>
      <c r="N46" s="535">
        <v>7.34</v>
      </c>
      <c r="O46" s="535">
        <v>818.52009999999996</v>
      </c>
      <c r="P46" s="370">
        <f t="shared" si="0"/>
        <v>818.52009999999996</v>
      </c>
      <c r="Q46" s="358"/>
    </row>
    <row r="47" spans="1:17" ht="15.6" x14ac:dyDescent="0.3">
      <c r="A47" s="347"/>
      <c r="B47" s="361" t="s">
        <v>163</v>
      </c>
      <c r="C47" s="533">
        <v>46104</v>
      </c>
      <c r="D47" s="530">
        <v>532566</v>
      </c>
      <c r="E47" s="531">
        <v>3222</v>
      </c>
      <c r="F47" s="532" t="s">
        <v>382</v>
      </c>
      <c r="G47" s="533">
        <v>46114</v>
      </c>
      <c r="H47" s="530">
        <v>29462</v>
      </c>
      <c r="I47" s="531" t="s">
        <v>395</v>
      </c>
      <c r="J47" s="371" t="s">
        <v>184</v>
      </c>
      <c r="K47" s="531" t="s">
        <v>185</v>
      </c>
      <c r="L47" s="367" t="s">
        <v>186</v>
      </c>
      <c r="M47" s="536">
        <v>247.934</v>
      </c>
      <c r="N47" s="535">
        <v>7.44</v>
      </c>
      <c r="O47" s="535">
        <v>1844.62896</v>
      </c>
      <c r="P47" s="370">
        <f t="shared" si="0"/>
        <v>1844.62896</v>
      </c>
      <c r="Q47" s="358"/>
    </row>
    <row r="48" spans="1:17" ht="15.6" x14ac:dyDescent="0.3">
      <c r="A48" s="347"/>
      <c r="B48" s="361" t="s">
        <v>163</v>
      </c>
      <c r="C48" s="533">
        <v>46104</v>
      </c>
      <c r="D48" s="530">
        <v>532667</v>
      </c>
      <c r="E48" s="531">
        <v>3224</v>
      </c>
      <c r="F48" s="532" t="s">
        <v>382</v>
      </c>
      <c r="G48" s="533">
        <v>46114</v>
      </c>
      <c r="H48" s="530">
        <v>29462</v>
      </c>
      <c r="I48" s="531" t="s">
        <v>97</v>
      </c>
      <c r="J48" s="371" t="s">
        <v>184</v>
      </c>
      <c r="K48" s="531" t="s">
        <v>185</v>
      </c>
      <c r="L48" s="367" t="s">
        <v>186</v>
      </c>
      <c r="M48" s="536">
        <v>165.017</v>
      </c>
      <c r="N48" s="535">
        <v>7.44</v>
      </c>
      <c r="O48" s="535">
        <v>1227.72648</v>
      </c>
      <c r="P48" s="370">
        <f t="shared" si="0"/>
        <v>1227.72648</v>
      </c>
      <c r="Q48" s="358"/>
    </row>
    <row r="49" spans="1:17" ht="15.6" x14ac:dyDescent="0.3">
      <c r="A49" s="347"/>
      <c r="B49" s="361" t="s">
        <v>163</v>
      </c>
      <c r="C49" s="533">
        <v>46104</v>
      </c>
      <c r="D49" s="530">
        <v>532674</v>
      </c>
      <c r="E49" s="531">
        <v>3225</v>
      </c>
      <c r="F49" s="532" t="s">
        <v>382</v>
      </c>
      <c r="G49" s="533">
        <v>46114</v>
      </c>
      <c r="H49" s="530">
        <v>29462</v>
      </c>
      <c r="I49" s="531" t="s">
        <v>396</v>
      </c>
      <c r="J49" s="371" t="s">
        <v>184</v>
      </c>
      <c r="K49" s="531" t="s">
        <v>188</v>
      </c>
      <c r="L49" s="367" t="s">
        <v>186</v>
      </c>
      <c r="M49" s="536">
        <v>250.00299999999999</v>
      </c>
      <c r="N49" s="535">
        <v>7.34</v>
      </c>
      <c r="O49" s="535">
        <v>1835.0220199999999</v>
      </c>
      <c r="P49" s="370">
        <f t="shared" si="0"/>
        <v>1835.0220199999999</v>
      </c>
      <c r="Q49" s="358"/>
    </row>
    <row r="50" spans="1:17" ht="15.6" x14ac:dyDescent="0.3">
      <c r="A50" s="347"/>
      <c r="B50" s="361" t="s">
        <v>163</v>
      </c>
      <c r="C50" s="533">
        <v>46105</v>
      </c>
      <c r="D50" s="530">
        <v>532874</v>
      </c>
      <c r="E50" s="531">
        <v>3228</v>
      </c>
      <c r="F50" s="532" t="s">
        <v>382</v>
      </c>
      <c r="G50" s="533">
        <v>46114</v>
      </c>
      <c r="H50" s="530">
        <v>29462</v>
      </c>
      <c r="I50" s="531" t="s">
        <v>397</v>
      </c>
      <c r="J50" s="371" t="s">
        <v>184</v>
      </c>
      <c r="K50" s="531" t="s">
        <v>185</v>
      </c>
      <c r="L50" s="367" t="s">
        <v>186</v>
      </c>
      <c r="M50" s="536">
        <v>210.006</v>
      </c>
      <c r="N50" s="535">
        <v>7.44</v>
      </c>
      <c r="O50" s="535">
        <v>1562.4446400000002</v>
      </c>
      <c r="P50" s="370">
        <f t="shared" si="0"/>
        <v>1562.4446400000002</v>
      </c>
      <c r="Q50" s="358"/>
    </row>
    <row r="51" spans="1:17" ht="15.6" x14ac:dyDescent="0.3">
      <c r="A51" s="347"/>
      <c r="B51" s="361" t="s">
        <v>163</v>
      </c>
      <c r="C51" s="533">
        <v>46105</v>
      </c>
      <c r="D51" s="530">
        <v>532874</v>
      </c>
      <c r="E51" s="531">
        <v>3229</v>
      </c>
      <c r="F51" s="532" t="s">
        <v>382</v>
      </c>
      <c r="G51" s="533">
        <v>46114</v>
      </c>
      <c r="H51" s="530">
        <v>29462</v>
      </c>
      <c r="I51" s="531" t="s">
        <v>397</v>
      </c>
      <c r="J51" s="371" t="s">
        <v>184</v>
      </c>
      <c r="K51" s="531" t="s">
        <v>188</v>
      </c>
      <c r="L51" s="367" t="s">
        <v>186</v>
      </c>
      <c r="M51" s="536">
        <v>17.016999999999999</v>
      </c>
      <c r="N51" s="535">
        <v>7.34</v>
      </c>
      <c r="O51" s="535">
        <v>124.90477999999999</v>
      </c>
      <c r="P51" s="370">
        <f t="shared" si="0"/>
        <v>124.90477999999999</v>
      </c>
      <c r="Q51" s="358"/>
    </row>
    <row r="52" spans="1:17" ht="15.6" x14ac:dyDescent="0.3">
      <c r="A52" s="347"/>
      <c r="B52" s="361" t="s">
        <v>163</v>
      </c>
      <c r="C52" s="533">
        <v>46106</v>
      </c>
      <c r="D52" s="530">
        <v>533330</v>
      </c>
      <c r="E52" s="531">
        <v>3231</v>
      </c>
      <c r="F52" s="532" t="s">
        <v>382</v>
      </c>
      <c r="G52" s="533">
        <v>46114</v>
      </c>
      <c r="H52" s="530">
        <v>29462</v>
      </c>
      <c r="I52" s="531" t="s">
        <v>398</v>
      </c>
      <c r="J52" s="371" t="s">
        <v>184</v>
      </c>
      <c r="K52" s="531" t="s">
        <v>185</v>
      </c>
      <c r="L52" s="367" t="s">
        <v>186</v>
      </c>
      <c r="M52" s="536">
        <v>187.006</v>
      </c>
      <c r="N52" s="535">
        <v>7.44</v>
      </c>
      <c r="O52" s="535">
        <v>1391.32464</v>
      </c>
      <c r="P52" s="370">
        <f t="shared" si="0"/>
        <v>1391.32464</v>
      </c>
      <c r="Q52" s="358"/>
    </row>
    <row r="53" spans="1:17" ht="15.6" x14ac:dyDescent="0.3">
      <c r="A53" s="347"/>
      <c r="B53" s="361" t="s">
        <v>163</v>
      </c>
      <c r="C53" s="533">
        <v>46106</v>
      </c>
      <c r="D53" s="530">
        <v>533452</v>
      </c>
      <c r="E53" s="531">
        <v>3233</v>
      </c>
      <c r="F53" s="532" t="s">
        <v>382</v>
      </c>
      <c r="G53" s="533">
        <v>46114</v>
      </c>
      <c r="H53" s="530">
        <v>29462</v>
      </c>
      <c r="I53" s="531" t="s">
        <v>399</v>
      </c>
      <c r="J53" s="371" t="s">
        <v>184</v>
      </c>
      <c r="K53" s="531" t="s">
        <v>185</v>
      </c>
      <c r="L53" s="367" t="s">
        <v>186</v>
      </c>
      <c r="M53" s="536">
        <v>300</v>
      </c>
      <c r="N53" s="535">
        <v>7.44</v>
      </c>
      <c r="O53" s="535">
        <v>2232</v>
      </c>
      <c r="P53" s="370">
        <f t="shared" si="0"/>
        <v>2232</v>
      </c>
      <c r="Q53" s="358"/>
    </row>
    <row r="54" spans="1:17" ht="15.6" x14ac:dyDescent="0.3">
      <c r="A54" s="347"/>
      <c r="B54" s="361" t="s">
        <v>163</v>
      </c>
      <c r="C54" s="533">
        <v>46111</v>
      </c>
      <c r="D54" s="530">
        <v>535253</v>
      </c>
      <c r="E54" s="531">
        <v>3242</v>
      </c>
      <c r="F54" s="532" t="s">
        <v>382</v>
      </c>
      <c r="G54" s="533">
        <v>46114</v>
      </c>
      <c r="H54" s="530">
        <v>29462</v>
      </c>
      <c r="I54" s="531" t="s">
        <v>208</v>
      </c>
      <c r="J54" s="371" t="s">
        <v>184</v>
      </c>
      <c r="K54" s="531" t="s">
        <v>185</v>
      </c>
      <c r="L54" s="367" t="s">
        <v>186</v>
      </c>
      <c r="M54" s="536">
        <v>170</v>
      </c>
      <c r="N54" s="535">
        <v>7.34</v>
      </c>
      <c r="O54" s="535">
        <v>1247.8</v>
      </c>
      <c r="P54" s="370">
        <f t="shared" si="0"/>
        <v>1247.8</v>
      </c>
      <c r="Q54" s="358"/>
    </row>
    <row r="55" spans="1:17" ht="15.6" x14ac:dyDescent="0.3">
      <c r="A55" s="347"/>
      <c r="B55" s="361" t="s">
        <v>163</v>
      </c>
      <c r="C55" s="533">
        <v>46111</v>
      </c>
      <c r="D55" s="530">
        <v>535255</v>
      </c>
      <c r="E55" s="531">
        <v>3243</v>
      </c>
      <c r="F55" s="532" t="s">
        <v>382</v>
      </c>
      <c r="G55" s="533">
        <v>46114</v>
      </c>
      <c r="H55" s="530">
        <v>29462</v>
      </c>
      <c r="I55" s="531" t="s">
        <v>400</v>
      </c>
      <c r="J55" s="371" t="s">
        <v>184</v>
      </c>
      <c r="K55" s="531" t="s">
        <v>188</v>
      </c>
      <c r="L55" s="367" t="s">
        <v>186</v>
      </c>
      <c r="M55" s="536">
        <v>110.00700000000001</v>
      </c>
      <c r="N55" s="535">
        <v>7.24</v>
      </c>
      <c r="O55" s="535">
        <v>796.45068000000003</v>
      </c>
      <c r="P55" s="370">
        <f t="shared" si="0"/>
        <v>796.45068000000003</v>
      </c>
      <c r="Q55" s="358"/>
    </row>
    <row r="56" spans="1:17" ht="15.6" x14ac:dyDescent="0.3">
      <c r="A56" s="347"/>
      <c r="B56" s="361" t="s">
        <v>163</v>
      </c>
      <c r="C56" s="533">
        <v>46111</v>
      </c>
      <c r="D56" s="530">
        <v>535256</v>
      </c>
      <c r="E56" s="531">
        <v>3244</v>
      </c>
      <c r="F56" s="532" t="s">
        <v>382</v>
      </c>
      <c r="G56" s="533">
        <v>46114</v>
      </c>
      <c r="H56" s="530">
        <v>29462</v>
      </c>
      <c r="I56" s="531" t="s">
        <v>401</v>
      </c>
      <c r="J56" s="371" t="s">
        <v>184</v>
      </c>
      <c r="K56" s="531" t="s">
        <v>188</v>
      </c>
      <c r="L56" s="367" t="s">
        <v>186</v>
      </c>
      <c r="M56" s="536">
        <v>210.01</v>
      </c>
      <c r="N56" s="535">
        <v>7.24</v>
      </c>
      <c r="O56" s="535">
        <v>1520.4723999999999</v>
      </c>
      <c r="P56" s="370">
        <f t="shared" si="0"/>
        <v>1520.4723999999999</v>
      </c>
      <c r="Q56" s="358"/>
    </row>
    <row r="57" spans="1:17" ht="15.6" x14ac:dyDescent="0.3">
      <c r="A57" s="347"/>
      <c r="B57" s="361" t="s">
        <v>163</v>
      </c>
      <c r="C57" s="533">
        <v>46111</v>
      </c>
      <c r="D57" s="530">
        <v>535277</v>
      </c>
      <c r="E57" s="531">
        <v>3245</v>
      </c>
      <c r="F57" s="532" t="s">
        <v>382</v>
      </c>
      <c r="G57" s="533">
        <v>46114</v>
      </c>
      <c r="H57" s="530">
        <v>29462</v>
      </c>
      <c r="I57" s="531" t="s">
        <v>402</v>
      </c>
      <c r="J57" s="371" t="s">
        <v>184</v>
      </c>
      <c r="K57" s="531" t="s">
        <v>185</v>
      </c>
      <c r="L57" s="367" t="s">
        <v>186</v>
      </c>
      <c r="M57" s="536">
        <v>344.00400000000002</v>
      </c>
      <c r="N57" s="535">
        <v>7.34</v>
      </c>
      <c r="O57" s="535">
        <v>2524.98936</v>
      </c>
      <c r="P57" s="370">
        <f t="shared" si="0"/>
        <v>2524.98936</v>
      </c>
      <c r="Q57" s="358"/>
    </row>
    <row r="58" spans="1:17" ht="15.6" x14ac:dyDescent="0.3">
      <c r="A58" s="347"/>
      <c r="B58" s="377"/>
      <c r="C58" s="533"/>
      <c r="D58" s="530"/>
      <c r="E58" s="531"/>
      <c r="F58" s="365"/>
      <c r="G58" s="533"/>
      <c r="H58" s="530"/>
      <c r="I58" s="531"/>
      <c r="J58" s="531"/>
      <c r="K58" s="531"/>
      <c r="L58" s="367"/>
      <c r="M58" s="536"/>
      <c r="N58" s="535"/>
      <c r="O58" s="535"/>
      <c r="P58" s="370"/>
      <c r="Q58" s="358"/>
    </row>
    <row r="59" spans="1:17" ht="15.6" x14ac:dyDescent="0.3">
      <c r="A59" s="347"/>
      <c r="B59" s="494"/>
      <c r="C59" s="537"/>
      <c r="D59" s="538"/>
      <c r="E59" s="539"/>
      <c r="F59" s="540"/>
      <c r="G59" s="537"/>
      <c r="H59" s="538"/>
      <c r="I59" s="539"/>
      <c r="J59" s="539"/>
      <c r="K59" s="539"/>
      <c r="L59" s="541"/>
      <c r="M59" s="542"/>
      <c r="N59" s="543"/>
      <c r="O59" s="543"/>
      <c r="P59" s="526"/>
      <c r="Q59" s="358"/>
    </row>
    <row r="60" spans="1:17" ht="21.6" thickBot="1" x14ac:dyDescent="0.35">
      <c r="A60" s="359"/>
      <c r="B60" s="544"/>
      <c r="C60" s="545"/>
      <c r="D60" s="545"/>
      <c r="E60" s="545"/>
      <c r="F60" s="545"/>
      <c r="G60" s="545"/>
      <c r="H60" s="545"/>
      <c r="I60" s="545"/>
      <c r="J60" s="545"/>
      <c r="K60" s="545"/>
      <c r="L60" s="545"/>
      <c r="M60" s="545"/>
      <c r="N60" s="545"/>
      <c r="O60" s="546"/>
      <c r="P60" s="547"/>
      <c r="Q60" s="360"/>
    </row>
    <row r="61" spans="1:17" ht="21.6" thickBot="1" x14ac:dyDescent="0.35">
      <c r="A61" s="359"/>
      <c r="B61" s="841" t="s">
        <v>45</v>
      </c>
      <c r="C61" s="842"/>
      <c r="D61" s="842"/>
      <c r="E61" s="842"/>
      <c r="F61" s="842"/>
      <c r="G61" s="842"/>
      <c r="H61" s="842"/>
      <c r="I61" s="842"/>
      <c r="J61" s="842"/>
      <c r="K61" s="842"/>
      <c r="L61" s="842"/>
      <c r="M61" s="842"/>
      <c r="N61" s="842"/>
      <c r="O61" s="527">
        <f>SUM(O9:O60)</f>
        <v>55411.249629999998</v>
      </c>
      <c r="P61" s="528">
        <f>SUM(P9:P60)</f>
        <v>55411.251980000001</v>
      </c>
      <c r="Q61" s="360"/>
    </row>
    <row r="62" spans="1:17" ht="21.6" thickBot="1" x14ac:dyDescent="0.45">
      <c r="A62" s="359"/>
      <c r="B62" s="791"/>
      <c r="C62" s="792"/>
      <c r="D62" s="792"/>
      <c r="E62" s="792"/>
      <c r="F62" s="792"/>
      <c r="G62" s="792"/>
      <c r="H62" s="792"/>
      <c r="I62" s="792"/>
      <c r="J62" s="792"/>
      <c r="K62" s="792"/>
      <c r="L62" s="792"/>
      <c r="M62" s="792"/>
      <c r="N62" s="792"/>
      <c r="O62" s="792"/>
      <c r="P62" s="793"/>
      <c r="Q62" s="360"/>
    </row>
    <row r="63" spans="1:17" ht="21.6" thickBot="1" x14ac:dyDescent="0.45">
      <c r="A63" s="359"/>
      <c r="B63" s="794"/>
      <c r="C63" s="795"/>
      <c r="D63" s="795"/>
      <c r="E63" s="795"/>
      <c r="F63" s="795"/>
      <c r="G63" s="795"/>
      <c r="H63" s="795"/>
      <c r="I63" s="795"/>
      <c r="J63" s="795"/>
      <c r="K63" s="795"/>
      <c r="L63" s="795"/>
      <c r="M63" s="795"/>
      <c r="N63" s="795"/>
      <c r="O63" s="795"/>
      <c r="P63" s="796"/>
      <c r="Q63" s="360"/>
    </row>
    <row r="64" spans="1:17" ht="52.8" customHeight="1" thickBot="1" x14ac:dyDescent="0.4">
      <c r="A64" s="347"/>
      <c r="B64" s="405"/>
      <c r="C64" s="406"/>
      <c r="D64" s="407"/>
      <c r="E64" s="408"/>
      <c r="F64" s="408"/>
      <c r="G64" s="406"/>
      <c r="H64" s="407"/>
      <c r="I64" s="409"/>
      <c r="J64" s="409"/>
      <c r="K64" s="804" t="s">
        <v>45</v>
      </c>
      <c r="L64" s="804"/>
      <c r="M64" s="804"/>
      <c r="N64" s="804"/>
      <c r="O64" s="834">
        <f>P61</f>
        <v>55411.251980000001</v>
      </c>
      <c r="P64" s="835"/>
      <c r="Q64" s="358"/>
    </row>
    <row r="65" spans="1:17" ht="50.4" customHeight="1" thickBot="1" x14ac:dyDescent="0.35">
      <c r="A65" s="410"/>
      <c r="B65" s="411"/>
      <c r="C65" s="412"/>
      <c r="D65" s="413"/>
      <c r="E65" s="414"/>
      <c r="F65" s="414"/>
      <c r="G65" s="415"/>
      <c r="H65" s="414"/>
      <c r="I65" s="414"/>
      <c r="J65" s="414"/>
      <c r="K65" s="471"/>
      <c r="L65" s="471"/>
      <c r="M65" s="472" t="s">
        <v>210</v>
      </c>
      <c r="N65" s="473"/>
      <c r="O65" s="836">
        <f>SUM(O64:P64)</f>
        <v>55411.251980000001</v>
      </c>
      <c r="P65" s="837"/>
      <c r="Q65" s="416"/>
    </row>
    <row r="66" spans="1:17" ht="15.6" x14ac:dyDescent="0.3">
      <c r="A66" s="345"/>
      <c r="B66" s="282"/>
      <c r="C66" s="419"/>
      <c r="D66" s="422"/>
      <c r="E66" s="334"/>
      <c r="F66" s="334"/>
      <c r="G66" s="419"/>
      <c r="H66" s="334"/>
      <c r="I66" s="334"/>
      <c r="J66" s="334"/>
      <c r="K66" s="334"/>
      <c r="L66" s="334"/>
      <c r="M66" s="423"/>
      <c r="N66" s="334"/>
      <c r="O66" s="334"/>
      <c r="P66" s="334"/>
      <c r="Q66" s="346"/>
    </row>
    <row r="67" spans="1:17" ht="16.2" thickBot="1" x14ac:dyDescent="0.35">
      <c r="A67" s="424"/>
      <c r="B67" s="328"/>
      <c r="C67" s="425"/>
      <c r="D67" s="426"/>
      <c r="E67" s="327"/>
      <c r="F67" s="327"/>
      <c r="G67" s="425"/>
      <c r="H67" s="327"/>
      <c r="I67" s="327"/>
      <c r="J67" s="327"/>
      <c r="K67" s="327"/>
      <c r="L67" s="327"/>
      <c r="M67" s="427"/>
      <c r="N67" s="428"/>
      <c r="O67" s="327"/>
      <c r="P67" s="327"/>
      <c r="Q67" s="429"/>
    </row>
  </sheetData>
  <mergeCells count="10">
    <mergeCell ref="B63:P63"/>
    <mergeCell ref="K64:N64"/>
    <mergeCell ref="O64:P64"/>
    <mergeCell ref="O65:P65"/>
    <mergeCell ref="B1:P4"/>
    <mergeCell ref="B6:P6"/>
    <mergeCell ref="B7:P7"/>
    <mergeCell ref="B8:P8"/>
    <mergeCell ref="B61:N61"/>
    <mergeCell ref="B62:P62"/>
  </mergeCells>
  <conditionalFormatting sqref="C64:D64">
    <cfRule type="duplicateValues" dxfId="27" priority="12"/>
    <cfRule type="duplicateValues" dxfId="26" priority="13"/>
    <cfRule type="duplicateValues" dxfId="25" priority="14"/>
  </conditionalFormatting>
  <conditionalFormatting sqref="D38:D48 D52:D59">
    <cfRule type="duplicateValues" dxfId="24" priority="26"/>
    <cfRule type="duplicateValues" dxfId="23" priority="27"/>
  </conditionalFormatting>
  <conditionalFormatting sqref="D64:D67 D1:D5">
    <cfRule type="duplicateValues" dxfId="22" priority="29"/>
  </conditionalFormatting>
  <conditionalFormatting sqref="E38:E59">
    <cfRule type="duplicateValues" dxfId="21" priority="28"/>
  </conditionalFormatting>
  <conditionalFormatting sqref="E64 H64">
    <cfRule type="duplicateValues" dxfId="20" priority="15"/>
    <cfRule type="duplicateValues" dxfId="19" priority="16"/>
  </conditionalFormatting>
  <conditionalFormatting sqref="E64">
    <cfRule type="duplicateValues" dxfId="18" priority="17"/>
    <cfRule type="duplicateValues" dxfId="17" priority="18"/>
    <cfRule type="duplicateValues" dxfId="16" priority="19"/>
    <cfRule type="duplicateValues" dxfId="15" priority="20"/>
  </conditionalFormatting>
  <conditionalFormatting sqref="E64:E67 E1:E5 E60:E61 E36:E37">
    <cfRule type="duplicateValues" dxfId="14" priority="32"/>
  </conditionalFormatting>
  <conditionalFormatting sqref="E64:E67 E1:E5">
    <cfRule type="duplicateValues" dxfId="13" priority="37"/>
  </conditionalFormatting>
  <conditionalFormatting sqref="E65">
    <cfRule type="duplicateValues" dxfId="12" priority="8"/>
    <cfRule type="duplicateValues" dxfId="11" priority="9"/>
    <cfRule type="duplicateValues" dxfId="10" priority="10"/>
  </conditionalFormatting>
  <conditionalFormatting sqref="E66:E67 E5">
    <cfRule type="duplicateValues" dxfId="9" priority="40"/>
    <cfRule type="duplicateValues" dxfId="8" priority="41"/>
    <cfRule type="duplicateValues" dxfId="7" priority="42"/>
  </conditionalFormatting>
  <conditionalFormatting sqref="F64:G64">
    <cfRule type="duplicateValues" dxfId="6" priority="21"/>
    <cfRule type="duplicateValues" dxfId="5" priority="22"/>
    <cfRule type="duplicateValues" dxfId="4" priority="23"/>
    <cfRule type="duplicateValues" dxfId="3" priority="24"/>
  </conditionalFormatting>
  <conditionalFormatting sqref="H64">
    <cfRule type="duplicateValues" dxfId="2" priority="25"/>
  </conditionalFormatting>
  <conditionalFormatting sqref="N65">
    <cfRule type="duplicateValues" dxfId="1" priority="11"/>
  </conditionalFormatting>
  <conditionalFormatting sqref="N66:N67 N5">
    <cfRule type="duplicateValues" dxfId="0" priority="46"/>
  </conditionalFormatting>
  <pageMargins left="0.511811024" right="0.511811024" top="0.78740157499999996" bottom="0.78740157499999996" header="0.31496062000000002" footer="0.31496062000000002"/>
  <pageSetup paperSize="9" scale="40" fitToHeight="0" orientation="landscape" r:id="rId1"/>
  <colBreaks count="1" manualBreakCount="1">
    <brk id="14" max="1048575" man="1"/>
  </col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10</vt:i4>
      </vt:variant>
    </vt:vector>
  </HeadingPairs>
  <TitlesOfParts>
    <vt:vector size="18" baseType="lpstr">
      <vt:lpstr>1ª MEDIÇÃO EV - GAMERIM </vt:lpstr>
      <vt:lpstr>REL. CAMIN. 1ª MED EV - GAMERIM</vt:lpstr>
      <vt:lpstr>RELAÇÃO PEDÁGIO 1ª EV - GAMERIM</vt:lpstr>
      <vt:lpstr>DESCONTO 1ª MEDIÇÃO EV- GAMERIM</vt:lpstr>
      <vt:lpstr>2ª MEDIÇÃO EV - GAMERIM </vt:lpstr>
      <vt:lpstr>REL. CAMIN. 2ª MED EV - GAMERIM</vt:lpstr>
      <vt:lpstr>RELAÇÃO PEDÁGIO 2ª EV - GAMERIM</vt:lpstr>
      <vt:lpstr>DESCONTO 2ª MEDIÇÃO EV- GAMERIM</vt:lpstr>
      <vt:lpstr>'1ª MEDIÇÃO EV - GAMERIM '!Area_de_impressao</vt:lpstr>
      <vt:lpstr>'2ª MEDIÇÃO EV - GAMERIM '!Area_de_impressao</vt:lpstr>
      <vt:lpstr>'REL. CAMIN. 1ª MED EV - GAMERIM'!Area_de_impressao</vt:lpstr>
      <vt:lpstr>'REL. CAMIN. 2ª MED EV - GAMERIM'!Area_de_impressao</vt:lpstr>
      <vt:lpstr>'RELAÇÃO PEDÁGIO 1ª EV - GAMERIM'!Area_de_impressao</vt:lpstr>
      <vt:lpstr>'RELAÇÃO PEDÁGIO 2ª EV - GAMERIM'!Area_de_impressao</vt:lpstr>
      <vt:lpstr>'REL. CAMIN. 1ª MED EV - GAMERIM'!Titulos_de_impressao</vt:lpstr>
      <vt:lpstr>'REL. CAMIN. 2ª MED EV - GAMERIM'!Titulos_de_impressao</vt:lpstr>
      <vt:lpstr>'RELAÇÃO PEDÁGIO 1ª EV - GAMERIM'!Titulos_de_impressao</vt:lpstr>
      <vt:lpstr>'RELAÇÃO PEDÁGIO 2ª EV - GAMERIM'!Titulos_de_impressao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 Castro</dc:creator>
  <cp:lastModifiedBy>Office 365</cp:lastModifiedBy>
  <cp:lastPrinted>2026-04-28T17:13:18Z</cp:lastPrinted>
  <dcterms:created xsi:type="dcterms:W3CDTF">2026-04-16T10:52:58Z</dcterms:created>
  <dcterms:modified xsi:type="dcterms:W3CDTF">2026-04-28T17:13:21Z</dcterms:modified>
</cp:coreProperties>
</file>